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wa\OneDrive\Documents\Imp Personal Docs\A-Phd-Research\Mphil-Phd\Phd Dissertation\Final data sets\"/>
    </mc:Choice>
  </mc:AlternateContent>
  <xr:revisionPtr revIDLastSave="0" documentId="13_ncr:1_{19474F70-ECFF-4EA4-8A30-910D932820BE}" xr6:coauthVersionLast="47" xr6:coauthVersionMax="47" xr10:uidLastSave="{00000000-0000-0000-0000-000000000000}"/>
  <bookViews>
    <workbookView xWindow="-28920" yWindow="-120" windowWidth="29040" windowHeight="15720" tabRatio="886" activeTab="2" xr2:uid="{6899D481-01F2-4FF8-9F53-ED6CE0E84F9D}"/>
  </bookViews>
  <sheets>
    <sheet name="Stistical results-Unit root" sheetId="1" r:id="rId1"/>
    <sheet name="Johanson and Julius" sheetId="14" r:id="rId2"/>
    <sheet name="GOLD-Daily" sheetId="2" r:id="rId3"/>
    <sheet name="Bitcoin-Daily" sheetId="3" r:id="rId4"/>
    <sheet name="MSCI EMRT-Daily" sheetId="11" r:id="rId5"/>
    <sheet name="GOLD-WEEKLY" sheetId="4" r:id="rId6"/>
    <sheet name="Bitcoin-WEEKLY" sheetId="5" r:id="rId7"/>
    <sheet name="MSCI EMRT-Weekly" sheetId="12" r:id="rId8"/>
    <sheet name="GOLD-Monthly" sheetId="6" r:id="rId9"/>
    <sheet name="Bitcoin-Monthly" sheetId="7" r:id="rId10"/>
    <sheet name="MSCI EMRT-Monthly" sheetId="13" r:id="rId11"/>
  </sheets>
  <definedNames>
    <definedName name="_xlnm._FilterDatabase" localSheetId="2" hidden="1">'GOLD-Daily'!$A$1:$E$1</definedName>
    <definedName name="_xlnm._FilterDatabase" localSheetId="7" hidden="1">'MSCI EMRT-Weekly'!$A$1:$G$213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E213" i="12"/>
  <c r="D213" i="12"/>
  <c r="E212" i="12"/>
  <c r="D212" i="12"/>
  <c r="E211" i="12"/>
  <c r="D211" i="12"/>
  <c r="E210" i="12"/>
  <c r="D210" i="12"/>
  <c r="E209" i="12"/>
  <c r="D209" i="12"/>
  <c r="E208" i="12"/>
  <c r="D208" i="12"/>
  <c r="E207" i="12"/>
  <c r="G208" i="12" s="1"/>
  <c r="D207" i="12"/>
  <c r="E206" i="12"/>
  <c r="D206" i="12"/>
  <c r="E205" i="12"/>
  <c r="D205" i="12"/>
  <c r="E204" i="12"/>
  <c r="D204" i="12"/>
  <c r="F204" i="12" s="1"/>
  <c r="E203" i="12"/>
  <c r="D203" i="12"/>
  <c r="E202" i="12"/>
  <c r="D202" i="12"/>
  <c r="E201" i="12"/>
  <c r="D201" i="12"/>
  <c r="E200" i="12"/>
  <c r="D200" i="12"/>
  <c r="E199" i="12"/>
  <c r="D199" i="12"/>
  <c r="E198" i="12"/>
  <c r="D198" i="12"/>
  <c r="E197" i="12"/>
  <c r="G198" i="12" s="1"/>
  <c r="D197" i="12"/>
  <c r="E196" i="12"/>
  <c r="D196" i="12"/>
  <c r="E195" i="12"/>
  <c r="D195" i="12"/>
  <c r="E194" i="12"/>
  <c r="D194" i="12"/>
  <c r="F194" i="12" s="1"/>
  <c r="E193" i="12"/>
  <c r="D193" i="12"/>
  <c r="E192" i="12"/>
  <c r="D192" i="12"/>
  <c r="E191" i="12"/>
  <c r="D191" i="12"/>
  <c r="E190" i="12"/>
  <c r="D190" i="12"/>
  <c r="E189" i="12"/>
  <c r="D189" i="12"/>
  <c r="E188" i="12"/>
  <c r="D188" i="12"/>
  <c r="E187" i="12"/>
  <c r="G188" i="12" s="1"/>
  <c r="D187" i="12"/>
  <c r="E186" i="12"/>
  <c r="D186" i="12"/>
  <c r="E185" i="12"/>
  <c r="D185" i="12"/>
  <c r="E184" i="12"/>
  <c r="D184" i="12"/>
  <c r="F184" i="12" s="1"/>
  <c r="E183" i="12"/>
  <c r="D183" i="12"/>
  <c r="E182" i="12"/>
  <c r="D182" i="12"/>
  <c r="E181" i="12"/>
  <c r="D181" i="12"/>
  <c r="E180" i="12"/>
  <c r="D180" i="12"/>
  <c r="E179" i="12"/>
  <c r="D179" i="12"/>
  <c r="E178" i="12"/>
  <c r="D178" i="12"/>
  <c r="E177" i="12"/>
  <c r="D177" i="12"/>
  <c r="E176" i="12"/>
  <c r="D176" i="12"/>
  <c r="E175" i="12"/>
  <c r="D175" i="12"/>
  <c r="E174" i="12"/>
  <c r="D174" i="12"/>
  <c r="F174" i="12" s="1"/>
  <c r="E173" i="12"/>
  <c r="D173" i="12"/>
  <c r="E172" i="12"/>
  <c r="D172" i="12"/>
  <c r="E171" i="12"/>
  <c r="D171" i="12"/>
  <c r="E170" i="12"/>
  <c r="D170" i="12"/>
  <c r="E169" i="12"/>
  <c r="D169" i="12"/>
  <c r="E168" i="12"/>
  <c r="D168" i="12"/>
  <c r="E167" i="12"/>
  <c r="G168" i="12" s="1"/>
  <c r="D167" i="12"/>
  <c r="E166" i="12"/>
  <c r="D166" i="12"/>
  <c r="E165" i="12"/>
  <c r="D165" i="12"/>
  <c r="E164" i="12"/>
  <c r="D164" i="12"/>
  <c r="F164" i="12" s="1"/>
  <c r="E163" i="12"/>
  <c r="D163" i="12"/>
  <c r="E162" i="12"/>
  <c r="D162" i="12"/>
  <c r="E161" i="12"/>
  <c r="D161" i="12"/>
  <c r="E160" i="12"/>
  <c r="D160" i="12"/>
  <c r="E159" i="12"/>
  <c r="D159" i="12"/>
  <c r="E158" i="12"/>
  <c r="D158" i="12"/>
  <c r="E157" i="12"/>
  <c r="G158" i="12" s="1"/>
  <c r="D157" i="12"/>
  <c r="E156" i="12"/>
  <c r="D156" i="12"/>
  <c r="E155" i="12"/>
  <c r="D155" i="12"/>
  <c r="E154" i="12"/>
  <c r="D154" i="12"/>
  <c r="F154" i="12" s="1"/>
  <c r="E153" i="12"/>
  <c r="D153" i="12"/>
  <c r="E152" i="12"/>
  <c r="D152" i="12"/>
  <c r="E151" i="12"/>
  <c r="D151" i="12"/>
  <c r="E150" i="12"/>
  <c r="D150" i="12"/>
  <c r="E149" i="12"/>
  <c r="D149" i="12"/>
  <c r="E148" i="12"/>
  <c r="D148" i="12"/>
  <c r="E147" i="12"/>
  <c r="G148" i="12" s="1"/>
  <c r="D147" i="12"/>
  <c r="E146" i="12"/>
  <c r="D146" i="12"/>
  <c r="E145" i="12"/>
  <c r="D145" i="12"/>
  <c r="E144" i="12"/>
  <c r="D144" i="12"/>
  <c r="F144" i="12" s="1"/>
  <c r="E143" i="12"/>
  <c r="D143" i="12"/>
  <c r="E142" i="12"/>
  <c r="D142" i="12"/>
  <c r="E141" i="12"/>
  <c r="D141" i="12"/>
  <c r="E140" i="12"/>
  <c r="D140" i="12"/>
  <c r="E139" i="12"/>
  <c r="D139" i="12"/>
  <c r="E138" i="12"/>
  <c r="D138" i="12"/>
  <c r="E137" i="12"/>
  <c r="G138" i="12" s="1"/>
  <c r="D137" i="12"/>
  <c r="E136" i="12"/>
  <c r="D136" i="12"/>
  <c r="E135" i="12"/>
  <c r="D135" i="12"/>
  <c r="E134" i="12"/>
  <c r="D134" i="12"/>
  <c r="F134" i="12" s="1"/>
  <c r="E133" i="12"/>
  <c r="D133" i="12"/>
  <c r="E132" i="12"/>
  <c r="D132" i="12"/>
  <c r="E131" i="12"/>
  <c r="D131" i="12"/>
  <c r="E130" i="12"/>
  <c r="D130" i="12"/>
  <c r="E129" i="12"/>
  <c r="D129" i="12"/>
  <c r="E128" i="12"/>
  <c r="D128" i="12"/>
  <c r="E127" i="12"/>
  <c r="G128" i="12" s="1"/>
  <c r="D127" i="12"/>
  <c r="E126" i="12"/>
  <c r="D126" i="12"/>
  <c r="E125" i="12"/>
  <c r="D125" i="12"/>
  <c r="E124" i="12"/>
  <c r="D124" i="12"/>
  <c r="F124" i="12" s="1"/>
  <c r="E123" i="12"/>
  <c r="D123" i="12"/>
  <c r="E122" i="12"/>
  <c r="D122" i="12"/>
  <c r="E121" i="12"/>
  <c r="D121" i="12"/>
  <c r="E120" i="12"/>
  <c r="D120" i="12"/>
  <c r="E119" i="12"/>
  <c r="D119" i="12"/>
  <c r="E118" i="12"/>
  <c r="D118" i="12"/>
  <c r="E117" i="12"/>
  <c r="G118" i="12" s="1"/>
  <c r="D117" i="12"/>
  <c r="E116" i="12"/>
  <c r="D116" i="12"/>
  <c r="E115" i="12"/>
  <c r="D115" i="12"/>
  <c r="E114" i="12"/>
  <c r="D114" i="12"/>
  <c r="F114" i="12" s="1"/>
  <c r="E113" i="12"/>
  <c r="D113" i="12"/>
  <c r="E112" i="12"/>
  <c r="D112" i="12"/>
  <c r="E111" i="12"/>
  <c r="D111" i="12"/>
  <c r="E110" i="12"/>
  <c r="D110" i="12"/>
  <c r="E109" i="12"/>
  <c r="D109" i="12"/>
  <c r="E108" i="12"/>
  <c r="D108" i="12"/>
  <c r="E107" i="12"/>
  <c r="D107" i="12"/>
  <c r="E106" i="12"/>
  <c r="D106" i="12"/>
  <c r="E105" i="12"/>
  <c r="D105" i="12"/>
  <c r="E104" i="12"/>
  <c r="D104" i="12"/>
  <c r="E103" i="12"/>
  <c r="D103" i="12"/>
  <c r="E102" i="12"/>
  <c r="D102" i="12"/>
  <c r="E101" i="12"/>
  <c r="D101" i="12"/>
  <c r="E100" i="12"/>
  <c r="D100" i="12"/>
  <c r="E99" i="12"/>
  <c r="D99" i="12"/>
  <c r="E98" i="12"/>
  <c r="D98" i="12"/>
  <c r="E97" i="12"/>
  <c r="D97" i="12"/>
  <c r="E96" i="12"/>
  <c r="D9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E75" i="12"/>
  <c r="D75" i="12"/>
  <c r="E74" i="12"/>
  <c r="D74" i="12"/>
  <c r="E73" i="12"/>
  <c r="D73" i="12"/>
  <c r="E72" i="12"/>
  <c r="D72" i="12"/>
  <c r="E71" i="12"/>
  <c r="D71" i="12"/>
  <c r="E70" i="12"/>
  <c r="D7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E2" i="12"/>
  <c r="D2" i="12"/>
  <c r="F5" i="12" l="1"/>
  <c r="F105" i="12"/>
  <c r="F115" i="12"/>
  <c r="G124" i="12"/>
  <c r="G178" i="12"/>
  <c r="F125" i="12"/>
  <c r="G95" i="12"/>
  <c r="G105" i="12"/>
  <c r="G134" i="12"/>
  <c r="G144" i="12"/>
  <c r="G154" i="12"/>
  <c r="G164" i="12"/>
  <c r="G174" i="12"/>
  <c r="G184" i="12"/>
  <c r="G194" i="12"/>
  <c r="G204" i="12"/>
  <c r="G115" i="12"/>
  <c r="G8" i="12"/>
  <c r="G18" i="12"/>
  <c r="G28" i="12"/>
  <c r="G38" i="12"/>
  <c r="G48" i="12"/>
  <c r="G58" i="12"/>
  <c r="G3" i="12"/>
  <c r="F123" i="12"/>
  <c r="G133" i="12"/>
  <c r="G143" i="12"/>
  <c r="G153" i="12"/>
  <c r="G163" i="12"/>
  <c r="G173" i="12"/>
  <c r="G183" i="12"/>
  <c r="G193" i="12"/>
  <c r="G203" i="12"/>
  <c r="G213" i="12"/>
  <c r="F197" i="12"/>
  <c r="F6" i="12"/>
  <c r="F26" i="12"/>
  <c r="F46" i="12"/>
  <c r="F66" i="12"/>
  <c r="G16" i="12"/>
  <c r="G26" i="12"/>
  <c r="G36" i="12"/>
  <c r="G46" i="12"/>
  <c r="F88" i="12"/>
  <c r="F98" i="12"/>
  <c r="F108" i="12"/>
  <c r="F127" i="12"/>
  <c r="F137" i="12"/>
  <c r="F147" i="12"/>
  <c r="F157" i="12"/>
  <c r="F167" i="12"/>
  <c r="F207" i="12"/>
  <c r="F118" i="12"/>
  <c r="F9" i="12"/>
  <c r="F19" i="12"/>
  <c r="F29" i="12"/>
  <c r="F39" i="12"/>
  <c r="F49" i="12"/>
  <c r="F59" i="12"/>
  <c r="F69" i="12"/>
  <c r="F79" i="12"/>
  <c r="G9" i="12"/>
  <c r="G19" i="12"/>
  <c r="G29" i="12"/>
  <c r="G39" i="12"/>
  <c r="G49" i="12"/>
  <c r="G59" i="12"/>
  <c r="F177" i="12"/>
  <c r="G13" i="12"/>
  <c r="G23" i="12"/>
  <c r="G33" i="12"/>
  <c r="G43" i="12"/>
  <c r="G53" i="12"/>
  <c r="G63" i="12"/>
  <c r="G73" i="12"/>
  <c r="G83" i="12"/>
  <c r="G93" i="12"/>
  <c r="G103" i="12"/>
  <c r="G113" i="12"/>
  <c r="F64" i="12"/>
  <c r="F84" i="12"/>
  <c r="F104" i="12"/>
  <c r="F133" i="12"/>
  <c r="F143" i="12"/>
  <c r="F153" i="12"/>
  <c r="F163" i="12"/>
  <c r="F173" i="12"/>
  <c r="F183" i="12"/>
  <c r="F193" i="12"/>
  <c r="F203" i="12"/>
  <c r="F213" i="12"/>
  <c r="F16" i="12"/>
  <c r="F36" i="12"/>
  <c r="F56" i="12"/>
  <c r="F76" i="12"/>
  <c r="G6" i="12"/>
  <c r="G56" i="12"/>
  <c r="F187" i="12"/>
  <c r="G14" i="12"/>
  <c r="G24" i="12"/>
  <c r="G34" i="12"/>
  <c r="G44" i="12"/>
  <c r="G54" i="12"/>
  <c r="G64" i="12"/>
  <c r="G74" i="12"/>
  <c r="G84" i="12"/>
  <c r="F7" i="12"/>
  <c r="F17" i="12"/>
  <c r="F27" i="12"/>
  <c r="F37" i="12"/>
  <c r="F47" i="12"/>
  <c r="F57" i="12"/>
  <c r="G66" i="12"/>
  <c r="G76" i="12"/>
  <c r="F86" i="12"/>
  <c r="F96" i="12"/>
  <c r="F106" i="12"/>
  <c r="F67" i="12"/>
  <c r="F77" i="12"/>
  <c r="G86" i="12"/>
  <c r="G96" i="12"/>
  <c r="G106" i="12"/>
  <c r="F116" i="12"/>
  <c r="F8" i="12"/>
  <c r="F18" i="12"/>
  <c r="F28" i="12"/>
  <c r="F38" i="12"/>
  <c r="F48" i="12"/>
  <c r="F58" i="12"/>
  <c r="G68" i="12"/>
  <c r="G78" i="12"/>
  <c r="F87" i="12"/>
  <c r="F97" i="12"/>
  <c r="F107" i="12"/>
  <c r="G116" i="12"/>
  <c r="F126" i="12"/>
  <c r="F136" i="12"/>
  <c r="F146" i="12"/>
  <c r="F156" i="12"/>
  <c r="F166" i="12"/>
  <c r="F176" i="12"/>
  <c r="F186" i="12"/>
  <c r="F196" i="12"/>
  <c r="F206" i="12"/>
  <c r="F68" i="12"/>
  <c r="F78" i="12"/>
  <c r="G88" i="12"/>
  <c r="G98" i="12"/>
  <c r="G108" i="12"/>
  <c r="F117" i="12"/>
  <c r="G126" i="12"/>
  <c r="G136" i="12"/>
  <c r="G146" i="12"/>
  <c r="G156" i="12"/>
  <c r="G166" i="12"/>
  <c r="G176" i="12"/>
  <c r="G186" i="12"/>
  <c r="G196" i="12"/>
  <c r="G206" i="12"/>
  <c r="F30" i="12"/>
  <c r="G79" i="12"/>
  <c r="F128" i="12"/>
  <c r="F188" i="12"/>
  <c r="F60" i="12"/>
  <c r="F169" i="12"/>
  <c r="G11" i="12"/>
  <c r="F71" i="12"/>
  <c r="G179" i="12"/>
  <c r="F22" i="12"/>
  <c r="G71" i="12"/>
  <c r="F72" i="12"/>
  <c r="G91" i="12"/>
  <c r="G111" i="12"/>
  <c r="F121" i="12"/>
  <c r="F13" i="12"/>
  <c r="F23" i="12"/>
  <c r="F33" i="12"/>
  <c r="F43" i="12"/>
  <c r="F53" i="12"/>
  <c r="F92" i="12"/>
  <c r="F102" i="12"/>
  <c r="F112" i="12"/>
  <c r="G121" i="12"/>
  <c r="F131" i="12"/>
  <c r="F141" i="12"/>
  <c r="F151" i="12"/>
  <c r="F161" i="12"/>
  <c r="F171" i="12"/>
  <c r="F181" i="12"/>
  <c r="F191" i="12"/>
  <c r="F201" i="12"/>
  <c r="F211" i="12"/>
  <c r="F158" i="12"/>
  <c r="F159" i="12"/>
  <c r="F63" i="12"/>
  <c r="F73" i="12"/>
  <c r="F83" i="12"/>
  <c r="F122" i="12"/>
  <c r="G131" i="12"/>
  <c r="G141" i="12"/>
  <c r="G151" i="12"/>
  <c r="G161" i="12"/>
  <c r="G171" i="12"/>
  <c r="G181" i="12"/>
  <c r="G191" i="12"/>
  <c r="G201" i="12"/>
  <c r="G211" i="12"/>
  <c r="F50" i="12"/>
  <c r="F99" i="12"/>
  <c r="F148" i="12"/>
  <c r="F168" i="12"/>
  <c r="G50" i="12"/>
  <c r="G89" i="12"/>
  <c r="F41" i="12"/>
  <c r="F139" i="12"/>
  <c r="F179" i="12"/>
  <c r="G31" i="12"/>
  <c r="G209" i="12"/>
  <c r="F3" i="12"/>
  <c r="F52" i="12"/>
  <c r="F101" i="12"/>
  <c r="F62" i="12"/>
  <c r="G101" i="12"/>
  <c r="G4" i="12"/>
  <c r="F14" i="12"/>
  <c r="F24" i="12"/>
  <c r="F34" i="12"/>
  <c r="F44" i="12"/>
  <c r="F54" i="12"/>
  <c r="F93" i="12"/>
  <c r="F103" i="12"/>
  <c r="F113" i="12"/>
  <c r="G123" i="12"/>
  <c r="F132" i="12"/>
  <c r="F142" i="12"/>
  <c r="F152" i="12"/>
  <c r="F162" i="12"/>
  <c r="F172" i="12"/>
  <c r="F182" i="12"/>
  <c r="F192" i="12"/>
  <c r="F202" i="12"/>
  <c r="F212" i="12"/>
  <c r="G69" i="12"/>
  <c r="F198" i="12"/>
  <c r="G99" i="12"/>
  <c r="F11" i="12"/>
  <c r="F51" i="12"/>
  <c r="F149" i="12"/>
  <c r="F189" i="12"/>
  <c r="G41" i="12"/>
  <c r="F81" i="12"/>
  <c r="G139" i="12"/>
  <c r="G159" i="12"/>
  <c r="G189" i="12"/>
  <c r="F42" i="12"/>
  <c r="F91" i="12"/>
  <c r="F4" i="12"/>
  <c r="F74" i="12"/>
  <c r="F109" i="12"/>
  <c r="F208" i="12"/>
  <c r="F119" i="12"/>
  <c r="F21" i="12"/>
  <c r="G119" i="12"/>
  <c r="F199" i="12"/>
  <c r="G21" i="12"/>
  <c r="F61" i="12"/>
  <c r="G129" i="12"/>
  <c r="G149" i="12"/>
  <c r="G169" i="12"/>
  <c r="F12" i="12"/>
  <c r="G81" i="12"/>
  <c r="F94" i="12"/>
  <c r="F89" i="12"/>
  <c r="F138" i="12"/>
  <c r="F178" i="12"/>
  <c r="G109" i="12"/>
  <c r="F31" i="12"/>
  <c r="F129" i="12"/>
  <c r="F209" i="12"/>
  <c r="G51" i="12"/>
  <c r="G199" i="12"/>
  <c r="F32" i="12"/>
  <c r="G61" i="12"/>
  <c r="F111" i="12"/>
  <c r="F82" i="12"/>
  <c r="G5" i="12"/>
  <c r="G94" i="12"/>
  <c r="G104" i="12"/>
  <c r="G114" i="12"/>
  <c r="F145" i="12"/>
  <c r="F205" i="12"/>
  <c r="G205" i="12"/>
  <c r="G15" i="12"/>
  <c r="F80" i="12"/>
  <c r="G90" i="12"/>
  <c r="F110" i="12"/>
  <c r="G110" i="12"/>
  <c r="F10" i="12"/>
  <c r="G120" i="12"/>
  <c r="F140" i="12"/>
  <c r="F210" i="12"/>
  <c r="G10" i="12"/>
  <c r="F65" i="12"/>
  <c r="G130" i="12"/>
  <c r="G140" i="12"/>
  <c r="G150" i="12"/>
  <c r="G160" i="12"/>
  <c r="G170" i="12"/>
  <c r="G180" i="12"/>
  <c r="G190" i="12"/>
  <c r="G200" i="12"/>
  <c r="G210" i="12"/>
  <c r="F20" i="12"/>
  <c r="G65" i="12"/>
  <c r="F195" i="12"/>
  <c r="G145" i="12"/>
  <c r="G185" i="12"/>
  <c r="G25" i="12"/>
  <c r="F160" i="12"/>
  <c r="G20" i="12"/>
  <c r="F75" i="12"/>
  <c r="F185" i="12"/>
  <c r="G135" i="12"/>
  <c r="G195" i="12"/>
  <c r="F25" i="12"/>
  <c r="G70" i="12"/>
  <c r="F35" i="12"/>
  <c r="G80" i="12"/>
  <c r="F170" i="12"/>
  <c r="G75" i="12"/>
  <c r="F135" i="12"/>
  <c r="F165" i="12"/>
  <c r="F15" i="12"/>
  <c r="G60" i="12"/>
  <c r="G165" i="12"/>
  <c r="F70" i="12"/>
  <c r="F90" i="12"/>
  <c r="F55" i="12"/>
  <c r="F120" i="12"/>
  <c r="F180" i="12"/>
  <c r="G30" i="12"/>
  <c r="F85" i="12"/>
  <c r="F175" i="12"/>
  <c r="G125" i="12"/>
  <c r="G175" i="12"/>
  <c r="F45" i="12"/>
  <c r="G45" i="12"/>
  <c r="G100" i="12"/>
  <c r="F190" i="12"/>
  <c r="F40" i="12"/>
  <c r="G85" i="12"/>
  <c r="F155" i="12"/>
  <c r="G155" i="12"/>
  <c r="G35" i="12"/>
  <c r="F100" i="12"/>
  <c r="G55" i="12"/>
  <c r="F130" i="12"/>
  <c r="F150" i="12"/>
  <c r="F200" i="12"/>
  <c r="G40" i="12"/>
  <c r="F95" i="12"/>
  <c r="G7" i="12"/>
  <c r="G12" i="12"/>
  <c r="G17" i="12"/>
  <c r="G22" i="12"/>
  <c r="G27" i="12"/>
  <c r="G32" i="12"/>
  <c r="G37" i="12"/>
  <c r="G42" i="12"/>
  <c r="G47" i="12"/>
  <c r="G52" i="12"/>
  <c r="G57" i="12"/>
  <c r="G62" i="12"/>
  <c r="G67" i="12"/>
  <c r="G72" i="12"/>
  <c r="G77" i="12"/>
  <c r="G82" i="12"/>
  <c r="G87" i="12"/>
  <c r="G92" i="12"/>
  <c r="G97" i="12"/>
  <c r="G102" i="12"/>
  <c r="G107" i="12"/>
  <c r="G112" i="12"/>
  <c r="G117" i="12"/>
  <c r="G122" i="12"/>
  <c r="G127" i="12"/>
  <c r="G132" i="12"/>
  <c r="G137" i="12"/>
  <c r="G142" i="12"/>
  <c r="G147" i="12"/>
  <c r="G152" i="12"/>
  <c r="G157" i="12"/>
  <c r="G162" i="12"/>
  <c r="G167" i="12"/>
  <c r="G172" i="12"/>
  <c r="G177" i="12"/>
  <c r="G182" i="12"/>
  <c r="G187" i="12"/>
  <c r="G192" i="12"/>
  <c r="G197" i="12"/>
  <c r="G202" i="12"/>
  <c r="G207" i="12"/>
  <c r="G212" i="12"/>
  <c r="L23" i="1" l="1"/>
  <c r="G50" i="13"/>
  <c r="E50" i="13"/>
  <c r="D50" i="13"/>
  <c r="E49" i="13"/>
  <c r="D49" i="13"/>
  <c r="F49" i="13" s="1"/>
  <c r="E48" i="13"/>
  <c r="G48" i="13" s="1"/>
  <c r="D48" i="13"/>
  <c r="G47" i="13"/>
  <c r="E47" i="13"/>
  <c r="D47" i="13"/>
  <c r="F47" i="13" s="1"/>
  <c r="G46" i="13"/>
  <c r="F46" i="13"/>
  <c r="E46" i="13"/>
  <c r="D46" i="13"/>
  <c r="G45" i="13"/>
  <c r="F45" i="13"/>
  <c r="E45" i="13"/>
  <c r="D45" i="13"/>
  <c r="E44" i="13"/>
  <c r="D44" i="13"/>
  <c r="F44" i="13" s="1"/>
  <c r="E43" i="13"/>
  <c r="G43" i="13" s="1"/>
  <c r="D43" i="13"/>
  <c r="E42" i="13"/>
  <c r="D42" i="13"/>
  <c r="E41" i="13"/>
  <c r="D41" i="13"/>
  <c r="F41" i="13" s="1"/>
  <c r="G40" i="13"/>
  <c r="F40" i="13"/>
  <c r="E40" i="13"/>
  <c r="D40" i="13"/>
  <c r="E39" i="13"/>
  <c r="D39" i="13"/>
  <c r="F39" i="13" s="1"/>
  <c r="E38" i="13"/>
  <c r="G38" i="13" s="1"/>
  <c r="D38" i="13"/>
  <c r="F38" i="13" s="1"/>
  <c r="E37" i="13"/>
  <c r="D37" i="13"/>
  <c r="F37" i="13" s="1"/>
  <c r="E36" i="13"/>
  <c r="G37" i="13" s="1"/>
  <c r="D36" i="13"/>
  <c r="F36" i="13" s="1"/>
  <c r="G35" i="13"/>
  <c r="E35" i="13"/>
  <c r="D35" i="13"/>
  <c r="E34" i="13"/>
  <c r="G34" i="13" s="1"/>
  <c r="D34" i="13"/>
  <c r="F34" i="13" s="1"/>
  <c r="E33" i="13"/>
  <c r="G33" i="13" s="1"/>
  <c r="D33" i="13"/>
  <c r="G32" i="13"/>
  <c r="E32" i="13"/>
  <c r="D32" i="13"/>
  <c r="F32" i="13" s="1"/>
  <c r="E31" i="13"/>
  <c r="G31" i="13" s="1"/>
  <c r="D31" i="13"/>
  <c r="F31" i="13" s="1"/>
  <c r="G30" i="13"/>
  <c r="E30" i="13"/>
  <c r="D30" i="13"/>
  <c r="E29" i="13"/>
  <c r="G29" i="13" s="1"/>
  <c r="D29" i="13"/>
  <c r="C29" i="13"/>
  <c r="E28" i="13"/>
  <c r="G28" i="13" s="1"/>
  <c r="D28" i="13"/>
  <c r="F28" i="13" s="1"/>
  <c r="E27" i="13"/>
  <c r="D27" i="13"/>
  <c r="F27" i="13" s="1"/>
  <c r="F26" i="13"/>
  <c r="E26" i="13"/>
  <c r="G26" i="13" s="1"/>
  <c r="D26" i="13"/>
  <c r="E25" i="13"/>
  <c r="D25" i="13"/>
  <c r="E24" i="13"/>
  <c r="G24" i="13" s="1"/>
  <c r="D24" i="13"/>
  <c r="F25" i="13" s="1"/>
  <c r="E23" i="13"/>
  <c r="D23" i="13"/>
  <c r="E22" i="13"/>
  <c r="G22" i="13" s="1"/>
  <c r="D22" i="13"/>
  <c r="F22" i="13" s="1"/>
  <c r="G21" i="13"/>
  <c r="F21" i="13"/>
  <c r="E21" i="13"/>
  <c r="D21" i="13"/>
  <c r="E20" i="13"/>
  <c r="D20" i="13"/>
  <c r="E19" i="13"/>
  <c r="G19" i="13" s="1"/>
  <c r="D19" i="13"/>
  <c r="F20" i="13" s="1"/>
  <c r="E18" i="13"/>
  <c r="D18" i="13"/>
  <c r="F19" i="13" s="1"/>
  <c r="E17" i="13"/>
  <c r="D17" i="13"/>
  <c r="F17" i="13" s="1"/>
  <c r="G16" i="13"/>
  <c r="F16" i="13"/>
  <c r="E16" i="13"/>
  <c r="G17" i="13" s="1"/>
  <c r="D16" i="13"/>
  <c r="G15" i="13"/>
  <c r="E15" i="13"/>
  <c r="D15" i="13"/>
  <c r="E14" i="13"/>
  <c r="G14" i="13" s="1"/>
  <c r="D14" i="13"/>
  <c r="F15" i="13" s="1"/>
  <c r="E13" i="13"/>
  <c r="G13" i="13" s="1"/>
  <c r="D13" i="13"/>
  <c r="F14" i="13" s="1"/>
  <c r="G12" i="13"/>
  <c r="E12" i="13"/>
  <c r="D12" i="13"/>
  <c r="F12" i="13" s="1"/>
  <c r="F11" i="13"/>
  <c r="E11" i="13"/>
  <c r="G11" i="13" s="1"/>
  <c r="D11" i="13"/>
  <c r="E10" i="13"/>
  <c r="D10" i="13"/>
  <c r="E9" i="13"/>
  <c r="D9" i="13"/>
  <c r="F10" i="13" s="1"/>
  <c r="E8" i="13"/>
  <c r="G8" i="13" s="1"/>
  <c r="D8" i="13"/>
  <c r="E7" i="13"/>
  <c r="G7" i="13" s="1"/>
  <c r="D7" i="13"/>
  <c r="F7" i="13" s="1"/>
  <c r="G6" i="13"/>
  <c r="F6" i="13"/>
  <c r="E6" i="13"/>
  <c r="D6" i="13"/>
  <c r="E5" i="13"/>
  <c r="D5" i="13"/>
  <c r="E4" i="13"/>
  <c r="G4" i="13" s="1"/>
  <c r="D4" i="13"/>
  <c r="F5" i="13" s="1"/>
  <c r="E3" i="13"/>
  <c r="G3" i="13" s="1"/>
  <c r="D3" i="13"/>
  <c r="F3" i="13" s="1"/>
  <c r="E2" i="13"/>
  <c r="D2" i="13"/>
  <c r="E1064" i="11"/>
  <c r="G1064" i="11" s="1"/>
  <c r="D1064" i="11"/>
  <c r="F1064" i="11" s="1"/>
  <c r="G1063" i="11"/>
  <c r="E1063" i="11"/>
  <c r="D1063" i="11"/>
  <c r="E1062" i="11"/>
  <c r="D1062" i="11"/>
  <c r="F1062" i="11" s="1"/>
  <c r="F1061" i="11"/>
  <c r="E1061" i="11"/>
  <c r="G1061" i="11" s="1"/>
  <c r="D1061" i="11"/>
  <c r="E1060" i="11"/>
  <c r="D1060" i="11"/>
  <c r="F1060" i="11" s="1"/>
  <c r="E1059" i="11"/>
  <c r="D1059" i="11"/>
  <c r="E1058" i="11"/>
  <c r="D1058" i="11"/>
  <c r="F1058" i="11" s="1"/>
  <c r="E1057" i="11"/>
  <c r="G1057" i="11" s="1"/>
  <c r="D1057" i="11"/>
  <c r="F1057" i="11" s="1"/>
  <c r="G1056" i="11"/>
  <c r="F1056" i="11"/>
  <c r="E1056" i="11"/>
  <c r="D1056" i="11"/>
  <c r="E1055" i="11"/>
  <c r="D1055" i="11"/>
  <c r="F1055" i="11" s="1"/>
  <c r="E1054" i="11"/>
  <c r="D1054" i="11"/>
  <c r="F1054" i="11" s="1"/>
  <c r="F1053" i="11"/>
  <c r="E1053" i="11"/>
  <c r="G1053" i="11" s="1"/>
  <c r="D1053" i="11"/>
  <c r="E1052" i="11"/>
  <c r="G1052" i="11" s="1"/>
  <c r="D1052" i="11"/>
  <c r="F1052" i="11" s="1"/>
  <c r="F1051" i="11"/>
  <c r="E1051" i="11"/>
  <c r="G1051" i="11" s="1"/>
  <c r="D1051" i="11"/>
  <c r="E1050" i="11"/>
  <c r="D1050" i="11"/>
  <c r="F1050" i="11" s="1"/>
  <c r="E1049" i="11"/>
  <c r="D1049" i="11"/>
  <c r="G1048" i="11"/>
  <c r="F1048" i="11"/>
  <c r="E1048" i="11"/>
  <c r="D1048" i="11"/>
  <c r="G1047" i="11"/>
  <c r="E1047" i="11"/>
  <c r="D1047" i="11"/>
  <c r="F1047" i="11" s="1"/>
  <c r="F1046" i="11"/>
  <c r="E1046" i="11"/>
  <c r="G1046" i="11" s="1"/>
  <c r="D1046" i="11"/>
  <c r="E1045" i="11"/>
  <c r="D1045" i="11"/>
  <c r="F1045" i="11" s="1"/>
  <c r="E1044" i="11"/>
  <c r="D1044" i="11"/>
  <c r="F1044" i="11" s="1"/>
  <c r="F1043" i="11"/>
  <c r="E1043" i="11"/>
  <c r="G1043" i="11" s="1"/>
  <c r="D1043" i="11"/>
  <c r="E1042" i="11"/>
  <c r="G1042" i="11" s="1"/>
  <c r="D1042" i="11"/>
  <c r="F1042" i="11" s="1"/>
  <c r="G1041" i="11"/>
  <c r="F1041" i="11"/>
  <c r="E1041" i="11"/>
  <c r="D1041" i="11"/>
  <c r="E1040" i="11"/>
  <c r="D1040" i="11"/>
  <c r="F1040" i="11" s="1"/>
  <c r="E1039" i="11"/>
  <c r="D1039" i="11"/>
  <c r="E1038" i="11"/>
  <c r="D1038" i="11"/>
  <c r="F1038" i="11" s="1"/>
  <c r="E1037" i="11"/>
  <c r="G1037" i="11" s="1"/>
  <c r="D1037" i="11"/>
  <c r="F1037" i="11" s="1"/>
  <c r="G1036" i="11"/>
  <c r="F1036" i="11"/>
  <c r="E1036" i="11"/>
  <c r="D1036" i="11"/>
  <c r="E1035" i="11"/>
  <c r="D1035" i="11"/>
  <c r="F1035" i="11" s="1"/>
  <c r="E1034" i="11"/>
  <c r="D1034" i="11"/>
  <c r="F1034" i="11" s="1"/>
  <c r="F1033" i="11"/>
  <c r="E1033" i="11"/>
  <c r="G1033" i="11" s="1"/>
  <c r="D1033" i="11"/>
  <c r="E1032" i="11"/>
  <c r="D1032" i="11"/>
  <c r="F1032" i="11" s="1"/>
  <c r="F1031" i="11"/>
  <c r="E1031" i="11"/>
  <c r="G1031" i="11" s="1"/>
  <c r="D1031" i="11"/>
  <c r="E1030" i="11"/>
  <c r="D1030" i="11"/>
  <c r="F1030" i="11" s="1"/>
  <c r="E1029" i="11"/>
  <c r="D1029" i="11"/>
  <c r="G1028" i="11"/>
  <c r="E1028" i="11"/>
  <c r="D1028" i="11"/>
  <c r="F1028" i="11" s="1"/>
  <c r="G1027" i="11"/>
  <c r="E1027" i="11"/>
  <c r="D1027" i="11"/>
  <c r="F1027" i="11" s="1"/>
  <c r="F1026" i="11"/>
  <c r="E1026" i="11"/>
  <c r="G1026" i="11" s="1"/>
  <c r="D1026" i="11"/>
  <c r="E1025" i="11"/>
  <c r="D1025" i="11"/>
  <c r="F1025" i="11" s="1"/>
  <c r="E1024" i="11"/>
  <c r="D1024" i="11"/>
  <c r="F1024" i="11" s="1"/>
  <c r="G1023" i="11"/>
  <c r="F1023" i="11"/>
  <c r="E1023" i="11"/>
  <c r="D1023" i="11"/>
  <c r="E1022" i="11"/>
  <c r="D1022" i="11"/>
  <c r="F1022" i="11" s="1"/>
  <c r="G1021" i="11"/>
  <c r="F1021" i="11"/>
  <c r="E1021" i="11"/>
  <c r="D1021" i="11"/>
  <c r="E1020" i="11"/>
  <c r="D1020" i="11"/>
  <c r="F1020" i="11" s="1"/>
  <c r="E1019" i="11"/>
  <c r="D1019" i="11"/>
  <c r="E1018" i="11"/>
  <c r="D1018" i="11"/>
  <c r="E1017" i="11"/>
  <c r="G1017" i="11" s="1"/>
  <c r="D1017" i="11"/>
  <c r="F1017" i="11" s="1"/>
  <c r="G1016" i="11"/>
  <c r="F1016" i="11"/>
  <c r="E1016" i="11"/>
  <c r="D1016" i="11"/>
  <c r="E1015" i="11"/>
  <c r="D1015" i="11"/>
  <c r="F1015" i="11" s="1"/>
  <c r="E1014" i="11"/>
  <c r="D1014" i="11"/>
  <c r="F1014" i="11" s="1"/>
  <c r="E1013" i="11"/>
  <c r="G1013" i="11" s="1"/>
  <c r="D1013" i="11"/>
  <c r="F1013" i="11" s="1"/>
  <c r="E1012" i="11"/>
  <c r="G1012" i="11" s="1"/>
  <c r="D1012" i="11"/>
  <c r="F1012" i="11" s="1"/>
  <c r="G1011" i="11"/>
  <c r="F1011" i="11"/>
  <c r="E1011" i="11"/>
  <c r="D1011" i="11"/>
  <c r="E1010" i="11"/>
  <c r="D1010" i="11"/>
  <c r="F1010" i="11" s="1"/>
  <c r="E1009" i="11"/>
  <c r="D1009" i="11"/>
  <c r="F1008" i="11"/>
  <c r="E1008" i="11"/>
  <c r="G1008" i="11" s="1"/>
  <c r="D1008" i="11"/>
  <c r="G1007" i="11"/>
  <c r="E1007" i="11"/>
  <c r="D1007" i="11"/>
  <c r="F1007" i="11" s="1"/>
  <c r="F1006" i="11"/>
  <c r="E1006" i="11"/>
  <c r="G1006" i="11" s="1"/>
  <c r="D1006" i="11"/>
  <c r="E1005" i="11"/>
  <c r="D1005" i="11"/>
  <c r="F1005" i="11" s="1"/>
  <c r="E1004" i="11"/>
  <c r="D1004" i="11"/>
  <c r="F1004" i="11" s="1"/>
  <c r="E1003" i="11"/>
  <c r="D1003" i="11"/>
  <c r="E1002" i="11"/>
  <c r="D1002" i="11"/>
  <c r="F1002" i="11" s="1"/>
  <c r="F1001" i="11"/>
  <c r="E1001" i="11"/>
  <c r="G1001" i="11" s="1"/>
  <c r="D1001" i="11"/>
  <c r="E1000" i="11"/>
  <c r="D1000" i="11"/>
  <c r="F1000" i="11" s="1"/>
  <c r="E999" i="11"/>
  <c r="D999" i="11"/>
  <c r="E998" i="11"/>
  <c r="G998" i="11" s="1"/>
  <c r="D998" i="11"/>
  <c r="F998" i="11" s="1"/>
  <c r="G997" i="11"/>
  <c r="E997" i="11"/>
  <c r="D997" i="11"/>
  <c r="F997" i="11" s="1"/>
  <c r="G996" i="11"/>
  <c r="F996" i="11"/>
  <c r="E996" i="11"/>
  <c r="D996" i="11"/>
  <c r="E995" i="11"/>
  <c r="D995" i="11"/>
  <c r="F995" i="11" s="1"/>
  <c r="E994" i="11"/>
  <c r="D994" i="11"/>
  <c r="F994" i="11" s="1"/>
  <c r="E993" i="11"/>
  <c r="G993" i="11" s="1"/>
  <c r="D993" i="11"/>
  <c r="F993" i="11" s="1"/>
  <c r="E992" i="11"/>
  <c r="G992" i="11" s="1"/>
  <c r="D992" i="11"/>
  <c r="F992" i="11" s="1"/>
  <c r="F991" i="11"/>
  <c r="E991" i="11"/>
  <c r="G991" i="11" s="1"/>
  <c r="D991" i="11"/>
  <c r="F990" i="11"/>
  <c r="E990" i="11"/>
  <c r="D990" i="11"/>
  <c r="E989" i="11"/>
  <c r="D989" i="11"/>
  <c r="F989" i="11" s="1"/>
  <c r="G988" i="11"/>
  <c r="E988" i="11"/>
  <c r="D988" i="11"/>
  <c r="F988" i="11" s="1"/>
  <c r="E987" i="11"/>
  <c r="G987" i="11" s="1"/>
  <c r="D987" i="11"/>
  <c r="F987" i="11" s="1"/>
  <c r="F986" i="11"/>
  <c r="E986" i="11"/>
  <c r="G986" i="11" s="1"/>
  <c r="D986" i="11"/>
  <c r="F985" i="11"/>
  <c r="E985" i="11"/>
  <c r="D985" i="11"/>
  <c r="E984" i="11"/>
  <c r="D984" i="11"/>
  <c r="G983" i="11"/>
  <c r="E983" i="11"/>
  <c r="D983" i="11"/>
  <c r="F983" i="11" s="1"/>
  <c r="G982" i="11"/>
  <c r="E982" i="11"/>
  <c r="D982" i="11"/>
  <c r="F982" i="11" s="1"/>
  <c r="G981" i="11"/>
  <c r="F981" i="11"/>
  <c r="E981" i="11"/>
  <c r="D981" i="11"/>
  <c r="F980" i="11"/>
  <c r="E980" i="11"/>
  <c r="D980" i="11"/>
  <c r="E979" i="11"/>
  <c r="D979" i="11"/>
  <c r="F979" i="11" s="1"/>
  <c r="G978" i="11"/>
  <c r="F978" i="11"/>
  <c r="E978" i="11"/>
  <c r="D978" i="11"/>
  <c r="G977" i="11"/>
  <c r="E977" i="11"/>
  <c r="D977" i="11"/>
  <c r="F977" i="11" s="1"/>
  <c r="G976" i="11"/>
  <c r="F976" i="11"/>
  <c r="E976" i="11"/>
  <c r="D976" i="11"/>
  <c r="F975" i="11"/>
  <c r="E975" i="11"/>
  <c r="D975" i="11"/>
  <c r="E974" i="11"/>
  <c r="D974" i="11"/>
  <c r="E973" i="11"/>
  <c r="D973" i="11"/>
  <c r="E972" i="11"/>
  <c r="G973" i="11" s="1"/>
  <c r="D972" i="11"/>
  <c r="F972" i="11" s="1"/>
  <c r="G971" i="11"/>
  <c r="F971" i="11"/>
  <c r="E971" i="11"/>
  <c r="D971" i="11"/>
  <c r="F970" i="11"/>
  <c r="E970" i="11"/>
  <c r="D970" i="11"/>
  <c r="E969" i="11"/>
  <c r="D969" i="11"/>
  <c r="F969" i="11" s="1"/>
  <c r="E968" i="11"/>
  <c r="G968" i="11" s="1"/>
  <c r="D968" i="11"/>
  <c r="F968" i="11" s="1"/>
  <c r="E967" i="11"/>
  <c r="D967" i="11"/>
  <c r="F967" i="11" s="1"/>
  <c r="F966" i="11"/>
  <c r="E966" i="11"/>
  <c r="G966" i="11" s="1"/>
  <c r="D966" i="11"/>
  <c r="F965" i="11"/>
  <c r="E965" i="11"/>
  <c r="D965" i="11"/>
  <c r="E964" i="11"/>
  <c r="D964" i="11"/>
  <c r="F963" i="11"/>
  <c r="E963" i="11"/>
  <c r="G963" i="11" s="1"/>
  <c r="D963" i="11"/>
  <c r="E962" i="11"/>
  <c r="G962" i="11" s="1"/>
  <c r="D962" i="11"/>
  <c r="F962" i="11" s="1"/>
  <c r="F961" i="11"/>
  <c r="E961" i="11"/>
  <c r="G961" i="11" s="1"/>
  <c r="D961" i="11"/>
  <c r="E960" i="11"/>
  <c r="D960" i="11"/>
  <c r="E959" i="11"/>
  <c r="D959" i="11"/>
  <c r="E958" i="11"/>
  <c r="D958" i="11"/>
  <c r="F958" i="11" s="1"/>
  <c r="E957" i="11"/>
  <c r="G958" i="11" s="1"/>
  <c r="D957" i="11"/>
  <c r="F957" i="11" s="1"/>
  <c r="G956" i="11"/>
  <c r="F956" i="11"/>
  <c r="E956" i="11"/>
  <c r="D956" i="11"/>
  <c r="E955" i="11"/>
  <c r="D955" i="11"/>
  <c r="E954" i="11"/>
  <c r="D954" i="11"/>
  <c r="G953" i="11"/>
  <c r="E953" i="11"/>
  <c r="D953" i="11"/>
  <c r="F953" i="11" s="1"/>
  <c r="E952" i="11"/>
  <c r="D952" i="11"/>
  <c r="F952" i="11" s="1"/>
  <c r="F951" i="11"/>
  <c r="E951" i="11"/>
  <c r="G952" i="11" s="1"/>
  <c r="D951" i="11"/>
  <c r="F950" i="11"/>
  <c r="E950" i="11"/>
  <c r="D950" i="11"/>
  <c r="E949" i="11"/>
  <c r="D949" i="11"/>
  <c r="E948" i="11"/>
  <c r="D948" i="11"/>
  <c r="F948" i="11" s="1"/>
  <c r="E947" i="11"/>
  <c r="G948" i="11" s="1"/>
  <c r="D947" i="11"/>
  <c r="F947" i="11" s="1"/>
  <c r="G946" i="11"/>
  <c r="F946" i="11"/>
  <c r="E946" i="11"/>
  <c r="D946" i="11"/>
  <c r="E945" i="11"/>
  <c r="D945" i="11"/>
  <c r="E944" i="11"/>
  <c r="D944" i="11"/>
  <c r="E943" i="11"/>
  <c r="G943" i="11" s="1"/>
  <c r="D943" i="11"/>
  <c r="F943" i="11" s="1"/>
  <c r="E942" i="11"/>
  <c r="D942" i="11"/>
  <c r="F942" i="11" s="1"/>
  <c r="F941" i="11"/>
  <c r="E941" i="11"/>
  <c r="G941" i="11" s="1"/>
  <c r="D941" i="11"/>
  <c r="F940" i="11"/>
  <c r="E940" i="11"/>
  <c r="D940" i="11"/>
  <c r="E939" i="11"/>
  <c r="D939" i="11"/>
  <c r="E938" i="11"/>
  <c r="G938" i="11" s="1"/>
  <c r="D938" i="11"/>
  <c r="F938" i="11" s="1"/>
  <c r="E937" i="11"/>
  <c r="G937" i="11" s="1"/>
  <c r="D937" i="11"/>
  <c r="F937" i="11" s="1"/>
  <c r="F936" i="11"/>
  <c r="E936" i="11"/>
  <c r="G936" i="11" s="1"/>
  <c r="D936" i="11"/>
  <c r="E935" i="11"/>
  <c r="D935" i="11"/>
  <c r="E934" i="11"/>
  <c r="D934" i="11"/>
  <c r="G933" i="11"/>
  <c r="E933" i="11"/>
  <c r="D933" i="11"/>
  <c r="F933" i="11" s="1"/>
  <c r="E932" i="11"/>
  <c r="G932" i="11" s="1"/>
  <c r="D932" i="11"/>
  <c r="F932" i="11" s="1"/>
  <c r="G931" i="11"/>
  <c r="F931" i="11"/>
  <c r="E931" i="11"/>
  <c r="D931" i="11"/>
  <c r="E930" i="11"/>
  <c r="D930" i="11"/>
  <c r="E929" i="11"/>
  <c r="D929" i="11"/>
  <c r="E928" i="11"/>
  <c r="G928" i="11" s="1"/>
  <c r="D928" i="11"/>
  <c r="F928" i="11" s="1"/>
  <c r="G927" i="11"/>
  <c r="E927" i="11"/>
  <c r="D927" i="11"/>
  <c r="F927" i="11" s="1"/>
  <c r="G926" i="11"/>
  <c r="F926" i="11"/>
  <c r="E926" i="11"/>
  <c r="D926" i="11"/>
  <c r="F925" i="11"/>
  <c r="E925" i="11"/>
  <c r="D925" i="11"/>
  <c r="E924" i="11"/>
  <c r="D924" i="11"/>
  <c r="E923" i="11"/>
  <c r="D923" i="11"/>
  <c r="F923" i="11" s="1"/>
  <c r="E922" i="11"/>
  <c r="G923" i="11" s="1"/>
  <c r="D922" i="11"/>
  <c r="F922" i="11" s="1"/>
  <c r="G921" i="11"/>
  <c r="F921" i="11"/>
  <c r="E921" i="11"/>
  <c r="D921" i="11"/>
  <c r="F920" i="11"/>
  <c r="E920" i="11"/>
  <c r="D920" i="11"/>
  <c r="E919" i="11"/>
  <c r="D919" i="11"/>
  <c r="F919" i="11" s="1"/>
  <c r="E918" i="11"/>
  <c r="G918" i="11" s="1"/>
  <c r="D918" i="11"/>
  <c r="F918" i="11" s="1"/>
  <c r="E917" i="11"/>
  <c r="D917" i="11"/>
  <c r="F917" i="11" s="1"/>
  <c r="F916" i="11"/>
  <c r="E916" i="11"/>
  <c r="G916" i="11" s="1"/>
  <c r="D916" i="11"/>
  <c r="F915" i="11"/>
  <c r="E915" i="11"/>
  <c r="D915" i="11"/>
  <c r="E914" i="11"/>
  <c r="D914" i="11"/>
  <c r="F914" i="11" s="1"/>
  <c r="G913" i="11"/>
  <c r="F913" i="11"/>
  <c r="E913" i="11"/>
  <c r="D913" i="11"/>
  <c r="E912" i="11"/>
  <c r="G912" i="11" s="1"/>
  <c r="D912" i="11"/>
  <c r="F912" i="11" s="1"/>
  <c r="F911" i="11"/>
  <c r="E911" i="11"/>
  <c r="G911" i="11" s="1"/>
  <c r="D911" i="11"/>
  <c r="E910" i="11"/>
  <c r="D910" i="11"/>
  <c r="E909" i="11"/>
  <c r="D909" i="11"/>
  <c r="G908" i="11"/>
  <c r="E908" i="11"/>
  <c r="D908" i="11"/>
  <c r="E907" i="11"/>
  <c r="G907" i="11" s="1"/>
  <c r="D907" i="11"/>
  <c r="F907" i="11" s="1"/>
  <c r="G906" i="11"/>
  <c r="F906" i="11"/>
  <c r="E906" i="11"/>
  <c r="D906" i="11"/>
  <c r="E905" i="11"/>
  <c r="G905" i="11" s="1"/>
  <c r="D905" i="11"/>
  <c r="E904" i="11"/>
  <c r="D904" i="11"/>
  <c r="E903" i="11"/>
  <c r="G903" i="11" s="1"/>
  <c r="D903" i="11"/>
  <c r="F903" i="11" s="1"/>
  <c r="G902" i="11"/>
  <c r="E902" i="11"/>
  <c r="D902" i="11"/>
  <c r="F902" i="11" s="1"/>
  <c r="G901" i="11"/>
  <c r="F901" i="11"/>
  <c r="E901" i="11"/>
  <c r="D901" i="11"/>
  <c r="F900" i="11"/>
  <c r="E900" i="11"/>
  <c r="D900" i="11"/>
  <c r="E899" i="11"/>
  <c r="G899" i="11" s="1"/>
  <c r="D899" i="11"/>
  <c r="E898" i="11"/>
  <c r="D898" i="11"/>
  <c r="F898" i="11" s="1"/>
  <c r="E897" i="11"/>
  <c r="G898" i="11" s="1"/>
  <c r="D897" i="11"/>
  <c r="F897" i="11" s="1"/>
  <c r="G896" i="11"/>
  <c r="F896" i="11"/>
  <c r="E896" i="11"/>
  <c r="D896" i="11"/>
  <c r="F895" i="11"/>
  <c r="E895" i="11"/>
  <c r="D895" i="11"/>
  <c r="E894" i="11"/>
  <c r="G894" i="11" s="1"/>
  <c r="D894" i="11"/>
  <c r="F894" i="11" s="1"/>
  <c r="E893" i="11"/>
  <c r="G893" i="11" s="1"/>
  <c r="D893" i="11"/>
  <c r="F893" i="11" s="1"/>
  <c r="E892" i="11"/>
  <c r="G892" i="11" s="1"/>
  <c r="D892" i="11"/>
  <c r="F892" i="11" s="1"/>
  <c r="G891" i="11"/>
  <c r="F891" i="11"/>
  <c r="E891" i="11"/>
  <c r="D891" i="11"/>
  <c r="E890" i="11"/>
  <c r="G890" i="11" s="1"/>
  <c r="D890" i="11"/>
  <c r="E889" i="11"/>
  <c r="D889" i="11"/>
  <c r="E888" i="11"/>
  <c r="G888" i="11" s="1"/>
  <c r="D888" i="11"/>
  <c r="F888" i="11" s="1"/>
  <c r="E887" i="11"/>
  <c r="G887" i="11" s="1"/>
  <c r="D887" i="11"/>
  <c r="F887" i="11" s="1"/>
  <c r="F886" i="11"/>
  <c r="E886" i="11"/>
  <c r="G886" i="11" s="1"/>
  <c r="D886" i="11"/>
  <c r="F885" i="11"/>
  <c r="E885" i="11"/>
  <c r="G885" i="11" s="1"/>
  <c r="D885" i="11"/>
  <c r="E884" i="11"/>
  <c r="G884" i="11" s="1"/>
  <c r="D884" i="11"/>
  <c r="F884" i="11" s="1"/>
  <c r="G883" i="11"/>
  <c r="E883" i="11"/>
  <c r="D883" i="11"/>
  <c r="E882" i="11"/>
  <c r="G882" i="11" s="1"/>
  <c r="D882" i="11"/>
  <c r="F882" i="11" s="1"/>
  <c r="G881" i="11"/>
  <c r="F881" i="11"/>
  <c r="E881" i="11"/>
  <c r="D881" i="11"/>
  <c r="E880" i="11"/>
  <c r="G880" i="11" s="1"/>
  <c r="D880" i="11"/>
  <c r="E879" i="11"/>
  <c r="D879" i="11"/>
  <c r="G878" i="11"/>
  <c r="F878" i="11"/>
  <c r="E878" i="11"/>
  <c r="D878" i="11"/>
  <c r="G877" i="11"/>
  <c r="E877" i="11"/>
  <c r="D877" i="11"/>
  <c r="F877" i="11" s="1"/>
  <c r="G876" i="11"/>
  <c r="F876" i="11"/>
  <c r="E876" i="11"/>
  <c r="D876" i="11"/>
  <c r="F875" i="11"/>
  <c r="E875" i="11"/>
  <c r="D875" i="11"/>
  <c r="E874" i="11"/>
  <c r="G874" i="11" s="1"/>
  <c r="D874" i="11"/>
  <c r="E873" i="11"/>
  <c r="D873" i="11"/>
  <c r="E872" i="11"/>
  <c r="G873" i="11" s="1"/>
  <c r="D872" i="11"/>
  <c r="F872" i="11" s="1"/>
  <c r="G871" i="11"/>
  <c r="F871" i="11"/>
  <c r="E871" i="11"/>
  <c r="D871" i="11"/>
  <c r="F870" i="11"/>
  <c r="E870" i="11"/>
  <c r="G870" i="11" s="1"/>
  <c r="D870" i="11"/>
  <c r="E869" i="11"/>
  <c r="G869" i="11" s="1"/>
  <c r="D869" i="11"/>
  <c r="F869" i="11" s="1"/>
  <c r="E868" i="11"/>
  <c r="G868" i="11" s="1"/>
  <c r="D868" i="11"/>
  <c r="F868" i="11" s="1"/>
  <c r="E867" i="11"/>
  <c r="D867" i="11"/>
  <c r="F867" i="11" s="1"/>
  <c r="F866" i="11"/>
  <c r="E866" i="11"/>
  <c r="G866" i="11" s="1"/>
  <c r="D866" i="11"/>
  <c r="E865" i="11"/>
  <c r="G865" i="11" s="1"/>
  <c r="D865" i="11"/>
  <c r="E864" i="11"/>
  <c r="D864" i="11"/>
  <c r="G863" i="11"/>
  <c r="E863" i="11"/>
  <c r="D863" i="11"/>
  <c r="F863" i="11" s="1"/>
  <c r="E862" i="11"/>
  <c r="G862" i="11" s="1"/>
  <c r="D862" i="11"/>
  <c r="F862" i="11" s="1"/>
  <c r="F861" i="11"/>
  <c r="E861" i="11"/>
  <c r="G861" i="11" s="1"/>
  <c r="D861" i="11"/>
  <c r="E860" i="11"/>
  <c r="G860" i="11" s="1"/>
  <c r="D860" i="11"/>
  <c r="E859" i="11"/>
  <c r="G859" i="11" s="1"/>
  <c r="D859" i="11"/>
  <c r="E858" i="11"/>
  <c r="D858" i="11"/>
  <c r="E857" i="11"/>
  <c r="G858" i="11" s="1"/>
  <c r="D857" i="11"/>
  <c r="F857" i="11" s="1"/>
  <c r="G856" i="11"/>
  <c r="F856" i="11"/>
  <c r="E856" i="11"/>
  <c r="D856" i="11"/>
  <c r="E855" i="11"/>
  <c r="G855" i="11" s="1"/>
  <c r="D855" i="11"/>
  <c r="E854" i="11"/>
  <c r="D854" i="11"/>
  <c r="E853" i="11"/>
  <c r="G853" i="11" s="1"/>
  <c r="D853" i="11"/>
  <c r="F853" i="11" s="1"/>
  <c r="G852" i="11"/>
  <c r="E852" i="11"/>
  <c r="D852" i="11"/>
  <c r="F852" i="11" s="1"/>
  <c r="F851" i="11"/>
  <c r="E851" i="11"/>
  <c r="G851" i="11" s="1"/>
  <c r="D851" i="11"/>
  <c r="F850" i="11"/>
  <c r="E850" i="11"/>
  <c r="D850" i="11"/>
  <c r="E849" i="11"/>
  <c r="G849" i="11" s="1"/>
  <c r="D849" i="11"/>
  <c r="E848" i="11"/>
  <c r="D848" i="11"/>
  <c r="E847" i="11"/>
  <c r="G848" i="11" s="1"/>
  <c r="D847" i="11"/>
  <c r="F847" i="11" s="1"/>
  <c r="G846" i="11"/>
  <c r="F846" i="11"/>
  <c r="E846" i="11"/>
  <c r="D846" i="11"/>
  <c r="E845" i="11"/>
  <c r="D845" i="11"/>
  <c r="E844" i="11"/>
  <c r="G844" i="11" s="1"/>
  <c r="D844" i="11"/>
  <c r="F844" i="11" s="1"/>
  <c r="E843" i="11"/>
  <c r="G843" i="11" s="1"/>
  <c r="D843" i="11"/>
  <c r="F843" i="11" s="1"/>
  <c r="G842" i="11"/>
  <c r="E842" i="11"/>
  <c r="D842" i="11"/>
  <c r="F842" i="11" s="1"/>
  <c r="G841" i="11"/>
  <c r="F841" i="11"/>
  <c r="E841" i="11"/>
  <c r="D841" i="11"/>
  <c r="E840" i="11"/>
  <c r="G840" i="11" s="1"/>
  <c r="D840" i="11"/>
  <c r="E839" i="11"/>
  <c r="D839" i="11"/>
  <c r="G838" i="11"/>
  <c r="F838" i="11"/>
  <c r="E838" i="11"/>
  <c r="D838" i="11"/>
  <c r="E837" i="11"/>
  <c r="G837" i="11" s="1"/>
  <c r="D837" i="11"/>
  <c r="F837" i="11" s="1"/>
  <c r="F836" i="11"/>
  <c r="E836" i="11"/>
  <c r="G836" i="11" s="1"/>
  <c r="D836" i="11"/>
  <c r="F835" i="11"/>
  <c r="E835" i="11"/>
  <c r="G835" i="11" s="1"/>
  <c r="D835" i="11"/>
  <c r="E834" i="11"/>
  <c r="G834" i="11" s="1"/>
  <c r="D834" i="11"/>
  <c r="E833" i="11"/>
  <c r="D833" i="11"/>
  <c r="G832" i="11"/>
  <c r="E832" i="11"/>
  <c r="G833" i="11" s="1"/>
  <c r="D832" i="11"/>
  <c r="F832" i="11" s="1"/>
  <c r="G831" i="11"/>
  <c r="E831" i="11"/>
  <c r="D831" i="11"/>
  <c r="E830" i="11"/>
  <c r="G830" i="11" s="1"/>
  <c r="D830" i="11"/>
  <c r="F831" i="11" s="1"/>
  <c r="E829" i="11"/>
  <c r="D829" i="11"/>
  <c r="F829" i="11" s="1"/>
  <c r="G828" i="11"/>
  <c r="E828" i="11"/>
  <c r="D828" i="11"/>
  <c r="F828" i="11" s="1"/>
  <c r="E827" i="11"/>
  <c r="D827" i="11"/>
  <c r="F827" i="11" s="1"/>
  <c r="F826" i="11"/>
  <c r="E826" i="11"/>
  <c r="G827" i="11" s="1"/>
  <c r="D826" i="11"/>
  <c r="F825" i="11"/>
  <c r="E825" i="11"/>
  <c r="D825" i="11"/>
  <c r="E824" i="11"/>
  <c r="G824" i="11" s="1"/>
  <c r="D824" i="11"/>
  <c r="E823" i="11"/>
  <c r="D823" i="11"/>
  <c r="F823" i="11" s="1"/>
  <c r="G822" i="11"/>
  <c r="E822" i="11"/>
  <c r="G823" i="11" s="1"/>
  <c r="D822" i="11"/>
  <c r="F822" i="11" s="1"/>
  <c r="G821" i="11"/>
  <c r="E821" i="11"/>
  <c r="D821" i="11"/>
  <c r="E820" i="11"/>
  <c r="D820" i="11"/>
  <c r="F821" i="11" s="1"/>
  <c r="E819" i="11"/>
  <c r="G819" i="11" s="1"/>
  <c r="D819" i="11"/>
  <c r="F819" i="11" s="1"/>
  <c r="E818" i="11"/>
  <c r="G818" i="11" s="1"/>
  <c r="D818" i="11"/>
  <c r="F818" i="11" s="1"/>
  <c r="G817" i="11"/>
  <c r="E817" i="11"/>
  <c r="D817" i="11"/>
  <c r="F817" i="11" s="1"/>
  <c r="F816" i="11"/>
  <c r="E816" i="11"/>
  <c r="G816" i="11" s="1"/>
  <c r="D816" i="11"/>
  <c r="F815" i="11"/>
  <c r="E815" i="11"/>
  <c r="G815" i="11" s="1"/>
  <c r="D815" i="11"/>
  <c r="E814" i="11"/>
  <c r="D814" i="11"/>
  <c r="G813" i="11"/>
  <c r="E813" i="11"/>
  <c r="D813" i="11"/>
  <c r="F813" i="11" s="1"/>
  <c r="E812" i="11"/>
  <c r="G812" i="11" s="1"/>
  <c r="D812" i="11"/>
  <c r="F812" i="11" s="1"/>
  <c r="F811" i="11"/>
  <c r="E811" i="11"/>
  <c r="G811" i="11" s="1"/>
  <c r="D811" i="11"/>
  <c r="F810" i="11"/>
  <c r="E810" i="11"/>
  <c r="D810" i="11"/>
  <c r="E809" i="11"/>
  <c r="G809" i="11" s="1"/>
  <c r="D809" i="11"/>
  <c r="F809" i="11" s="1"/>
  <c r="G808" i="11"/>
  <c r="E808" i="11"/>
  <c r="D808" i="11"/>
  <c r="F808" i="11" s="1"/>
  <c r="E807" i="11"/>
  <c r="G807" i="11" s="1"/>
  <c r="D807" i="11"/>
  <c r="F807" i="11" s="1"/>
  <c r="E806" i="11"/>
  <c r="D806" i="11"/>
  <c r="F806" i="11" s="1"/>
  <c r="E805" i="11"/>
  <c r="D805" i="11"/>
  <c r="D804" i="11"/>
  <c r="F804" i="11" s="1"/>
  <c r="C804" i="11"/>
  <c r="E804" i="11" s="1"/>
  <c r="E803" i="11"/>
  <c r="G803" i="11" s="1"/>
  <c r="D803" i="11"/>
  <c r="E802" i="11"/>
  <c r="D802" i="11"/>
  <c r="F802" i="11" s="1"/>
  <c r="G801" i="11"/>
  <c r="F801" i="11"/>
  <c r="E801" i="11"/>
  <c r="D801" i="11"/>
  <c r="E800" i="11"/>
  <c r="G800" i="11" s="1"/>
  <c r="D800" i="11"/>
  <c r="D799" i="11"/>
  <c r="C799" i="11"/>
  <c r="E799" i="11" s="1"/>
  <c r="E798" i="11"/>
  <c r="G799" i="11" s="1"/>
  <c r="D798" i="11"/>
  <c r="E797" i="11"/>
  <c r="G797" i="11" s="1"/>
  <c r="D797" i="11"/>
  <c r="G796" i="11"/>
  <c r="E796" i="11"/>
  <c r="D796" i="11"/>
  <c r="E795" i="11"/>
  <c r="D795" i="11"/>
  <c r="F796" i="11" s="1"/>
  <c r="E794" i="11"/>
  <c r="D794" i="11"/>
  <c r="F794" i="11" s="1"/>
  <c r="G793" i="11"/>
  <c r="F793" i="11"/>
  <c r="E793" i="11"/>
  <c r="D793" i="11"/>
  <c r="E792" i="11"/>
  <c r="D792" i="11"/>
  <c r="F792" i="11" s="1"/>
  <c r="E791" i="11"/>
  <c r="G791" i="11" s="1"/>
  <c r="D791" i="11"/>
  <c r="E790" i="11"/>
  <c r="D790" i="11"/>
  <c r="E789" i="11"/>
  <c r="D789" i="11"/>
  <c r="F789" i="11" s="1"/>
  <c r="E788" i="11"/>
  <c r="D788" i="11"/>
  <c r="E787" i="11"/>
  <c r="G787" i="11" s="1"/>
  <c r="D787" i="11"/>
  <c r="G786" i="11"/>
  <c r="F786" i="11"/>
  <c r="E786" i="11"/>
  <c r="D786" i="11"/>
  <c r="E785" i="11"/>
  <c r="G785" i="11" s="1"/>
  <c r="D785" i="11"/>
  <c r="E784" i="11"/>
  <c r="D784" i="11"/>
  <c r="F784" i="11" s="1"/>
  <c r="F783" i="11"/>
  <c r="E783" i="11"/>
  <c r="D783" i="11"/>
  <c r="E782" i="11"/>
  <c r="G782" i="11" s="1"/>
  <c r="D782" i="11"/>
  <c r="F782" i="11" s="1"/>
  <c r="E781" i="11"/>
  <c r="G781" i="11" s="1"/>
  <c r="D781" i="11"/>
  <c r="E780" i="11"/>
  <c r="G780" i="11" s="1"/>
  <c r="D780" i="11"/>
  <c r="E779" i="11"/>
  <c r="G779" i="11" s="1"/>
  <c r="D779" i="11"/>
  <c r="F779" i="11" s="1"/>
  <c r="G778" i="11"/>
  <c r="E778" i="11"/>
  <c r="D778" i="11"/>
  <c r="E777" i="11"/>
  <c r="D777" i="11"/>
  <c r="F777" i="11" s="1"/>
  <c r="F776" i="11"/>
  <c r="E776" i="11"/>
  <c r="G776" i="11" s="1"/>
  <c r="D776" i="11"/>
  <c r="E775" i="11"/>
  <c r="G775" i="11" s="1"/>
  <c r="D775" i="11"/>
  <c r="F775" i="11" s="1"/>
  <c r="E774" i="11"/>
  <c r="D774" i="11"/>
  <c r="F774" i="11" s="1"/>
  <c r="G773" i="11"/>
  <c r="F773" i="11"/>
  <c r="E773" i="11"/>
  <c r="D773" i="11"/>
  <c r="E772" i="11"/>
  <c r="G772" i="11" s="1"/>
  <c r="D772" i="11"/>
  <c r="F772" i="11" s="1"/>
  <c r="G771" i="11"/>
  <c r="E771" i="11"/>
  <c r="D771" i="11"/>
  <c r="E770" i="11"/>
  <c r="D770" i="11"/>
  <c r="E769" i="11"/>
  <c r="D769" i="11"/>
  <c r="F769" i="11" s="1"/>
  <c r="G768" i="11"/>
  <c r="F768" i="11"/>
  <c r="E768" i="11"/>
  <c r="D768" i="11"/>
  <c r="E767" i="11"/>
  <c r="D767" i="11"/>
  <c r="F767" i="11" s="1"/>
  <c r="G766" i="11"/>
  <c r="F766" i="11"/>
  <c r="E766" i="11"/>
  <c r="D766" i="11"/>
  <c r="E765" i="11"/>
  <c r="G765" i="11" s="1"/>
  <c r="D765" i="11"/>
  <c r="F765" i="11" s="1"/>
  <c r="E764" i="11"/>
  <c r="G764" i="11" s="1"/>
  <c r="D764" i="11"/>
  <c r="F764" i="11" s="1"/>
  <c r="E763" i="11"/>
  <c r="D763" i="11"/>
  <c r="E762" i="11"/>
  <c r="D762" i="11"/>
  <c r="F761" i="11"/>
  <c r="E761" i="11"/>
  <c r="G761" i="11" s="1"/>
  <c r="D761" i="11"/>
  <c r="E760" i="11"/>
  <c r="D760" i="11"/>
  <c r="E759" i="11"/>
  <c r="G759" i="11" s="1"/>
  <c r="D759" i="11"/>
  <c r="F759" i="11" s="1"/>
  <c r="G758" i="11"/>
  <c r="F758" i="11"/>
  <c r="E758" i="11"/>
  <c r="D758" i="11"/>
  <c r="E757" i="11"/>
  <c r="G757" i="11" s="1"/>
  <c r="D757" i="11"/>
  <c r="F757" i="11" s="1"/>
  <c r="G756" i="11"/>
  <c r="E756" i="11"/>
  <c r="D756" i="11"/>
  <c r="E755" i="11"/>
  <c r="D755" i="11"/>
  <c r="E754" i="11"/>
  <c r="G754" i="11" s="1"/>
  <c r="D754" i="11"/>
  <c r="F754" i="11" s="1"/>
  <c r="G753" i="11"/>
  <c r="F753" i="11"/>
  <c r="E753" i="11"/>
  <c r="D753" i="11"/>
  <c r="E752" i="11"/>
  <c r="G752" i="11" s="1"/>
  <c r="D752" i="11"/>
  <c r="F752" i="11" s="1"/>
  <c r="G751" i="11"/>
  <c r="F751" i="11"/>
  <c r="E751" i="11"/>
  <c r="D751" i="11"/>
  <c r="E750" i="11"/>
  <c r="G750" i="11" s="1"/>
  <c r="D750" i="11"/>
  <c r="F750" i="11" s="1"/>
  <c r="E749" i="11"/>
  <c r="D749" i="11"/>
  <c r="F749" i="11" s="1"/>
  <c r="E748" i="11"/>
  <c r="D748" i="11"/>
  <c r="E747" i="11"/>
  <c r="G747" i="11" s="1"/>
  <c r="D747" i="11"/>
  <c r="F747" i="11" s="1"/>
  <c r="G746" i="11"/>
  <c r="F746" i="11"/>
  <c r="E746" i="11"/>
  <c r="D746" i="11"/>
  <c r="E745" i="11"/>
  <c r="D745" i="11"/>
  <c r="E744" i="11"/>
  <c r="G744" i="11" s="1"/>
  <c r="D744" i="11"/>
  <c r="F744" i="11" s="1"/>
  <c r="G743" i="11"/>
  <c r="F743" i="11"/>
  <c r="E743" i="11"/>
  <c r="D743" i="11"/>
  <c r="E742" i="11"/>
  <c r="D742" i="11"/>
  <c r="F742" i="11" s="1"/>
  <c r="E741" i="11"/>
  <c r="G741" i="11" s="1"/>
  <c r="D741" i="11"/>
  <c r="E740" i="11"/>
  <c r="D740" i="11"/>
  <c r="E739" i="11"/>
  <c r="D739" i="11"/>
  <c r="F739" i="11" s="1"/>
  <c r="E738" i="11"/>
  <c r="D738" i="11"/>
  <c r="E737" i="11"/>
  <c r="G737" i="11" s="1"/>
  <c r="D737" i="11"/>
  <c r="G736" i="11"/>
  <c r="F736" i="11"/>
  <c r="E736" i="11"/>
  <c r="D736" i="11"/>
  <c r="E735" i="11"/>
  <c r="G735" i="11" s="1"/>
  <c r="D735" i="11"/>
  <c r="E734" i="11"/>
  <c r="D734" i="11"/>
  <c r="F734" i="11" s="1"/>
  <c r="E733" i="11"/>
  <c r="D733" i="11"/>
  <c r="E732" i="11"/>
  <c r="D732" i="11"/>
  <c r="F732" i="11" s="1"/>
  <c r="E731" i="11"/>
  <c r="G731" i="11" s="1"/>
  <c r="D731" i="11"/>
  <c r="E730" i="11"/>
  <c r="G730" i="11" s="1"/>
  <c r="D730" i="11"/>
  <c r="E729" i="11"/>
  <c r="G729" i="11" s="1"/>
  <c r="D729" i="11"/>
  <c r="F729" i="11" s="1"/>
  <c r="G728" i="11"/>
  <c r="E728" i="11"/>
  <c r="D728" i="11"/>
  <c r="E727" i="11"/>
  <c r="D727" i="11"/>
  <c r="F726" i="11"/>
  <c r="E726" i="11"/>
  <c r="G726" i="11" s="1"/>
  <c r="D726" i="11"/>
  <c r="E725" i="11"/>
  <c r="G725" i="11" s="1"/>
  <c r="D725" i="11"/>
  <c r="F725" i="11" s="1"/>
  <c r="E724" i="11"/>
  <c r="D724" i="11"/>
  <c r="F724" i="11" s="1"/>
  <c r="F723" i="11"/>
  <c r="E723" i="11"/>
  <c r="G723" i="11" s="1"/>
  <c r="D723" i="11"/>
  <c r="E722" i="11"/>
  <c r="G722" i="11" s="1"/>
  <c r="D722" i="11"/>
  <c r="F722" i="11" s="1"/>
  <c r="G721" i="11"/>
  <c r="E721" i="11"/>
  <c r="D721" i="11"/>
  <c r="E720" i="11"/>
  <c r="D720" i="11"/>
  <c r="E719" i="11"/>
  <c r="D719" i="11"/>
  <c r="F719" i="11" s="1"/>
  <c r="G718" i="11"/>
  <c r="F718" i="11"/>
  <c r="E718" i="11"/>
  <c r="D718" i="11"/>
  <c r="E717" i="11"/>
  <c r="D717" i="11"/>
  <c r="F717" i="11" s="1"/>
  <c r="F716" i="11"/>
  <c r="E716" i="11"/>
  <c r="G716" i="11" s="1"/>
  <c r="D716" i="11"/>
  <c r="E715" i="11"/>
  <c r="G715" i="11" s="1"/>
  <c r="D715" i="11"/>
  <c r="F715" i="11" s="1"/>
  <c r="E714" i="11"/>
  <c r="G714" i="11" s="1"/>
  <c r="D714" i="11"/>
  <c r="F714" i="11" s="1"/>
  <c r="E713" i="11"/>
  <c r="D713" i="11"/>
  <c r="E712" i="11"/>
  <c r="D712" i="11"/>
  <c r="F711" i="11"/>
  <c r="E711" i="11"/>
  <c r="G711" i="11" s="1"/>
  <c r="D711" i="11"/>
  <c r="E710" i="11"/>
  <c r="D710" i="11"/>
  <c r="E709" i="11"/>
  <c r="G709" i="11" s="1"/>
  <c r="D709" i="11"/>
  <c r="F709" i="11" s="1"/>
  <c r="G708" i="11"/>
  <c r="F708" i="11"/>
  <c r="E708" i="11"/>
  <c r="D708" i="11"/>
  <c r="E707" i="11"/>
  <c r="G707" i="11" s="1"/>
  <c r="D707" i="11"/>
  <c r="F707" i="11" s="1"/>
  <c r="G706" i="11"/>
  <c r="E706" i="11"/>
  <c r="D706" i="11"/>
  <c r="E705" i="11"/>
  <c r="D705" i="11"/>
  <c r="E704" i="11"/>
  <c r="G704" i="11" s="1"/>
  <c r="D704" i="11"/>
  <c r="F704" i="11" s="1"/>
  <c r="G703" i="11"/>
  <c r="F703" i="11"/>
  <c r="E703" i="11"/>
  <c r="D703" i="11"/>
  <c r="E702" i="11"/>
  <c r="G702" i="11" s="1"/>
  <c r="D702" i="11"/>
  <c r="F702" i="11" s="1"/>
  <c r="G701" i="11"/>
  <c r="F701" i="11"/>
  <c r="E701" i="11"/>
  <c r="D701" i="11"/>
  <c r="E700" i="11"/>
  <c r="G700" i="11" s="1"/>
  <c r="D700" i="11"/>
  <c r="F700" i="11" s="1"/>
  <c r="E699" i="11"/>
  <c r="D699" i="11"/>
  <c r="F699" i="11" s="1"/>
  <c r="F698" i="11"/>
  <c r="E698" i="11"/>
  <c r="G698" i="11" s="1"/>
  <c r="D698" i="11"/>
  <c r="E697" i="11"/>
  <c r="G697" i="11" s="1"/>
  <c r="D697" i="11"/>
  <c r="F697" i="11" s="1"/>
  <c r="G696" i="11"/>
  <c r="F696" i="11"/>
  <c r="E696" i="11"/>
  <c r="D696" i="11"/>
  <c r="E695" i="11"/>
  <c r="D695" i="11"/>
  <c r="E694" i="11"/>
  <c r="G694" i="11" s="1"/>
  <c r="D694" i="11"/>
  <c r="F694" i="11" s="1"/>
  <c r="F693" i="11"/>
  <c r="E693" i="11"/>
  <c r="G693" i="11" s="1"/>
  <c r="D693" i="11"/>
  <c r="E692" i="11"/>
  <c r="D692" i="11"/>
  <c r="F692" i="11" s="1"/>
  <c r="F691" i="11"/>
  <c r="E691" i="11"/>
  <c r="D691" i="11"/>
  <c r="E690" i="11"/>
  <c r="G690" i="11" s="1"/>
  <c r="D690" i="11"/>
  <c r="E689" i="11"/>
  <c r="D689" i="11"/>
  <c r="F689" i="11" s="1"/>
  <c r="E688" i="11"/>
  <c r="D688" i="11"/>
  <c r="E687" i="11"/>
  <c r="G687" i="11" s="1"/>
  <c r="D687" i="11"/>
  <c r="F686" i="11"/>
  <c r="E686" i="11"/>
  <c r="G686" i="11" s="1"/>
  <c r="D686" i="11"/>
  <c r="E685" i="11"/>
  <c r="G685" i="11" s="1"/>
  <c r="D685" i="11"/>
  <c r="E684" i="11"/>
  <c r="D684" i="11"/>
  <c r="F684" i="11" s="1"/>
  <c r="E683" i="11"/>
  <c r="G683" i="11" s="1"/>
  <c r="D683" i="11"/>
  <c r="E682" i="11"/>
  <c r="G682" i="11" s="1"/>
  <c r="D682" i="11"/>
  <c r="F682" i="11" s="1"/>
  <c r="E681" i="11"/>
  <c r="D681" i="11"/>
  <c r="E680" i="11"/>
  <c r="G680" i="11" s="1"/>
  <c r="D680" i="11"/>
  <c r="G679" i="11"/>
  <c r="E679" i="11"/>
  <c r="D679" i="11"/>
  <c r="F679" i="11" s="1"/>
  <c r="E678" i="11"/>
  <c r="D678" i="11"/>
  <c r="E677" i="11"/>
  <c r="D677" i="11"/>
  <c r="E676" i="11"/>
  <c r="G676" i="11" s="1"/>
  <c r="D676" i="11"/>
  <c r="E675" i="11"/>
  <c r="D675" i="11"/>
  <c r="E674" i="11"/>
  <c r="G674" i="11" s="1"/>
  <c r="D674" i="11"/>
  <c r="F674" i="11" s="1"/>
  <c r="G673" i="11"/>
  <c r="F673" i="11"/>
  <c r="E673" i="11"/>
  <c r="D673" i="11"/>
  <c r="E672" i="11"/>
  <c r="G672" i="11" s="1"/>
  <c r="D672" i="11"/>
  <c r="F672" i="11" s="1"/>
  <c r="E671" i="11"/>
  <c r="D671" i="11"/>
  <c r="E670" i="11"/>
  <c r="D670" i="11"/>
  <c r="F671" i="11" s="1"/>
  <c r="E669" i="11"/>
  <c r="G669" i="11" s="1"/>
  <c r="D669" i="11"/>
  <c r="F669" i="11" s="1"/>
  <c r="E668" i="11"/>
  <c r="G668" i="11" s="1"/>
  <c r="D668" i="11"/>
  <c r="E667" i="11"/>
  <c r="G667" i="11" s="1"/>
  <c r="D667" i="11"/>
  <c r="F666" i="11"/>
  <c r="E666" i="11"/>
  <c r="G666" i="11" s="1"/>
  <c r="D666" i="11"/>
  <c r="E665" i="11"/>
  <c r="D665" i="11"/>
  <c r="E664" i="11"/>
  <c r="G664" i="11" s="1"/>
  <c r="D664" i="11"/>
  <c r="F663" i="11"/>
  <c r="E663" i="11"/>
  <c r="G663" i="11" s="1"/>
  <c r="D663" i="11"/>
  <c r="E662" i="11"/>
  <c r="D662" i="11"/>
  <c r="F662" i="11" s="1"/>
  <c r="F661" i="11"/>
  <c r="E661" i="11"/>
  <c r="G661" i="11" s="1"/>
  <c r="D661" i="11"/>
  <c r="E660" i="11"/>
  <c r="D660" i="11"/>
  <c r="F660" i="11" s="1"/>
  <c r="E659" i="11"/>
  <c r="G659" i="11" s="1"/>
  <c r="D659" i="11"/>
  <c r="F659" i="11" s="1"/>
  <c r="E658" i="11"/>
  <c r="D658" i="11"/>
  <c r="E657" i="11"/>
  <c r="G657" i="11" s="1"/>
  <c r="D657" i="11"/>
  <c r="F657" i="11" s="1"/>
  <c r="E656" i="11"/>
  <c r="G656" i="11" s="1"/>
  <c r="D656" i="11"/>
  <c r="E655" i="11"/>
  <c r="G655" i="11" s="1"/>
  <c r="D655" i="11"/>
  <c r="F656" i="11" s="1"/>
  <c r="G654" i="11"/>
  <c r="E654" i="11"/>
  <c r="D654" i="11"/>
  <c r="F654" i="11" s="1"/>
  <c r="G653" i="11"/>
  <c r="E653" i="11"/>
  <c r="D653" i="11"/>
  <c r="E652" i="11"/>
  <c r="D652" i="11"/>
  <c r="F651" i="11"/>
  <c r="E651" i="11"/>
  <c r="G651" i="11" s="1"/>
  <c r="D651" i="11"/>
  <c r="F650" i="11"/>
  <c r="E650" i="11"/>
  <c r="D650" i="11"/>
  <c r="E649" i="11"/>
  <c r="G649" i="11" s="1"/>
  <c r="D649" i="11"/>
  <c r="F649" i="11" s="1"/>
  <c r="G648" i="11"/>
  <c r="F648" i="11"/>
  <c r="E648" i="11"/>
  <c r="D648" i="11"/>
  <c r="E647" i="11"/>
  <c r="G647" i="11" s="1"/>
  <c r="D647" i="11"/>
  <c r="F647" i="11" s="1"/>
  <c r="E646" i="11"/>
  <c r="D646" i="11"/>
  <c r="F645" i="11"/>
  <c r="E645" i="11"/>
  <c r="D645" i="11"/>
  <c r="F646" i="11" s="1"/>
  <c r="E644" i="11"/>
  <c r="G644" i="11" s="1"/>
  <c r="D644" i="11"/>
  <c r="F644" i="11" s="1"/>
  <c r="E643" i="11"/>
  <c r="G643" i="11" s="1"/>
  <c r="D643" i="11"/>
  <c r="E642" i="11"/>
  <c r="G642" i="11" s="1"/>
  <c r="D642" i="11"/>
  <c r="F641" i="11"/>
  <c r="E641" i="11"/>
  <c r="G641" i="11" s="1"/>
  <c r="D641" i="11"/>
  <c r="E640" i="11"/>
  <c r="D640" i="11"/>
  <c r="E639" i="11"/>
  <c r="G639" i="11" s="1"/>
  <c r="D639" i="11"/>
  <c r="F638" i="11"/>
  <c r="E638" i="11"/>
  <c r="G638" i="11" s="1"/>
  <c r="D638" i="11"/>
  <c r="E637" i="11"/>
  <c r="D637" i="11"/>
  <c r="F637" i="11" s="1"/>
  <c r="F636" i="11"/>
  <c r="E636" i="11"/>
  <c r="G636" i="11" s="1"/>
  <c r="D636" i="11"/>
  <c r="E635" i="11"/>
  <c r="D635" i="11"/>
  <c r="F635" i="11" s="1"/>
  <c r="E634" i="11"/>
  <c r="D634" i="11"/>
  <c r="F634" i="11" s="1"/>
  <c r="E633" i="11"/>
  <c r="D633" i="11"/>
  <c r="E632" i="11"/>
  <c r="D632" i="11"/>
  <c r="F632" i="11" s="1"/>
  <c r="F631" i="11"/>
  <c r="E631" i="11"/>
  <c r="G631" i="11" s="1"/>
  <c r="D631" i="11"/>
  <c r="E630" i="11"/>
  <c r="G630" i="11" s="1"/>
  <c r="D630" i="11"/>
  <c r="F630" i="11" s="1"/>
  <c r="G629" i="11"/>
  <c r="E629" i="11"/>
  <c r="D629" i="11"/>
  <c r="F629" i="11" s="1"/>
  <c r="G628" i="11"/>
  <c r="E628" i="11"/>
  <c r="D628" i="11"/>
  <c r="E627" i="11"/>
  <c r="D627" i="11"/>
  <c r="E626" i="11"/>
  <c r="G626" i="11" s="1"/>
  <c r="D626" i="11"/>
  <c r="E625" i="11"/>
  <c r="D625" i="11"/>
  <c r="F625" i="11" s="1"/>
  <c r="E624" i="11"/>
  <c r="G624" i="11" s="1"/>
  <c r="D624" i="11"/>
  <c r="F624" i="11" s="1"/>
  <c r="G623" i="11"/>
  <c r="F623" i="11"/>
  <c r="E623" i="11"/>
  <c r="D623" i="11"/>
  <c r="E622" i="11"/>
  <c r="G622" i="11" s="1"/>
  <c r="D622" i="11"/>
  <c r="F622" i="11" s="1"/>
  <c r="E621" i="11"/>
  <c r="D621" i="11"/>
  <c r="E620" i="11"/>
  <c r="D620" i="11"/>
  <c r="F621" i="11" s="1"/>
  <c r="E619" i="11"/>
  <c r="G619" i="11" s="1"/>
  <c r="D619" i="11"/>
  <c r="F619" i="11" s="1"/>
  <c r="E618" i="11"/>
  <c r="G618" i="11" s="1"/>
  <c r="D618" i="11"/>
  <c r="E617" i="11"/>
  <c r="G617" i="11" s="1"/>
  <c r="D617" i="11"/>
  <c r="F616" i="11"/>
  <c r="E616" i="11"/>
  <c r="G616" i="11" s="1"/>
  <c r="D616" i="11"/>
  <c r="E615" i="11"/>
  <c r="D615" i="11"/>
  <c r="E614" i="11"/>
  <c r="G614" i="11" s="1"/>
  <c r="D614" i="11"/>
  <c r="F613" i="11"/>
  <c r="E613" i="11"/>
  <c r="G613" i="11" s="1"/>
  <c r="D613" i="11"/>
  <c r="E612" i="11"/>
  <c r="D612" i="11"/>
  <c r="F612" i="11" s="1"/>
  <c r="F611" i="11"/>
  <c r="E611" i="11"/>
  <c r="G611" i="11" s="1"/>
  <c r="D611" i="11"/>
  <c r="E610" i="11"/>
  <c r="D610" i="11"/>
  <c r="F610" i="11" s="1"/>
  <c r="E609" i="11"/>
  <c r="G609" i="11" s="1"/>
  <c r="D609" i="11"/>
  <c r="F609" i="11" s="1"/>
  <c r="E608" i="11"/>
  <c r="D608" i="11"/>
  <c r="E607" i="11"/>
  <c r="G607" i="11" s="1"/>
  <c r="D607" i="11"/>
  <c r="F607" i="11" s="1"/>
  <c r="F606" i="11"/>
  <c r="E606" i="11"/>
  <c r="G606" i="11" s="1"/>
  <c r="D606" i="11"/>
  <c r="C606" i="11"/>
  <c r="F605" i="11"/>
  <c r="E605" i="11"/>
  <c r="G605" i="11" s="1"/>
  <c r="D605" i="11"/>
  <c r="F604" i="11"/>
  <c r="E604" i="11"/>
  <c r="G604" i="11" s="1"/>
  <c r="D604" i="11"/>
  <c r="E603" i="11"/>
  <c r="D603" i="11"/>
  <c r="E602" i="11"/>
  <c r="D602" i="11"/>
  <c r="F603" i="11" s="1"/>
  <c r="G601" i="11"/>
  <c r="F601" i="11"/>
  <c r="E601" i="11"/>
  <c r="D601" i="11"/>
  <c r="E600" i="11"/>
  <c r="G600" i="11" s="1"/>
  <c r="D600" i="11"/>
  <c r="F600" i="11" s="1"/>
  <c r="F599" i="11"/>
  <c r="E599" i="11"/>
  <c r="G599" i="11" s="1"/>
  <c r="D599" i="11"/>
  <c r="E598" i="11"/>
  <c r="D598" i="11"/>
  <c r="E597" i="11"/>
  <c r="D597" i="11"/>
  <c r="G596" i="11"/>
  <c r="F596" i="11"/>
  <c r="E596" i="11"/>
  <c r="D596" i="11"/>
  <c r="E595" i="11"/>
  <c r="D595" i="11"/>
  <c r="F595" i="11" s="1"/>
  <c r="F594" i="11"/>
  <c r="E594" i="11"/>
  <c r="G594" i="11" s="1"/>
  <c r="D594" i="11"/>
  <c r="G593" i="11"/>
  <c r="F593" i="11"/>
  <c r="E593" i="11"/>
  <c r="D593" i="11"/>
  <c r="F592" i="11"/>
  <c r="E592" i="11"/>
  <c r="G592" i="11" s="1"/>
  <c r="D592" i="11"/>
  <c r="G591" i="11"/>
  <c r="F591" i="11"/>
  <c r="E591" i="11"/>
  <c r="D591" i="11"/>
  <c r="G590" i="11"/>
  <c r="E590" i="11"/>
  <c r="D590" i="11"/>
  <c r="F590" i="11" s="1"/>
  <c r="E589" i="11"/>
  <c r="G589" i="11" s="1"/>
  <c r="D589" i="11"/>
  <c r="F589" i="11" s="1"/>
  <c r="G588" i="11"/>
  <c r="F588" i="11"/>
  <c r="E588" i="11"/>
  <c r="D588" i="11"/>
  <c r="F587" i="11"/>
  <c r="E587" i="11"/>
  <c r="G587" i="11" s="1"/>
  <c r="D587" i="11"/>
  <c r="E586" i="11"/>
  <c r="D586" i="11"/>
  <c r="E585" i="11"/>
  <c r="G586" i="11" s="1"/>
  <c r="D585" i="11"/>
  <c r="F586" i="11" s="1"/>
  <c r="F584" i="11"/>
  <c r="E584" i="11"/>
  <c r="G584" i="11" s="1"/>
  <c r="D584" i="11"/>
  <c r="G583" i="11"/>
  <c r="F583" i="11"/>
  <c r="E583" i="11"/>
  <c r="D583" i="11"/>
  <c r="E582" i="11"/>
  <c r="G582" i="11" s="1"/>
  <c r="D582" i="11"/>
  <c r="F582" i="11" s="1"/>
  <c r="E581" i="11"/>
  <c r="D581" i="11"/>
  <c r="E580" i="11"/>
  <c r="G581" i="11" s="1"/>
  <c r="D580" i="11"/>
  <c r="F581" i="11" s="1"/>
  <c r="E579" i="11"/>
  <c r="G579" i="11" s="1"/>
  <c r="D579" i="11"/>
  <c r="F579" i="11" s="1"/>
  <c r="G578" i="11"/>
  <c r="E578" i="11"/>
  <c r="D578" i="11"/>
  <c r="F577" i="11"/>
  <c r="E577" i="11"/>
  <c r="G577" i="11" s="1"/>
  <c r="D577" i="11"/>
  <c r="F578" i="11" s="1"/>
  <c r="E576" i="11"/>
  <c r="D576" i="11"/>
  <c r="E575" i="11"/>
  <c r="D575" i="11"/>
  <c r="E574" i="11"/>
  <c r="G574" i="11" s="1"/>
  <c r="D574" i="11"/>
  <c r="F574" i="11" s="1"/>
  <c r="E573" i="11"/>
  <c r="D573" i="11"/>
  <c r="E572" i="11"/>
  <c r="G572" i="11" s="1"/>
  <c r="D572" i="11"/>
  <c r="F573" i="11" s="1"/>
  <c r="G571" i="11"/>
  <c r="F571" i="11"/>
  <c r="E571" i="11"/>
  <c r="D571" i="11"/>
  <c r="E570" i="11"/>
  <c r="D570" i="11"/>
  <c r="E569" i="11"/>
  <c r="D569" i="11"/>
  <c r="F570" i="11" s="1"/>
  <c r="G568" i="11"/>
  <c r="F568" i="11"/>
  <c r="E568" i="11"/>
  <c r="D568" i="11"/>
  <c r="F567" i="11"/>
  <c r="E567" i="11"/>
  <c r="G567" i="11" s="1"/>
  <c r="D567" i="11"/>
  <c r="G566" i="11"/>
  <c r="F566" i="11"/>
  <c r="E566" i="11"/>
  <c r="D566" i="11"/>
  <c r="G565" i="11"/>
  <c r="E565" i="11"/>
  <c r="D565" i="11"/>
  <c r="E564" i="11"/>
  <c r="G564" i="11" s="1"/>
  <c r="D564" i="11"/>
  <c r="F563" i="11"/>
  <c r="E563" i="11"/>
  <c r="D563" i="11"/>
  <c r="F562" i="11"/>
  <c r="E562" i="11"/>
  <c r="G562" i="11" s="1"/>
  <c r="D562" i="11"/>
  <c r="E561" i="11"/>
  <c r="D561" i="11"/>
  <c r="F561" i="11" s="1"/>
  <c r="G560" i="11"/>
  <c r="E560" i="11"/>
  <c r="G561" i="11" s="1"/>
  <c r="D560" i="11"/>
  <c r="F560" i="11" s="1"/>
  <c r="F559" i="11"/>
  <c r="E559" i="11"/>
  <c r="G559" i="11" s="1"/>
  <c r="D559" i="11"/>
  <c r="F558" i="11"/>
  <c r="E558" i="11"/>
  <c r="D558" i="11"/>
  <c r="E557" i="11"/>
  <c r="D557" i="11"/>
  <c r="F557" i="11" s="1"/>
  <c r="G556" i="11"/>
  <c r="F556" i="11"/>
  <c r="E556" i="11"/>
  <c r="D556" i="11"/>
  <c r="F555" i="11"/>
  <c r="E555" i="11"/>
  <c r="G555" i="11" s="1"/>
  <c r="D555" i="11"/>
  <c r="F554" i="11"/>
  <c r="E554" i="11"/>
  <c r="G554" i="11" s="1"/>
  <c r="D554" i="11"/>
  <c r="E553" i="11"/>
  <c r="D553" i="11"/>
  <c r="E552" i="11"/>
  <c r="D552" i="11"/>
  <c r="F553" i="11" s="1"/>
  <c r="G551" i="11"/>
  <c r="E551" i="11"/>
  <c r="D551" i="11"/>
  <c r="F551" i="11" s="1"/>
  <c r="E550" i="11"/>
  <c r="G550" i="11" s="1"/>
  <c r="D550" i="11"/>
  <c r="F550" i="11" s="1"/>
  <c r="F549" i="11"/>
  <c r="E549" i="11"/>
  <c r="G549" i="11" s="1"/>
  <c r="D549" i="11"/>
  <c r="E548" i="11"/>
  <c r="D548" i="11"/>
  <c r="E547" i="11"/>
  <c r="D547" i="11"/>
  <c r="G546" i="11"/>
  <c r="E546" i="11"/>
  <c r="D546" i="11"/>
  <c r="F546" i="11" s="1"/>
  <c r="G545" i="11"/>
  <c r="F545" i="11"/>
  <c r="E545" i="11"/>
  <c r="D545" i="11"/>
  <c r="E544" i="11"/>
  <c r="G544" i="11" s="1"/>
  <c r="D544" i="11"/>
  <c r="F544" i="11" s="1"/>
  <c r="F543" i="11"/>
  <c r="E543" i="11"/>
  <c r="D543" i="11"/>
  <c r="D542" i="11"/>
  <c r="C542" i="11"/>
  <c r="E542" i="11" s="1"/>
  <c r="E541" i="11"/>
  <c r="G541" i="11" s="1"/>
  <c r="D541" i="11"/>
  <c r="E540" i="11"/>
  <c r="G540" i="11" s="1"/>
  <c r="D540" i="11"/>
  <c r="E539" i="11"/>
  <c r="G539" i="11" s="1"/>
  <c r="D539" i="11"/>
  <c r="F539" i="11" s="1"/>
  <c r="G538" i="11"/>
  <c r="E538" i="11"/>
  <c r="D538" i="11"/>
  <c r="E537" i="11"/>
  <c r="D537" i="11"/>
  <c r="C537" i="11"/>
  <c r="E536" i="11"/>
  <c r="G536" i="11" s="1"/>
  <c r="D536" i="11"/>
  <c r="E535" i="11"/>
  <c r="G535" i="11" s="1"/>
  <c r="D535" i="11"/>
  <c r="E534" i="11"/>
  <c r="D534" i="11"/>
  <c r="F535" i="11" s="1"/>
  <c r="F533" i="11"/>
  <c r="E533" i="11"/>
  <c r="G533" i="11" s="1"/>
  <c r="D533" i="11"/>
  <c r="E532" i="11"/>
  <c r="G532" i="11" s="1"/>
  <c r="D532" i="11"/>
  <c r="F532" i="11" s="1"/>
  <c r="E531" i="11"/>
  <c r="D531" i="11"/>
  <c r="E530" i="11"/>
  <c r="G531" i="11" s="1"/>
  <c r="D530" i="11"/>
  <c r="F531" i="11" s="1"/>
  <c r="E529" i="11"/>
  <c r="G529" i="11" s="1"/>
  <c r="D529" i="11"/>
  <c r="F529" i="11" s="1"/>
  <c r="E528" i="11"/>
  <c r="D528" i="11"/>
  <c r="E527" i="11"/>
  <c r="G527" i="11" s="1"/>
  <c r="D527" i="11"/>
  <c r="F527" i="11" s="1"/>
  <c r="G526" i="11"/>
  <c r="E526" i="11"/>
  <c r="D526" i="11"/>
  <c r="F526" i="11" s="1"/>
  <c r="E525" i="11"/>
  <c r="D525" i="11"/>
  <c r="G524" i="11"/>
  <c r="E524" i="11"/>
  <c r="G525" i="11" s="1"/>
  <c r="D524" i="11"/>
  <c r="E523" i="11"/>
  <c r="G523" i="11" s="1"/>
  <c r="D523" i="11"/>
  <c r="F523" i="11" s="1"/>
  <c r="G522" i="11"/>
  <c r="E522" i="11"/>
  <c r="D522" i="11"/>
  <c r="F521" i="11"/>
  <c r="E521" i="11"/>
  <c r="G521" i="11" s="1"/>
  <c r="D521" i="11"/>
  <c r="E520" i="11"/>
  <c r="G520" i="11" s="1"/>
  <c r="D520" i="11"/>
  <c r="E519" i="11"/>
  <c r="D519" i="11"/>
  <c r="E518" i="11"/>
  <c r="G519" i="11" s="1"/>
  <c r="D518" i="11"/>
  <c r="F518" i="11" s="1"/>
  <c r="E517" i="11"/>
  <c r="D517" i="11"/>
  <c r="E516" i="11"/>
  <c r="G516" i="11" s="1"/>
  <c r="D516" i="11"/>
  <c r="F516" i="11" s="1"/>
  <c r="G515" i="11"/>
  <c r="E515" i="11"/>
  <c r="D515" i="11"/>
  <c r="F515" i="11" s="1"/>
  <c r="E514" i="11"/>
  <c r="D514" i="11"/>
  <c r="E513" i="11"/>
  <c r="G514" i="11" s="1"/>
  <c r="D513" i="11"/>
  <c r="F514" i="11" s="1"/>
  <c r="E512" i="11"/>
  <c r="D512" i="11"/>
  <c r="F512" i="11" s="1"/>
  <c r="E511" i="11"/>
  <c r="G512" i="11" s="1"/>
  <c r="D511" i="11"/>
  <c r="F511" i="11" s="1"/>
  <c r="G510" i="11"/>
  <c r="F510" i="11"/>
  <c r="E510" i="11"/>
  <c r="D510" i="11"/>
  <c r="E509" i="11"/>
  <c r="D509" i="11"/>
  <c r="E508" i="11"/>
  <c r="D508" i="11"/>
  <c r="F509" i="11" s="1"/>
  <c r="G507" i="11"/>
  <c r="E507" i="11"/>
  <c r="D507" i="11"/>
  <c r="E506" i="11"/>
  <c r="D506" i="11"/>
  <c r="F506" i="11" s="1"/>
  <c r="F505" i="11"/>
  <c r="E505" i="11"/>
  <c r="G506" i="11" s="1"/>
  <c r="D505" i="11"/>
  <c r="E504" i="11"/>
  <c r="D504" i="11"/>
  <c r="E503" i="11"/>
  <c r="D503" i="11"/>
  <c r="G502" i="11"/>
  <c r="E502" i="11"/>
  <c r="D502" i="11"/>
  <c r="F502" i="11" s="1"/>
  <c r="E501" i="11"/>
  <c r="G501" i="11" s="1"/>
  <c r="D501" i="11"/>
  <c r="E500" i="11"/>
  <c r="G500" i="11" s="1"/>
  <c r="D500" i="11"/>
  <c r="F501" i="11" s="1"/>
  <c r="G499" i="11"/>
  <c r="E499" i="11"/>
  <c r="D499" i="11"/>
  <c r="G498" i="11"/>
  <c r="E498" i="11"/>
  <c r="D498" i="11"/>
  <c r="G497" i="11"/>
  <c r="E497" i="11"/>
  <c r="D497" i="11"/>
  <c r="F497" i="11" s="1"/>
  <c r="G496" i="11"/>
  <c r="E496" i="11"/>
  <c r="D496" i="11"/>
  <c r="F496" i="11" s="1"/>
  <c r="F495" i="11"/>
  <c r="E495" i="11"/>
  <c r="G495" i="11" s="1"/>
  <c r="D495" i="11"/>
  <c r="G494" i="11"/>
  <c r="E494" i="11"/>
  <c r="D494" i="11"/>
  <c r="F494" i="11" s="1"/>
  <c r="G493" i="11"/>
  <c r="E493" i="11"/>
  <c r="D493" i="11"/>
  <c r="G492" i="11"/>
  <c r="E492" i="11"/>
  <c r="D492" i="11"/>
  <c r="E491" i="11"/>
  <c r="G491" i="11" s="1"/>
  <c r="D491" i="11"/>
  <c r="F491" i="11" s="1"/>
  <c r="G490" i="11"/>
  <c r="E490" i="11"/>
  <c r="D490" i="11"/>
  <c r="F490" i="11" s="1"/>
  <c r="G489" i="11"/>
  <c r="F489" i="11"/>
  <c r="E489" i="11"/>
  <c r="D489" i="11"/>
  <c r="G488" i="11"/>
  <c r="E488" i="11"/>
  <c r="D488" i="11"/>
  <c r="E487" i="11"/>
  <c r="D487" i="11"/>
  <c r="F486" i="11"/>
  <c r="E486" i="11"/>
  <c r="G487" i="11" s="1"/>
  <c r="D486" i="11"/>
  <c r="G485" i="11"/>
  <c r="E485" i="11"/>
  <c r="D485" i="11"/>
  <c r="F485" i="11" s="1"/>
  <c r="G484" i="11"/>
  <c r="F484" i="11"/>
  <c r="E484" i="11"/>
  <c r="D484" i="11"/>
  <c r="G483" i="11"/>
  <c r="E483" i="11"/>
  <c r="D483" i="11"/>
  <c r="E482" i="11"/>
  <c r="D482" i="11"/>
  <c r="E481" i="11"/>
  <c r="G482" i="11" s="1"/>
  <c r="D481" i="11"/>
  <c r="F481" i="11" s="1"/>
  <c r="G480" i="11"/>
  <c r="F480" i="11"/>
  <c r="E480" i="11"/>
  <c r="D480" i="11"/>
  <c r="G479" i="11"/>
  <c r="E479" i="11"/>
  <c r="D479" i="11"/>
  <c r="F479" i="11" s="1"/>
  <c r="F478" i="11"/>
  <c r="E478" i="11"/>
  <c r="G478" i="11" s="1"/>
  <c r="D478" i="11"/>
  <c r="E477" i="11"/>
  <c r="D477" i="11"/>
  <c r="E476" i="11"/>
  <c r="G477" i="11" s="1"/>
  <c r="D476" i="11"/>
  <c r="F476" i="11" s="1"/>
  <c r="E475" i="11"/>
  <c r="G475" i="11" s="1"/>
  <c r="D475" i="11"/>
  <c r="F475" i="11" s="1"/>
  <c r="F474" i="11"/>
  <c r="E474" i="11"/>
  <c r="D474" i="11"/>
  <c r="G473" i="11"/>
  <c r="E473" i="11"/>
  <c r="G474" i="11" s="1"/>
  <c r="D473" i="11"/>
  <c r="F473" i="11" s="1"/>
  <c r="E472" i="11"/>
  <c r="D472" i="11"/>
  <c r="E471" i="11"/>
  <c r="D471" i="11"/>
  <c r="F471" i="11" s="1"/>
  <c r="E470" i="11"/>
  <c r="G470" i="11" s="1"/>
  <c r="D470" i="11"/>
  <c r="F470" i="11" s="1"/>
  <c r="G469" i="11"/>
  <c r="E469" i="11"/>
  <c r="D469" i="11"/>
  <c r="F469" i="11" s="1"/>
  <c r="G468" i="11"/>
  <c r="F468" i="11"/>
  <c r="E468" i="11"/>
  <c r="D468" i="11"/>
  <c r="E467" i="11"/>
  <c r="D467" i="11"/>
  <c r="E466" i="11"/>
  <c r="D466" i="11"/>
  <c r="F466" i="11" s="1"/>
  <c r="G465" i="11"/>
  <c r="E465" i="11"/>
  <c r="D465" i="11"/>
  <c r="F465" i="11" s="1"/>
  <c r="E464" i="11"/>
  <c r="D464" i="11"/>
  <c r="F464" i="11" s="1"/>
  <c r="F463" i="11"/>
  <c r="E463" i="11"/>
  <c r="G464" i="11" s="1"/>
  <c r="D463" i="11"/>
  <c r="G462" i="11"/>
  <c r="E462" i="11"/>
  <c r="D462" i="11"/>
  <c r="E461" i="11"/>
  <c r="D461" i="11"/>
  <c r="E460" i="11"/>
  <c r="G461" i="11" s="1"/>
  <c r="D460" i="11"/>
  <c r="F460" i="11" s="1"/>
  <c r="E459" i="11"/>
  <c r="D459" i="11"/>
  <c r="E458" i="11"/>
  <c r="G459" i="11" s="1"/>
  <c r="D458" i="11"/>
  <c r="F459" i="11" s="1"/>
  <c r="G457" i="11"/>
  <c r="E457" i="11"/>
  <c r="D457" i="11"/>
  <c r="F457" i="11" s="1"/>
  <c r="E456" i="11"/>
  <c r="D456" i="11"/>
  <c r="G455" i="11"/>
  <c r="E455" i="11"/>
  <c r="G456" i="11" s="1"/>
  <c r="D455" i="11"/>
  <c r="F456" i="11" s="1"/>
  <c r="G454" i="11"/>
  <c r="F454" i="11"/>
  <c r="E454" i="11"/>
  <c r="D454" i="11"/>
  <c r="F453" i="11"/>
  <c r="E453" i="11"/>
  <c r="G453" i="11" s="1"/>
  <c r="D453" i="11"/>
  <c r="G452" i="11"/>
  <c r="E452" i="11"/>
  <c r="D452" i="11"/>
  <c r="F452" i="11" s="1"/>
  <c r="E451" i="11"/>
  <c r="D451" i="11"/>
  <c r="E450" i="11"/>
  <c r="D450" i="11"/>
  <c r="F451" i="11" s="1"/>
  <c r="G449" i="11"/>
  <c r="F449" i="11"/>
  <c r="E449" i="11"/>
  <c r="D449" i="11"/>
  <c r="E448" i="11"/>
  <c r="G448" i="11" s="1"/>
  <c r="D448" i="11"/>
  <c r="F448" i="11" s="1"/>
  <c r="G447" i="11"/>
  <c r="E447" i="11"/>
  <c r="D447" i="11"/>
  <c r="F447" i="11" s="1"/>
  <c r="E446" i="11"/>
  <c r="D446" i="11"/>
  <c r="E445" i="11"/>
  <c r="D445" i="11"/>
  <c r="G444" i="11"/>
  <c r="E444" i="11"/>
  <c r="D444" i="11"/>
  <c r="F444" i="11" s="1"/>
  <c r="G443" i="11"/>
  <c r="E443" i="11"/>
  <c r="D443" i="11"/>
  <c r="F443" i="11" s="1"/>
  <c r="G442" i="11"/>
  <c r="E442" i="11"/>
  <c r="D442" i="11"/>
  <c r="F442" i="11" s="1"/>
  <c r="E441" i="11"/>
  <c r="G441" i="11" s="1"/>
  <c r="D441" i="11"/>
  <c r="G440" i="11"/>
  <c r="E440" i="11"/>
  <c r="D440" i="11"/>
  <c r="F439" i="11"/>
  <c r="E439" i="11"/>
  <c r="D439" i="11"/>
  <c r="E438" i="11"/>
  <c r="G439" i="11" s="1"/>
  <c r="D438" i="11"/>
  <c r="G437" i="11"/>
  <c r="E437" i="11"/>
  <c r="D437" i="11"/>
  <c r="F437" i="11" s="1"/>
  <c r="G436" i="11"/>
  <c r="E436" i="11"/>
  <c r="D436" i="11"/>
  <c r="F436" i="11" s="1"/>
  <c r="G435" i="11"/>
  <c r="E435" i="11"/>
  <c r="D435" i="11"/>
  <c r="G434" i="11"/>
  <c r="E434" i="11"/>
  <c r="D434" i="11"/>
  <c r="F435" i="11" s="1"/>
  <c r="G433" i="11"/>
  <c r="E433" i="11"/>
  <c r="D433" i="11"/>
  <c r="F433" i="11" s="1"/>
  <c r="E432" i="11"/>
  <c r="D432" i="11"/>
  <c r="F432" i="11" s="1"/>
  <c r="G431" i="11"/>
  <c r="F431" i="11"/>
  <c r="E431" i="11"/>
  <c r="G432" i="11" s="1"/>
  <c r="D431" i="11"/>
  <c r="G430" i="11"/>
  <c r="E430" i="11"/>
  <c r="D430" i="11"/>
  <c r="E429" i="11"/>
  <c r="D429" i="11"/>
  <c r="F430" i="11" s="1"/>
  <c r="G428" i="11"/>
  <c r="E428" i="11"/>
  <c r="G429" i="11" s="1"/>
  <c r="D428" i="11"/>
  <c r="F428" i="11" s="1"/>
  <c r="E427" i="11"/>
  <c r="D427" i="11"/>
  <c r="F427" i="11" s="1"/>
  <c r="F426" i="11"/>
  <c r="E426" i="11"/>
  <c r="G427" i="11" s="1"/>
  <c r="D426" i="11"/>
  <c r="G425" i="11"/>
  <c r="E425" i="11"/>
  <c r="D425" i="11"/>
  <c r="E424" i="11"/>
  <c r="D424" i="11"/>
  <c r="E423" i="11"/>
  <c r="G424" i="11" s="1"/>
  <c r="D423" i="11"/>
  <c r="F423" i="11" s="1"/>
  <c r="G422" i="11"/>
  <c r="E422" i="11"/>
  <c r="D422" i="11"/>
  <c r="F421" i="11"/>
  <c r="E421" i="11"/>
  <c r="G421" i="11" s="1"/>
  <c r="D421" i="11"/>
  <c r="E420" i="11"/>
  <c r="G420" i="11" s="1"/>
  <c r="D420" i="11"/>
  <c r="E419" i="11"/>
  <c r="D419" i="11"/>
  <c r="E418" i="11"/>
  <c r="G419" i="11" s="1"/>
  <c r="D418" i="11"/>
  <c r="F418" i="11" s="1"/>
  <c r="E417" i="11"/>
  <c r="D417" i="11"/>
  <c r="E416" i="11"/>
  <c r="G416" i="11" s="1"/>
  <c r="D416" i="11"/>
  <c r="F416" i="11" s="1"/>
  <c r="G415" i="11"/>
  <c r="E415" i="11"/>
  <c r="D415" i="11"/>
  <c r="F415" i="11" s="1"/>
  <c r="E414" i="11"/>
  <c r="D414" i="11"/>
  <c r="E413" i="11"/>
  <c r="G414" i="11" s="1"/>
  <c r="D413" i="11"/>
  <c r="F414" i="11" s="1"/>
  <c r="E412" i="11"/>
  <c r="D412" i="11"/>
  <c r="F412" i="11" s="1"/>
  <c r="E411" i="11"/>
  <c r="G412" i="11" s="1"/>
  <c r="D411" i="11"/>
  <c r="F411" i="11" s="1"/>
  <c r="G410" i="11"/>
  <c r="F410" i="11"/>
  <c r="E410" i="11"/>
  <c r="D410" i="11"/>
  <c r="E409" i="11"/>
  <c r="D409" i="11"/>
  <c r="E408" i="11"/>
  <c r="D408" i="11"/>
  <c r="F409" i="11" s="1"/>
  <c r="G407" i="11"/>
  <c r="E407" i="11"/>
  <c r="D407" i="11"/>
  <c r="E406" i="11"/>
  <c r="D406" i="11"/>
  <c r="F406" i="11" s="1"/>
  <c r="F405" i="11"/>
  <c r="E405" i="11"/>
  <c r="G406" i="11" s="1"/>
  <c r="D405" i="11"/>
  <c r="E404" i="11"/>
  <c r="D404" i="11"/>
  <c r="E403" i="11"/>
  <c r="D403" i="11"/>
  <c r="G402" i="11"/>
  <c r="E402" i="11"/>
  <c r="D402" i="11"/>
  <c r="F402" i="11" s="1"/>
  <c r="E401" i="11"/>
  <c r="D401" i="11"/>
  <c r="E400" i="11"/>
  <c r="G401" i="11" s="1"/>
  <c r="D400" i="11"/>
  <c r="F401" i="11" s="1"/>
  <c r="G399" i="11"/>
  <c r="E399" i="11"/>
  <c r="D399" i="11"/>
  <c r="G398" i="11"/>
  <c r="E398" i="11"/>
  <c r="D398" i="11"/>
  <c r="G397" i="11"/>
  <c r="E397" i="11"/>
  <c r="D397" i="11"/>
  <c r="F397" i="11" s="1"/>
  <c r="G396" i="11"/>
  <c r="E396" i="11"/>
  <c r="D396" i="11"/>
  <c r="F396" i="11" s="1"/>
  <c r="F395" i="11"/>
  <c r="E395" i="11"/>
  <c r="G395" i="11" s="1"/>
  <c r="D395" i="11"/>
  <c r="G394" i="11"/>
  <c r="E394" i="11"/>
  <c r="D394" i="11"/>
  <c r="F394" i="11" s="1"/>
  <c r="G393" i="11"/>
  <c r="E393" i="11"/>
  <c r="D393" i="11"/>
  <c r="G392" i="11"/>
  <c r="E392" i="11"/>
  <c r="D392" i="11"/>
  <c r="E391" i="11"/>
  <c r="G391" i="11" s="1"/>
  <c r="D391" i="11"/>
  <c r="F391" i="11" s="1"/>
  <c r="G390" i="11"/>
  <c r="E390" i="11"/>
  <c r="D390" i="11"/>
  <c r="F390" i="11" s="1"/>
  <c r="G389" i="11"/>
  <c r="F389" i="11"/>
  <c r="E389" i="11"/>
  <c r="D389" i="11"/>
  <c r="G388" i="11"/>
  <c r="E388" i="11"/>
  <c r="D388" i="11"/>
  <c r="E387" i="11"/>
  <c r="D387" i="11"/>
  <c r="F386" i="11"/>
  <c r="E386" i="11"/>
  <c r="G387" i="11" s="1"/>
  <c r="D386" i="11"/>
  <c r="G385" i="11"/>
  <c r="E385" i="11"/>
  <c r="D385" i="11"/>
  <c r="F385" i="11" s="1"/>
  <c r="G384" i="11"/>
  <c r="F384" i="11"/>
  <c r="E384" i="11"/>
  <c r="D384" i="11"/>
  <c r="G383" i="11"/>
  <c r="E383" i="11"/>
  <c r="D383" i="11"/>
  <c r="E382" i="11"/>
  <c r="D382" i="11"/>
  <c r="E381" i="11"/>
  <c r="G382" i="11" s="1"/>
  <c r="D381" i="11"/>
  <c r="F381" i="11" s="1"/>
  <c r="G380" i="11"/>
  <c r="F380" i="11"/>
  <c r="E380" i="11"/>
  <c r="D380" i="11"/>
  <c r="G379" i="11"/>
  <c r="E379" i="11"/>
  <c r="D379" i="11"/>
  <c r="F379" i="11" s="1"/>
  <c r="F378" i="11"/>
  <c r="E378" i="11"/>
  <c r="G378" i="11" s="1"/>
  <c r="D378" i="11"/>
  <c r="E377" i="11"/>
  <c r="D377" i="11"/>
  <c r="E376" i="11"/>
  <c r="G377" i="11" s="1"/>
  <c r="D376" i="11"/>
  <c r="F376" i="11" s="1"/>
  <c r="E375" i="11"/>
  <c r="G375" i="11" s="1"/>
  <c r="D375" i="11"/>
  <c r="F375" i="11" s="1"/>
  <c r="F374" i="11"/>
  <c r="E374" i="11"/>
  <c r="D374" i="11"/>
  <c r="G373" i="11"/>
  <c r="E373" i="11"/>
  <c r="G374" i="11" s="1"/>
  <c r="D373" i="11"/>
  <c r="F373" i="11" s="1"/>
  <c r="E372" i="11"/>
  <c r="D372" i="11"/>
  <c r="E371" i="11"/>
  <c r="D371" i="11"/>
  <c r="E370" i="11"/>
  <c r="G370" i="11" s="1"/>
  <c r="D370" i="11"/>
  <c r="F371" i="11" s="1"/>
  <c r="G369" i="11"/>
  <c r="E369" i="11"/>
  <c r="D369" i="11"/>
  <c r="F369" i="11" s="1"/>
  <c r="G368" i="11"/>
  <c r="F368" i="11"/>
  <c r="E368" i="11"/>
  <c r="D368" i="11"/>
  <c r="E367" i="11"/>
  <c r="D367" i="11"/>
  <c r="E366" i="11"/>
  <c r="D366" i="11"/>
  <c r="F366" i="11" s="1"/>
  <c r="G365" i="11"/>
  <c r="E365" i="11"/>
  <c r="D365" i="11"/>
  <c r="F365" i="11" s="1"/>
  <c r="E364" i="11"/>
  <c r="D364" i="11"/>
  <c r="F364" i="11" s="1"/>
  <c r="F363" i="11"/>
  <c r="E363" i="11"/>
  <c r="G364" i="11" s="1"/>
  <c r="D363" i="11"/>
  <c r="G362" i="11"/>
  <c r="E362" i="11"/>
  <c r="D362" i="11"/>
  <c r="E361" i="11"/>
  <c r="D361" i="11"/>
  <c r="E360" i="11"/>
  <c r="G361" i="11" s="1"/>
  <c r="D360" i="11"/>
  <c r="F360" i="11" s="1"/>
  <c r="E359" i="11"/>
  <c r="D359" i="11"/>
  <c r="E358" i="11"/>
  <c r="G359" i="11" s="1"/>
  <c r="D358" i="11"/>
  <c r="F359" i="11" s="1"/>
  <c r="G357" i="11"/>
  <c r="E357" i="11"/>
  <c r="D357" i="11"/>
  <c r="F357" i="11" s="1"/>
  <c r="E356" i="11"/>
  <c r="D356" i="11"/>
  <c r="G355" i="11"/>
  <c r="E355" i="11"/>
  <c r="G356" i="11" s="1"/>
  <c r="D355" i="11"/>
  <c r="F356" i="11" s="1"/>
  <c r="G354" i="11"/>
  <c r="F354" i="11"/>
  <c r="E354" i="11"/>
  <c r="D354" i="11"/>
  <c r="F353" i="11"/>
  <c r="E353" i="11"/>
  <c r="G353" i="11" s="1"/>
  <c r="D353" i="11"/>
  <c r="G352" i="11"/>
  <c r="E352" i="11"/>
  <c r="D352" i="11"/>
  <c r="F352" i="11" s="1"/>
  <c r="E351" i="11"/>
  <c r="D351" i="11"/>
  <c r="E350" i="11"/>
  <c r="G350" i="11" s="1"/>
  <c r="D350" i="11"/>
  <c r="F351" i="11" s="1"/>
  <c r="G349" i="11"/>
  <c r="F349" i="11"/>
  <c r="E349" i="11"/>
  <c r="D349" i="11"/>
  <c r="E348" i="11"/>
  <c r="G348" i="11" s="1"/>
  <c r="D348" i="11"/>
  <c r="F348" i="11" s="1"/>
  <c r="G347" i="11"/>
  <c r="E347" i="11"/>
  <c r="D347" i="11"/>
  <c r="E346" i="11"/>
  <c r="D346" i="11"/>
  <c r="F346" i="11" s="1"/>
  <c r="E345" i="11"/>
  <c r="D345" i="11"/>
  <c r="G344" i="11"/>
  <c r="E344" i="11"/>
  <c r="D344" i="11"/>
  <c r="F344" i="11" s="1"/>
  <c r="G343" i="11"/>
  <c r="E343" i="11"/>
  <c r="D343" i="11"/>
  <c r="F343" i="11" s="1"/>
  <c r="G342" i="11"/>
  <c r="E342" i="11"/>
  <c r="D342" i="11"/>
  <c r="F342" i="11" s="1"/>
  <c r="G341" i="11"/>
  <c r="E341" i="11"/>
  <c r="D341" i="11"/>
  <c r="G340" i="11"/>
  <c r="E340" i="11"/>
  <c r="D340" i="11"/>
  <c r="E339" i="11"/>
  <c r="D339" i="11"/>
  <c r="F339" i="11" s="1"/>
  <c r="E338" i="11"/>
  <c r="G339" i="11" s="1"/>
  <c r="D338" i="11"/>
  <c r="G337" i="11"/>
  <c r="E337" i="11"/>
  <c r="D337" i="11"/>
  <c r="F337" i="11" s="1"/>
  <c r="G336" i="11"/>
  <c r="F336" i="11"/>
  <c r="E336" i="11"/>
  <c r="D336" i="11"/>
  <c r="G335" i="11"/>
  <c r="E335" i="11"/>
  <c r="D335" i="11"/>
  <c r="E334" i="11"/>
  <c r="D334" i="11"/>
  <c r="F335" i="11" s="1"/>
  <c r="E333" i="11"/>
  <c r="G334" i="11" s="1"/>
  <c r="D333" i="11"/>
  <c r="F333" i="11" s="1"/>
  <c r="E332" i="11"/>
  <c r="D332" i="11"/>
  <c r="F332" i="11" s="1"/>
  <c r="G331" i="11"/>
  <c r="F331" i="11"/>
  <c r="E331" i="11"/>
  <c r="G332" i="11" s="1"/>
  <c r="D331" i="11"/>
  <c r="E330" i="11"/>
  <c r="G330" i="11" s="1"/>
  <c r="D330" i="11"/>
  <c r="E329" i="11"/>
  <c r="D329" i="11"/>
  <c r="F330" i="11" s="1"/>
  <c r="E328" i="11"/>
  <c r="G329" i="11" s="1"/>
  <c r="D328" i="11"/>
  <c r="E327" i="11"/>
  <c r="D327" i="11"/>
  <c r="F327" i="11" s="1"/>
  <c r="F326" i="11"/>
  <c r="E326" i="11"/>
  <c r="G327" i="11" s="1"/>
  <c r="D326" i="11"/>
  <c r="G325" i="11"/>
  <c r="E325" i="11"/>
  <c r="D325" i="11"/>
  <c r="F325" i="11" s="1"/>
  <c r="E324" i="11"/>
  <c r="D324" i="11"/>
  <c r="E323" i="11"/>
  <c r="G324" i="11" s="1"/>
  <c r="D323" i="11"/>
  <c r="F323" i="11" s="1"/>
  <c r="G322" i="11"/>
  <c r="E322" i="11"/>
  <c r="D322" i="11"/>
  <c r="G321" i="11"/>
  <c r="E321" i="11"/>
  <c r="D321" i="11"/>
  <c r="F321" i="11" s="1"/>
  <c r="G320" i="11"/>
  <c r="E320" i="11"/>
  <c r="D320" i="11"/>
  <c r="E319" i="11"/>
  <c r="D319" i="11"/>
  <c r="G318" i="11"/>
  <c r="F318" i="11"/>
  <c r="E318" i="11"/>
  <c r="G319" i="11" s="1"/>
  <c r="D318" i="11"/>
  <c r="G317" i="11"/>
  <c r="E317" i="11"/>
  <c r="D317" i="11"/>
  <c r="F317" i="11" s="1"/>
  <c r="F316" i="11"/>
  <c r="E316" i="11"/>
  <c r="G316" i="11" s="1"/>
  <c r="D316" i="11"/>
  <c r="G315" i="11"/>
  <c r="F315" i="11"/>
  <c r="E315" i="11"/>
  <c r="D315" i="11"/>
  <c r="E314" i="11"/>
  <c r="D314" i="11"/>
  <c r="E313" i="11"/>
  <c r="G314" i="11" s="1"/>
  <c r="D313" i="11"/>
  <c r="F314" i="11" s="1"/>
  <c r="G312" i="11"/>
  <c r="E312" i="11"/>
  <c r="D312" i="11"/>
  <c r="E311" i="11"/>
  <c r="G311" i="11" s="1"/>
  <c r="D311" i="11"/>
  <c r="F311" i="11" s="1"/>
  <c r="G310" i="11"/>
  <c r="F310" i="11"/>
  <c r="E310" i="11"/>
  <c r="D310" i="11"/>
  <c r="E309" i="11"/>
  <c r="D309" i="11"/>
  <c r="E308" i="11"/>
  <c r="D308" i="11"/>
  <c r="F309" i="11" s="1"/>
  <c r="G307" i="11"/>
  <c r="E307" i="11"/>
  <c r="D307" i="11"/>
  <c r="G306" i="11"/>
  <c r="E306" i="11"/>
  <c r="D306" i="11"/>
  <c r="F306" i="11" s="1"/>
  <c r="F305" i="11"/>
  <c r="E305" i="11"/>
  <c r="G305" i="11" s="1"/>
  <c r="D305" i="11"/>
  <c r="E304" i="11"/>
  <c r="D304" i="11"/>
  <c r="F304" i="11" s="1"/>
  <c r="E303" i="11"/>
  <c r="D303" i="11"/>
  <c r="E302" i="11"/>
  <c r="D302" i="11"/>
  <c r="F302" i="11" s="1"/>
  <c r="E301" i="11"/>
  <c r="G302" i="11" s="1"/>
  <c r="D301" i="11"/>
  <c r="E300" i="11"/>
  <c r="G300" i="11" s="1"/>
  <c r="D300" i="11"/>
  <c r="F300" i="11" s="1"/>
  <c r="G299" i="11"/>
  <c r="E299" i="11"/>
  <c r="D299" i="11"/>
  <c r="G298" i="11"/>
  <c r="E298" i="11"/>
  <c r="D298" i="11"/>
  <c r="G297" i="11"/>
  <c r="E297" i="11"/>
  <c r="D297" i="11"/>
  <c r="F297" i="11" s="1"/>
  <c r="E296" i="11"/>
  <c r="G296" i="11" s="1"/>
  <c r="D296" i="11"/>
  <c r="E295" i="11"/>
  <c r="G295" i="11" s="1"/>
  <c r="D295" i="11"/>
  <c r="F296" i="11" s="1"/>
  <c r="G294" i="11"/>
  <c r="F294" i="11"/>
  <c r="E294" i="11"/>
  <c r="D294" i="11"/>
  <c r="G293" i="11"/>
  <c r="E293" i="11"/>
  <c r="D293" i="11"/>
  <c r="G292" i="11"/>
  <c r="E292" i="11"/>
  <c r="D292" i="11"/>
  <c r="F292" i="11" s="1"/>
  <c r="E291" i="11"/>
  <c r="G291" i="11" s="1"/>
  <c r="D291" i="11"/>
  <c r="G290" i="11"/>
  <c r="E290" i="11"/>
  <c r="D290" i="11"/>
  <c r="F290" i="11" s="1"/>
  <c r="F289" i="11"/>
  <c r="E289" i="11"/>
  <c r="D289" i="11"/>
  <c r="E288" i="11"/>
  <c r="G288" i="11" s="1"/>
  <c r="D288" i="11"/>
  <c r="E287" i="11"/>
  <c r="D287" i="11"/>
  <c r="E286" i="11"/>
  <c r="G287" i="11" s="1"/>
  <c r="D286" i="11"/>
  <c r="F286" i="11" s="1"/>
  <c r="G285" i="11"/>
  <c r="E285" i="11"/>
  <c r="D285" i="11"/>
  <c r="F285" i="11" s="1"/>
  <c r="G284" i="11"/>
  <c r="E284" i="11"/>
  <c r="D284" i="11"/>
  <c r="F284" i="11" s="1"/>
  <c r="E283" i="11"/>
  <c r="D283" i="11"/>
  <c r="F283" i="11" s="1"/>
  <c r="D282" i="11"/>
  <c r="C282" i="11"/>
  <c r="E282" i="11" s="1"/>
  <c r="F281" i="11"/>
  <c r="E281" i="11"/>
  <c r="G281" i="11" s="1"/>
  <c r="D281" i="11"/>
  <c r="F280" i="11"/>
  <c r="E280" i="11"/>
  <c r="G280" i="11" s="1"/>
  <c r="D280" i="11"/>
  <c r="G279" i="11"/>
  <c r="E279" i="11"/>
  <c r="D279" i="11"/>
  <c r="F279" i="11" s="1"/>
  <c r="G278" i="11"/>
  <c r="E278" i="11"/>
  <c r="D278" i="11"/>
  <c r="E277" i="11"/>
  <c r="D277" i="11"/>
  <c r="C277" i="11"/>
  <c r="E276" i="11"/>
  <c r="G276" i="11" s="1"/>
  <c r="D276" i="11"/>
  <c r="F276" i="11" s="1"/>
  <c r="G275" i="11"/>
  <c r="F275" i="11"/>
  <c r="E275" i="11"/>
  <c r="D275" i="11"/>
  <c r="E274" i="11"/>
  <c r="G274" i="11" s="1"/>
  <c r="D274" i="11"/>
  <c r="F274" i="11" s="1"/>
  <c r="G273" i="11"/>
  <c r="F273" i="11"/>
  <c r="E273" i="11"/>
  <c r="D273" i="11"/>
  <c r="E272" i="11"/>
  <c r="D272" i="11"/>
  <c r="E271" i="11"/>
  <c r="D271" i="11"/>
  <c r="F272" i="11" s="1"/>
  <c r="E270" i="11"/>
  <c r="G270" i="11" s="1"/>
  <c r="D270" i="11"/>
  <c r="F270" i="11" s="1"/>
  <c r="E269" i="11"/>
  <c r="G269" i="11" s="1"/>
  <c r="D269" i="11"/>
  <c r="F269" i="11" s="1"/>
  <c r="F268" i="11"/>
  <c r="E268" i="11"/>
  <c r="G268" i="11" s="1"/>
  <c r="D268" i="11"/>
  <c r="G267" i="11"/>
  <c r="E267" i="11"/>
  <c r="D267" i="11"/>
  <c r="E266" i="11"/>
  <c r="D266" i="11"/>
  <c r="F267" i="11" s="1"/>
  <c r="E265" i="11"/>
  <c r="G265" i="11" s="1"/>
  <c r="D265" i="11"/>
  <c r="F265" i="11" s="1"/>
  <c r="E264" i="11"/>
  <c r="G264" i="11" s="1"/>
  <c r="D264" i="11"/>
  <c r="F264" i="11" s="1"/>
  <c r="G263" i="11"/>
  <c r="F263" i="11"/>
  <c r="E263" i="11"/>
  <c r="D263" i="11"/>
  <c r="E262" i="11"/>
  <c r="G262" i="11" s="1"/>
  <c r="D262" i="11"/>
  <c r="F261" i="11"/>
  <c r="E261" i="11"/>
  <c r="D261" i="11"/>
  <c r="F262" i="11" s="1"/>
  <c r="E260" i="11"/>
  <c r="G260" i="11" s="1"/>
  <c r="D260" i="11"/>
  <c r="E259" i="11"/>
  <c r="D259" i="11"/>
  <c r="F259" i="11" s="1"/>
  <c r="F258" i="11"/>
  <c r="E258" i="11"/>
  <c r="G259" i="11" s="1"/>
  <c r="D258" i="11"/>
  <c r="G257" i="11"/>
  <c r="E257" i="11"/>
  <c r="D257" i="11"/>
  <c r="E256" i="11"/>
  <c r="G256" i="11" s="1"/>
  <c r="D256" i="11"/>
  <c r="F257" i="11" s="1"/>
  <c r="G255" i="11"/>
  <c r="E255" i="11"/>
  <c r="D255" i="11"/>
  <c r="F255" i="11" s="1"/>
  <c r="E254" i="11"/>
  <c r="G254" i="11" s="1"/>
  <c r="D254" i="11"/>
  <c r="F254" i="11" s="1"/>
  <c r="F253" i="11"/>
  <c r="E253" i="11"/>
  <c r="G253" i="11" s="1"/>
  <c r="D253" i="11"/>
  <c r="E252" i="11"/>
  <c r="G252" i="11" s="1"/>
  <c r="D252" i="11"/>
  <c r="F251" i="11"/>
  <c r="E251" i="11"/>
  <c r="D251" i="11"/>
  <c r="F252" i="11" s="1"/>
  <c r="E250" i="11"/>
  <c r="G250" i="11" s="1"/>
  <c r="D250" i="11"/>
  <c r="F250" i="11" s="1"/>
  <c r="E249" i="11"/>
  <c r="G249" i="11" s="1"/>
  <c r="D249" i="11"/>
  <c r="F249" i="11" s="1"/>
  <c r="F248" i="11"/>
  <c r="E248" i="11"/>
  <c r="D248" i="11"/>
  <c r="E247" i="11"/>
  <c r="G248" i="11" s="1"/>
  <c r="D247" i="11"/>
  <c r="E246" i="11"/>
  <c r="G246" i="11" s="1"/>
  <c r="D246" i="11"/>
  <c r="F247" i="11" s="1"/>
  <c r="G245" i="11"/>
  <c r="E245" i="11"/>
  <c r="D245" i="11"/>
  <c r="F245" i="11" s="1"/>
  <c r="E244" i="11"/>
  <c r="G244" i="11" s="1"/>
  <c r="D244" i="11"/>
  <c r="F244" i="11" s="1"/>
  <c r="F243" i="11"/>
  <c r="E243" i="11"/>
  <c r="G243" i="11" s="1"/>
  <c r="D243" i="11"/>
  <c r="E242" i="11"/>
  <c r="D242" i="11"/>
  <c r="E241" i="11"/>
  <c r="G242" i="11" s="1"/>
  <c r="D241" i="11"/>
  <c r="F242" i="11" s="1"/>
  <c r="E240" i="11"/>
  <c r="G240" i="11" s="1"/>
  <c r="D240" i="11"/>
  <c r="F240" i="11" s="1"/>
  <c r="E239" i="11"/>
  <c r="D239" i="11"/>
  <c r="F239" i="11" s="1"/>
  <c r="F238" i="11"/>
  <c r="E238" i="11"/>
  <c r="G239" i="11" s="1"/>
  <c r="D238" i="11"/>
  <c r="G237" i="11"/>
  <c r="E237" i="11"/>
  <c r="D237" i="11"/>
  <c r="E236" i="11"/>
  <c r="D236" i="11"/>
  <c r="F237" i="11" s="1"/>
  <c r="E235" i="11"/>
  <c r="G235" i="11" s="1"/>
  <c r="D235" i="11"/>
  <c r="F235" i="11" s="1"/>
  <c r="E234" i="11"/>
  <c r="G234" i="11" s="1"/>
  <c r="D234" i="11"/>
  <c r="F234" i="11" s="1"/>
  <c r="F233" i="11"/>
  <c r="E233" i="11"/>
  <c r="G233" i="11" s="1"/>
  <c r="D233" i="11"/>
  <c r="E232" i="11"/>
  <c r="G232" i="11" s="1"/>
  <c r="D232" i="11"/>
  <c r="F231" i="11"/>
  <c r="E231" i="11"/>
  <c r="D231" i="11"/>
  <c r="F232" i="11" s="1"/>
  <c r="E230" i="11"/>
  <c r="G230" i="11" s="1"/>
  <c r="D230" i="11"/>
  <c r="F230" i="11" s="1"/>
  <c r="E229" i="11"/>
  <c r="G229" i="11" s="1"/>
  <c r="D229" i="11"/>
  <c r="F229" i="11" s="1"/>
  <c r="F228" i="11"/>
  <c r="E228" i="11"/>
  <c r="G228" i="11" s="1"/>
  <c r="D228" i="11"/>
  <c r="E227" i="11"/>
  <c r="G227" i="11" s="1"/>
  <c r="D227" i="11"/>
  <c r="F226" i="11"/>
  <c r="E226" i="11"/>
  <c r="G226" i="11" s="1"/>
  <c r="D226" i="11"/>
  <c r="F227" i="11" s="1"/>
  <c r="E225" i="11"/>
  <c r="D225" i="11"/>
  <c r="F225" i="11" s="1"/>
  <c r="E224" i="11"/>
  <c r="G225" i="11" s="1"/>
  <c r="D224" i="11"/>
  <c r="F224" i="11" s="1"/>
  <c r="F223" i="11"/>
  <c r="E223" i="11"/>
  <c r="G223" i="11" s="1"/>
  <c r="D223" i="11"/>
  <c r="E222" i="11"/>
  <c r="G222" i="11" s="1"/>
  <c r="D222" i="11"/>
  <c r="E221" i="11"/>
  <c r="G221" i="11" s="1"/>
  <c r="D221" i="11"/>
  <c r="F222" i="11" s="1"/>
  <c r="G220" i="11"/>
  <c r="F220" i="11"/>
  <c r="E220" i="11"/>
  <c r="D220" i="11"/>
  <c r="E219" i="11"/>
  <c r="D219" i="11"/>
  <c r="F219" i="11" s="1"/>
  <c r="F218" i="11"/>
  <c r="E218" i="11"/>
  <c r="G219" i="11" s="1"/>
  <c r="D218" i="11"/>
  <c r="E217" i="11"/>
  <c r="G217" i="11" s="1"/>
  <c r="D217" i="11"/>
  <c r="F216" i="11"/>
  <c r="E216" i="11"/>
  <c r="G216" i="11" s="1"/>
  <c r="D216" i="11"/>
  <c r="F217" i="11" s="1"/>
  <c r="E215" i="11"/>
  <c r="G215" i="11" s="1"/>
  <c r="D215" i="11"/>
  <c r="F215" i="11" s="1"/>
  <c r="G214" i="11"/>
  <c r="E214" i="11"/>
  <c r="D214" i="11"/>
  <c r="F214" i="11" s="1"/>
  <c r="F213" i="11"/>
  <c r="E213" i="11"/>
  <c r="G213" i="11" s="1"/>
  <c r="D213" i="11"/>
  <c r="E212" i="11"/>
  <c r="D212" i="11"/>
  <c r="E211" i="11"/>
  <c r="G211" i="11" s="1"/>
  <c r="D211" i="11"/>
  <c r="F212" i="11" s="1"/>
  <c r="G210" i="11"/>
  <c r="F210" i="11"/>
  <c r="E210" i="11"/>
  <c r="D210" i="11"/>
  <c r="E209" i="11"/>
  <c r="G209" i="11" s="1"/>
  <c r="D209" i="11"/>
  <c r="F209" i="11" s="1"/>
  <c r="G208" i="11"/>
  <c r="E208" i="11"/>
  <c r="D208" i="11"/>
  <c r="F208" i="11" s="1"/>
  <c r="E207" i="11"/>
  <c r="G207" i="11" s="1"/>
  <c r="D207" i="11"/>
  <c r="E206" i="11"/>
  <c r="D206" i="11"/>
  <c r="F207" i="11" s="1"/>
  <c r="E205" i="11"/>
  <c r="G205" i="11" s="1"/>
  <c r="D205" i="11"/>
  <c r="F205" i="11" s="1"/>
  <c r="G204" i="11"/>
  <c r="E204" i="11"/>
  <c r="D204" i="11"/>
  <c r="E203" i="11"/>
  <c r="G203" i="11" s="1"/>
  <c r="D203" i="11"/>
  <c r="F203" i="11" s="1"/>
  <c r="E202" i="11"/>
  <c r="G202" i="11" s="1"/>
  <c r="D202" i="11"/>
  <c r="E201" i="11"/>
  <c r="D201" i="11"/>
  <c r="F202" i="11" s="1"/>
  <c r="E200" i="11"/>
  <c r="G200" i="11" s="1"/>
  <c r="D200" i="11"/>
  <c r="F201" i="11" s="1"/>
  <c r="E199" i="11"/>
  <c r="G199" i="11" s="1"/>
  <c r="D199" i="11"/>
  <c r="F199" i="11" s="1"/>
  <c r="G198" i="11"/>
  <c r="E198" i="11"/>
  <c r="D198" i="11"/>
  <c r="F198" i="11" s="1"/>
  <c r="E197" i="11"/>
  <c r="G197" i="11" s="1"/>
  <c r="D197" i="11"/>
  <c r="E196" i="11"/>
  <c r="G196" i="11" s="1"/>
  <c r="D196" i="11"/>
  <c r="F197" i="11" s="1"/>
  <c r="E195" i="11"/>
  <c r="D195" i="11"/>
  <c r="F195" i="11" s="1"/>
  <c r="E194" i="11"/>
  <c r="G195" i="11" s="1"/>
  <c r="D194" i="11"/>
  <c r="E193" i="11"/>
  <c r="G193" i="11" s="1"/>
  <c r="D193" i="11"/>
  <c r="F193" i="11" s="1"/>
  <c r="E192" i="11"/>
  <c r="D192" i="11"/>
  <c r="E191" i="11"/>
  <c r="G191" i="11" s="1"/>
  <c r="D191" i="11"/>
  <c r="F192" i="11" s="1"/>
  <c r="E190" i="11"/>
  <c r="G190" i="11" s="1"/>
  <c r="D190" i="11"/>
  <c r="E189" i="11"/>
  <c r="D189" i="11"/>
  <c r="E188" i="11"/>
  <c r="G189" i="11" s="1"/>
  <c r="D188" i="11"/>
  <c r="F188" i="11" s="1"/>
  <c r="E187" i="11"/>
  <c r="G187" i="11" s="1"/>
  <c r="D187" i="11"/>
  <c r="E186" i="11"/>
  <c r="D186" i="11"/>
  <c r="F187" i="11" s="1"/>
  <c r="F185" i="11"/>
  <c r="E185" i="11"/>
  <c r="G185" i="11" s="1"/>
  <c r="D185" i="11"/>
  <c r="E184" i="11"/>
  <c r="D184" i="11"/>
  <c r="E183" i="11"/>
  <c r="G184" i="11" s="1"/>
  <c r="D183" i="11"/>
  <c r="F183" i="11" s="1"/>
  <c r="E182" i="11"/>
  <c r="G182" i="11" s="1"/>
  <c r="D182" i="11"/>
  <c r="E181" i="11"/>
  <c r="G181" i="11" s="1"/>
  <c r="D181" i="11"/>
  <c r="F182" i="11" s="1"/>
  <c r="E180" i="11"/>
  <c r="G180" i="11" s="1"/>
  <c r="D180" i="11"/>
  <c r="F180" i="11" s="1"/>
  <c r="E179" i="11"/>
  <c r="G179" i="11" s="1"/>
  <c r="D179" i="11"/>
  <c r="E178" i="11"/>
  <c r="D178" i="11"/>
  <c r="F178" i="11" s="1"/>
  <c r="E177" i="11"/>
  <c r="G178" i="11" s="1"/>
  <c r="D177" i="11"/>
  <c r="E176" i="11"/>
  <c r="D176" i="11"/>
  <c r="F177" i="11" s="1"/>
  <c r="F175" i="11"/>
  <c r="E175" i="11"/>
  <c r="G175" i="11" s="1"/>
  <c r="D175" i="11"/>
  <c r="E174" i="11"/>
  <c r="G174" i="11" s="1"/>
  <c r="D174" i="11"/>
  <c r="F174" i="11" s="1"/>
  <c r="G173" i="11"/>
  <c r="F173" i="11"/>
  <c r="E173" i="11"/>
  <c r="D173" i="11"/>
  <c r="E172" i="11"/>
  <c r="D172" i="11"/>
  <c r="E171" i="11"/>
  <c r="D171" i="11"/>
  <c r="F172" i="11" s="1"/>
  <c r="E170" i="11"/>
  <c r="G170" i="11" s="1"/>
  <c r="D170" i="11"/>
  <c r="F170" i="11" s="1"/>
  <c r="E169" i="11"/>
  <c r="G169" i="11" s="1"/>
  <c r="D169" i="11"/>
  <c r="E168" i="11"/>
  <c r="G168" i="11" s="1"/>
  <c r="D168" i="11"/>
  <c r="F168" i="11" s="1"/>
  <c r="G167" i="11"/>
  <c r="E167" i="11"/>
  <c r="D167" i="11"/>
  <c r="E166" i="11"/>
  <c r="D166" i="11"/>
  <c r="F167" i="11" s="1"/>
  <c r="E165" i="11"/>
  <c r="G165" i="11" s="1"/>
  <c r="D165" i="11"/>
  <c r="F165" i="11" s="1"/>
  <c r="E164" i="11"/>
  <c r="G164" i="11" s="1"/>
  <c r="D164" i="11"/>
  <c r="F164" i="11" s="1"/>
  <c r="G163" i="11"/>
  <c r="F163" i="11"/>
  <c r="E163" i="11"/>
  <c r="D163" i="11"/>
  <c r="E162" i="11"/>
  <c r="G162" i="11" s="1"/>
  <c r="D162" i="11"/>
  <c r="F161" i="11"/>
  <c r="E161" i="11"/>
  <c r="D161" i="11"/>
  <c r="F162" i="11" s="1"/>
  <c r="E160" i="11"/>
  <c r="G160" i="11" s="1"/>
  <c r="D160" i="11"/>
  <c r="E159" i="11"/>
  <c r="D159" i="11"/>
  <c r="E158" i="11"/>
  <c r="G158" i="11" s="1"/>
  <c r="D158" i="11"/>
  <c r="F158" i="11" s="1"/>
  <c r="G157" i="11"/>
  <c r="E157" i="11"/>
  <c r="D157" i="11"/>
  <c r="E156" i="11"/>
  <c r="G156" i="11" s="1"/>
  <c r="D156" i="11"/>
  <c r="F157" i="11" s="1"/>
  <c r="G155" i="11"/>
  <c r="E155" i="11"/>
  <c r="D155" i="11"/>
  <c r="F155" i="11" s="1"/>
  <c r="E154" i="11"/>
  <c r="G154" i="11" s="1"/>
  <c r="D154" i="11"/>
  <c r="E153" i="11"/>
  <c r="G153" i="11" s="1"/>
  <c r="D153" i="11"/>
  <c r="F153" i="11" s="1"/>
  <c r="E152" i="11"/>
  <c r="G152" i="11" s="1"/>
  <c r="D152" i="11"/>
  <c r="F151" i="11"/>
  <c r="E151" i="11"/>
  <c r="D151" i="11"/>
  <c r="F152" i="11" s="1"/>
  <c r="E150" i="11"/>
  <c r="G150" i="11" s="1"/>
  <c r="D150" i="11"/>
  <c r="F150" i="11" s="1"/>
  <c r="E149" i="11"/>
  <c r="G149" i="11" s="1"/>
  <c r="D149" i="11"/>
  <c r="E148" i="11"/>
  <c r="D148" i="11"/>
  <c r="F148" i="11" s="1"/>
  <c r="E147" i="11"/>
  <c r="G148" i="11" s="1"/>
  <c r="D147" i="11"/>
  <c r="E146" i="11"/>
  <c r="G146" i="11" s="1"/>
  <c r="D146" i="11"/>
  <c r="F147" i="11" s="1"/>
  <c r="G145" i="11"/>
  <c r="E145" i="11"/>
  <c r="D145" i="11"/>
  <c r="F145" i="11" s="1"/>
  <c r="E144" i="11"/>
  <c r="G144" i="11" s="1"/>
  <c r="D144" i="11"/>
  <c r="F144" i="11" s="1"/>
  <c r="F143" i="11"/>
  <c r="E143" i="11"/>
  <c r="G143" i="11" s="1"/>
  <c r="D143" i="11"/>
  <c r="E142" i="11"/>
  <c r="D142" i="11"/>
  <c r="E141" i="11"/>
  <c r="D141" i="11"/>
  <c r="F142" i="11" s="1"/>
  <c r="E140" i="11"/>
  <c r="G140" i="11" s="1"/>
  <c r="D140" i="11"/>
  <c r="F140" i="11" s="1"/>
  <c r="E139" i="11"/>
  <c r="D139" i="11"/>
  <c r="F139" i="11" s="1"/>
  <c r="F138" i="11"/>
  <c r="E138" i="11"/>
  <c r="G139" i="11" s="1"/>
  <c r="D138" i="11"/>
  <c r="G137" i="11"/>
  <c r="E137" i="11"/>
  <c r="D137" i="11"/>
  <c r="E136" i="11"/>
  <c r="D136" i="11"/>
  <c r="F137" i="11" s="1"/>
  <c r="E135" i="11"/>
  <c r="G135" i="11" s="1"/>
  <c r="D135" i="11"/>
  <c r="F135" i="11" s="1"/>
  <c r="E134" i="11"/>
  <c r="G134" i="11" s="1"/>
  <c r="D134" i="11"/>
  <c r="F134" i="11" s="1"/>
  <c r="E133" i="11"/>
  <c r="G133" i="11" s="1"/>
  <c r="D133" i="11"/>
  <c r="F133" i="11" s="1"/>
  <c r="E132" i="11"/>
  <c r="G132" i="11" s="1"/>
  <c r="D132" i="11"/>
  <c r="F131" i="11"/>
  <c r="E131" i="11"/>
  <c r="D131" i="11"/>
  <c r="F132" i="11" s="1"/>
  <c r="E130" i="11"/>
  <c r="G130" i="11" s="1"/>
  <c r="D130" i="11"/>
  <c r="F130" i="11" s="1"/>
  <c r="E129" i="11"/>
  <c r="G129" i="11" s="1"/>
  <c r="D129" i="11"/>
  <c r="F129" i="11" s="1"/>
  <c r="F128" i="11"/>
  <c r="E128" i="11"/>
  <c r="G128" i="11" s="1"/>
  <c r="D128" i="11"/>
  <c r="E127" i="11"/>
  <c r="G127" i="11" s="1"/>
  <c r="D127" i="11"/>
  <c r="F126" i="11"/>
  <c r="E126" i="11"/>
  <c r="G126" i="11" s="1"/>
  <c r="D126" i="11"/>
  <c r="F127" i="11" s="1"/>
  <c r="E125" i="11"/>
  <c r="D125" i="11"/>
  <c r="F125" i="11" s="1"/>
  <c r="E124" i="11"/>
  <c r="G125" i="11" s="1"/>
  <c r="D124" i="11"/>
  <c r="E123" i="11"/>
  <c r="G123" i="11" s="1"/>
  <c r="D123" i="11"/>
  <c r="F123" i="11" s="1"/>
  <c r="E122" i="11"/>
  <c r="G122" i="11" s="1"/>
  <c r="D122" i="11"/>
  <c r="E121" i="11"/>
  <c r="G121" i="11" s="1"/>
  <c r="D121" i="11"/>
  <c r="F122" i="11" s="1"/>
  <c r="G120" i="11"/>
  <c r="F120" i="11"/>
  <c r="E120" i="11"/>
  <c r="D120" i="11"/>
  <c r="E119" i="11"/>
  <c r="D119" i="11"/>
  <c r="E118" i="11"/>
  <c r="G119" i="11" s="1"/>
  <c r="D118" i="11"/>
  <c r="F118" i="11" s="1"/>
  <c r="E117" i="11"/>
  <c r="G117" i="11" s="1"/>
  <c r="D117" i="11"/>
  <c r="F116" i="11"/>
  <c r="E116" i="11"/>
  <c r="G116" i="11" s="1"/>
  <c r="D116" i="11"/>
  <c r="F117" i="11" s="1"/>
  <c r="E115" i="11"/>
  <c r="G115" i="11" s="1"/>
  <c r="D115" i="11"/>
  <c r="F115" i="11" s="1"/>
  <c r="G114" i="11"/>
  <c r="E114" i="11"/>
  <c r="D114" i="11"/>
  <c r="F114" i="11" s="1"/>
  <c r="F113" i="11"/>
  <c r="E113" i="11"/>
  <c r="G113" i="11" s="1"/>
  <c r="D113" i="11"/>
  <c r="E112" i="11"/>
  <c r="D112" i="11"/>
  <c r="E111" i="11"/>
  <c r="G111" i="11" s="1"/>
  <c r="D111" i="11"/>
  <c r="F112" i="11" s="1"/>
  <c r="G110" i="11"/>
  <c r="F110" i="11"/>
  <c r="E110" i="11"/>
  <c r="D110" i="11"/>
  <c r="E109" i="11"/>
  <c r="G109" i="11" s="1"/>
  <c r="D109" i="11"/>
  <c r="F109" i="11" s="1"/>
  <c r="G108" i="11"/>
  <c r="E108" i="11"/>
  <c r="D108" i="11"/>
  <c r="F108" i="11" s="1"/>
  <c r="E107" i="11"/>
  <c r="G107" i="11" s="1"/>
  <c r="D107" i="11"/>
  <c r="E106" i="11"/>
  <c r="D106" i="11"/>
  <c r="F107" i="11" s="1"/>
  <c r="E105" i="11"/>
  <c r="G105" i="11" s="1"/>
  <c r="D105" i="11"/>
  <c r="F105" i="11" s="1"/>
  <c r="G104" i="11"/>
  <c r="E104" i="11"/>
  <c r="D104" i="11"/>
  <c r="E103" i="11"/>
  <c r="G103" i="11" s="1"/>
  <c r="D103" i="11"/>
  <c r="F103" i="11" s="1"/>
  <c r="E102" i="11"/>
  <c r="G102" i="11" s="1"/>
  <c r="D102" i="11"/>
  <c r="E101" i="11"/>
  <c r="D101" i="11"/>
  <c r="F102" i="11" s="1"/>
  <c r="E100" i="11"/>
  <c r="G100" i="11" s="1"/>
  <c r="D100" i="11"/>
  <c r="F101" i="11" s="1"/>
  <c r="E99" i="11"/>
  <c r="G99" i="11" s="1"/>
  <c r="D99" i="11"/>
  <c r="F99" i="11" s="1"/>
  <c r="G98" i="11"/>
  <c r="E98" i="11"/>
  <c r="D98" i="11"/>
  <c r="F98" i="11" s="1"/>
  <c r="E97" i="11"/>
  <c r="G97" i="11" s="1"/>
  <c r="D97" i="11"/>
  <c r="E96" i="11"/>
  <c r="G96" i="11" s="1"/>
  <c r="D96" i="11"/>
  <c r="F97" i="11" s="1"/>
  <c r="C96" i="11"/>
  <c r="E95" i="11"/>
  <c r="G95" i="11" s="1"/>
  <c r="D95" i="11"/>
  <c r="F95" i="11" s="1"/>
  <c r="E94" i="11"/>
  <c r="D94" i="11"/>
  <c r="F94" i="11" s="1"/>
  <c r="F93" i="11"/>
  <c r="E93" i="11"/>
  <c r="G93" i="11" s="1"/>
  <c r="D93" i="11"/>
  <c r="F92" i="11"/>
  <c r="E92" i="11"/>
  <c r="D92" i="11"/>
  <c r="G91" i="11"/>
  <c r="E91" i="11"/>
  <c r="G92" i="11" s="1"/>
  <c r="D91" i="11"/>
  <c r="F91" i="11" s="1"/>
  <c r="E90" i="11"/>
  <c r="D90" i="11"/>
  <c r="F90" i="11" s="1"/>
  <c r="E89" i="11"/>
  <c r="D89" i="11"/>
  <c r="F89" i="11" s="1"/>
  <c r="E88" i="11"/>
  <c r="G88" i="11" s="1"/>
  <c r="D88" i="11"/>
  <c r="F88" i="11" s="1"/>
  <c r="E87" i="11"/>
  <c r="D87" i="11"/>
  <c r="G86" i="11"/>
  <c r="F86" i="11"/>
  <c r="E86" i="11"/>
  <c r="G87" i="11" s="1"/>
  <c r="D86" i="11"/>
  <c r="F87" i="11" s="1"/>
  <c r="E85" i="11"/>
  <c r="G85" i="11" s="1"/>
  <c r="D85" i="11"/>
  <c r="E84" i="11"/>
  <c r="D84" i="11"/>
  <c r="F85" i="11" s="1"/>
  <c r="E83" i="11"/>
  <c r="G83" i="11" s="1"/>
  <c r="D83" i="11"/>
  <c r="F83" i="11" s="1"/>
  <c r="G82" i="11"/>
  <c r="E82" i="11"/>
  <c r="D82" i="11"/>
  <c r="F82" i="11" s="1"/>
  <c r="F81" i="11"/>
  <c r="E81" i="11"/>
  <c r="G81" i="11" s="1"/>
  <c r="D81" i="11"/>
  <c r="G80" i="11"/>
  <c r="E80" i="11"/>
  <c r="D80" i="11"/>
  <c r="F80" i="11" s="1"/>
  <c r="E79" i="11"/>
  <c r="D79" i="11"/>
  <c r="F79" i="11" s="1"/>
  <c r="E78" i="11"/>
  <c r="G78" i="11" s="1"/>
  <c r="D78" i="11"/>
  <c r="F78" i="11" s="1"/>
  <c r="G77" i="11"/>
  <c r="F77" i="11"/>
  <c r="E77" i="11"/>
  <c r="D77" i="11"/>
  <c r="E76" i="11"/>
  <c r="G76" i="11" s="1"/>
  <c r="D76" i="11"/>
  <c r="F76" i="11" s="1"/>
  <c r="F75" i="11"/>
  <c r="E75" i="11"/>
  <c r="G75" i="11" s="1"/>
  <c r="D75" i="11"/>
  <c r="E74" i="11"/>
  <c r="D74" i="11"/>
  <c r="F74" i="11" s="1"/>
  <c r="E73" i="11"/>
  <c r="G73" i="11" s="1"/>
  <c r="D73" i="11"/>
  <c r="F73" i="11" s="1"/>
  <c r="G72" i="11"/>
  <c r="F72" i="11"/>
  <c r="E72" i="11"/>
  <c r="D72" i="11"/>
  <c r="E71" i="11"/>
  <c r="G71" i="11" s="1"/>
  <c r="D71" i="11"/>
  <c r="F71" i="11" s="1"/>
  <c r="G70" i="11"/>
  <c r="E70" i="11"/>
  <c r="D70" i="11"/>
  <c r="F70" i="11" s="1"/>
  <c r="E69" i="11"/>
  <c r="D69" i="11"/>
  <c r="E68" i="11"/>
  <c r="G68" i="11" s="1"/>
  <c r="D68" i="11"/>
  <c r="F69" i="11" s="1"/>
  <c r="G67" i="11"/>
  <c r="E67" i="11"/>
  <c r="D67" i="11"/>
  <c r="F67" i="11" s="1"/>
  <c r="E66" i="11"/>
  <c r="G66" i="11" s="1"/>
  <c r="D66" i="11"/>
  <c r="F66" i="11" s="1"/>
  <c r="G65" i="11"/>
  <c r="F65" i="11"/>
  <c r="E65" i="11"/>
  <c r="D65" i="11"/>
  <c r="E64" i="11"/>
  <c r="D64" i="11"/>
  <c r="F64" i="11" s="1"/>
  <c r="E63" i="11"/>
  <c r="G63" i="11" s="1"/>
  <c r="D63" i="11"/>
  <c r="F63" i="11" s="1"/>
  <c r="G62" i="11"/>
  <c r="E62" i="11"/>
  <c r="D62" i="11"/>
  <c r="F62" i="11" s="1"/>
  <c r="G61" i="11"/>
  <c r="E61" i="11"/>
  <c r="D61" i="11"/>
  <c r="F61" i="11" s="1"/>
  <c r="F60" i="11"/>
  <c r="E60" i="11"/>
  <c r="G60" i="11" s="1"/>
  <c r="D60" i="11"/>
  <c r="F59" i="11"/>
  <c r="E59" i="11"/>
  <c r="D59" i="11"/>
  <c r="E58" i="11"/>
  <c r="G58" i="11" s="1"/>
  <c r="D58" i="11"/>
  <c r="F58" i="11" s="1"/>
  <c r="G57" i="11"/>
  <c r="E57" i="11"/>
  <c r="D57" i="11"/>
  <c r="F57" i="11" s="1"/>
  <c r="G56" i="11"/>
  <c r="F56" i="11"/>
  <c r="E56" i="11"/>
  <c r="D56" i="11"/>
  <c r="E55" i="11"/>
  <c r="G55" i="11" s="1"/>
  <c r="D55" i="11"/>
  <c r="F55" i="11" s="1"/>
  <c r="E54" i="11"/>
  <c r="G54" i="11" s="1"/>
  <c r="D54" i="11"/>
  <c r="F54" i="11" s="1"/>
  <c r="G53" i="11"/>
  <c r="E53" i="11"/>
  <c r="D53" i="11"/>
  <c r="F53" i="11" s="1"/>
  <c r="E52" i="11"/>
  <c r="D52" i="11"/>
  <c r="F52" i="11" s="1"/>
  <c r="F51" i="11"/>
  <c r="E51" i="11"/>
  <c r="G51" i="11" s="1"/>
  <c r="D51" i="11"/>
  <c r="E50" i="11"/>
  <c r="G50" i="11" s="1"/>
  <c r="D50" i="11"/>
  <c r="F50" i="11" s="1"/>
  <c r="F49" i="11"/>
  <c r="E49" i="11"/>
  <c r="D49" i="11"/>
  <c r="E48" i="11"/>
  <c r="G48" i="11" s="1"/>
  <c r="D48" i="11"/>
  <c r="E47" i="11"/>
  <c r="D47" i="11"/>
  <c r="F48" i="11" s="1"/>
  <c r="E46" i="11"/>
  <c r="G46" i="11" s="1"/>
  <c r="D46" i="11"/>
  <c r="F46" i="11" s="1"/>
  <c r="E45" i="11"/>
  <c r="G45" i="11" s="1"/>
  <c r="D45" i="11"/>
  <c r="F45" i="11" s="1"/>
  <c r="F44" i="11"/>
  <c r="E44" i="11"/>
  <c r="G44" i="11" s="1"/>
  <c r="D44" i="11"/>
  <c r="G43" i="11"/>
  <c r="E43" i="11"/>
  <c r="D43" i="11"/>
  <c r="F43" i="11" s="1"/>
  <c r="E42" i="11"/>
  <c r="D42" i="11"/>
  <c r="F42" i="11" s="1"/>
  <c r="E41" i="11"/>
  <c r="G41" i="11" s="1"/>
  <c r="D41" i="11"/>
  <c r="F41" i="11" s="1"/>
  <c r="G40" i="11"/>
  <c r="E40" i="11"/>
  <c r="D40" i="11"/>
  <c r="F40" i="11" s="1"/>
  <c r="E39" i="11"/>
  <c r="G39" i="11" s="1"/>
  <c r="D39" i="11"/>
  <c r="F39" i="11" s="1"/>
  <c r="F38" i="11"/>
  <c r="E38" i="11"/>
  <c r="G38" i="11" s="1"/>
  <c r="D38" i="11"/>
  <c r="E37" i="11"/>
  <c r="D37" i="11"/>
  <c r="F37" i="11" s="1"/>
  <c r="E36" i="11"/>
  <c r="G36" i="11" s="1"/>
  <c r="D36" i="11"/>
  <c r="F36" i="11" s="1"/>
  <c r="G35" i="11"/>
  <c r="F35" i="11"/>
  <c r="E35" i="11"/>
  <c r="D35" i="11"/>
  <c r="E34" i="11"/>
  <c r="G34" i="11" s="1"/>
  <c r="D34" i="11"/>
  <c r="F34" i="11" s="1"/>
  <c r="G33" i="11"/>
  <c r="E33" i="11"/>
  <c r="D33" i="11"/>
  <c r="F33" i="11" s="1"/>
  <c r="E32" i="11"/>
  <c r="D32" i="11"/>
  <c r="F32" i="11" s="1"/>
  <c r="E31" i="11"/>
  <c r="G32" i="11" s="1"/>
  <c r="D31" i="11"/>
  <c r="F31" i="11" s="1"/>
  <c r="F30" i="11"/>
  <c r="E30" i="11"/>
  <c r="G30" i="11" s="1"/>
  <c r="D30" i="11"/>
  <c r="E29" i="11"/>
  <c r="G29" i="11" s="1"/>
  <c r="D29" i="11"/>
  <c r="F29" i="11" s="1"/>
  <c r="G28" i="11"/>
  <c r="F28" i="11"/>
  <c r="E28" i="11"/>
  <c r="D28" i="11"/>
  <c r="E27" i="11"/>
  <c r="D27" i="11"/>
  <c r="E26" i="11"/>
  <c r="G27" i="11" s="1"/>
  <c r="D26" i="11"/>
  <c r="F27" i="11" s="1"/>
  <c r="E25" i="11"/>
  <c r="G25" i="11" s="1"/>
  <c r="D25" i="11"/>
  <c r="F25" i="11" s="1"/>
  <c r="E24" i="11"/>
  <c r="D24" i="11"/>
  <c r="F24" i="11" s="1"/>
  <c r="F23" i="11"/>
  <c r="E23" i="11"/>
  <c r="G23" i="11" s="1"/>
  <c r="D23" i="11"/>
  <c r="G22" i="11"/>
  <c r="E22" i="11"/>
  <c r="D22" i="11"/>
  <c r="F22" i="11" s="1"/>
  <c r="E21" i="11"/>
  <c r="G21" i="11" s="1"/>
  <c r="D21" i="11"/>
  <c r="F21" i="11" s="1"/>
  <c r="E20" i="11"/>
  <c r="G20" i="11" s="1"/>
  <c r="D20" i="11"/>
  <c r="F20" i="11" s="1"/>
  <c r="F19" i="11"/>
  <c r="E19" i="11"/>
  <c r="D19" i="11"/>
  <c r="E18" i="11"/>
  <c r="G18" i="11" s="1"/>
  <c r="D18" i="11"/>
  <c r="F18" i="11" s="1"/>
  <c r="F17" i="11"/>
  <c r="E17" i="11"/>
  <c r="D17" i="11"/>
  <c r="D16" i="11"/>
  <c r="F16" i="11" s="1"/>
  <c r="C16" i="11"/>
  <c r="E16" i="11" s="1"/>
  <c r="F15" i="11"/>
  <c r="E15" i="11"/>
  <c r="G15" i="11" s="1"/>
  <c r="D15" i="11"/>
  <c r="G14" i="11"/>
  <c r="E14" i="11"/>
  <c r="D14" i="11"/>
  <c r="F14" i="11" s="1"/>
  <c r="F13" i="11"/>
  <c r="E13" i="11"/>
  <c r="G13" i="11" s="1"/>
  <c r="D13" i="11"/>
  <c r="G12" i="11"/>
  <c r="E12" i="11"/>
  <c r="D12" i="11"/>
  <c r="E11" i="11"/>
  <c r="G11" i="11" s="1"/>
  <c r="D11" i="11"/>
  <c r="F11" i="11" s="1"/>
  <c r="F10" i="11"/>
  <c r="E10" i="11"/>
  <c r="G10" i="11" s="1"/>
  <c r="D10" i="11"/>
  <c r="G9" i="11"/>
  <c r="F9" i="11"/>
  <c r="E9" i="11"/>
  <c r="D9" i="11"/>
  <c r="E8" i="11"/>
  <c r="G8" i="11" s="1"/>
  <c r="D8" i="11"/>
  <c r="F8" i="11" s="1"/>
  <c r="E7" i="11"/>
  <c r="G7" i="11" s="1"/>
  <c r="D7" i="11"/>
  <c r="E6" i="11"/>
  <c r="D6" i="11"/>
  <c r="F6" i="11" s="1"/>
  <c r="F5" i="11"/>
  <c r="E5" i="11"/>
  <c r="G6" i="11" s="1"/>
  <c r="D5" i="11"/>
  <c r="F4" i="11"/>
  <c r="E4" i="11"/>
  <c r="G4" i="11" s="1"/>
  <c r="D4" i="11"/>
  <c r="E3" i="11"/>
  <c r="G3" i="11" s="1"/>
  <c r="D3" i="11"/>
  <c r="F3" i="11" s="1"/>
  <c r="E2" i="11"/>
  <c r="D2" i="11"/>
  <c r="E262" i="5"/>
  <c r="D262" i="5"/>
  <c r="E261" i="5"/>
  <c r="D261" i="5"/>
  <c r="E260" i="5"/>
  <c r="D260" i="5"/>
  <c r="F260" i="5" s="1"/>
  <c r="E259" i="5"/>
  <c r="D259" i="5"/>
  <c r="F258" i="5"/>
  <c r="E258" i="5"/>
  <c r="D258" i="5"/>
  <c r="F259" i="5" s="1"/>
  <c r="E257" i="5"/>
  <c r="D257" i="5"/>
  <c r="E256" i="5"/>
  <c r="D256" i="5"/>
  <c r="E255" i="5"/>
  <c r="G255" i="5" s="1"/>
  <c r="D255" i="5"/>
  <c r="E254" i="5"/>
  <c r="D254" i="5"/>
  <c r="E253" i="5"/>
  <c r="G254" i="5" s="1"/>
  <c r="D253" i="5"/>
  <c r="E252" i="5"/>
  <c r="D252" i="5"/>
  <c r="F252" i="5" s="1"/>
  <c r="E251" i="5"/>
  <c r="D251" i="5"/>
  <c r="E250" i="5"/>
  <c r="G250" i="5" s="1"/>
  <c r="D250" i="5"/>
  <c r="E249" i="5"/>
  <c r="D249" i="5"/>
  <c r="E248" i="5"/>
  <c r="G248" i="5" s="1"/>
  <c r="D248" i="5"/>
  <c r="F249" i="5" s="1"/>
  <c r="E247" i="5"/>
  <c r="G247" i="5" s="1"/>
  <c r="D247" i="5"/>
  <c r="F247" i="5" s="1"/>
  <c r="E246" i="5"/>
  <c r="D246" i="5"/>
  <c r="E245" i="5"/>
  <c r="D245" i="5"/>
  <c r="F244" i="5"/>
  <c r="E244" i="5"/>
  <c r="D244" i="5"/>
  <c r="F243" i="5"/>
  <c r="E243" i="5"/>
  <c r="D243" i="5"/>
  <c r="E242" i="5"/>
  <c r="D242" i="5"/>
  <c r="E241" i="5"/>
  <c r="D241" i="5"/>
  <c r="F240" i="5"/>
  <c r="E240" i="5"/>
  <c r="G240" i="5" s="1"/>
  <c r="D240" i="5"/>
  <c r="G239" i="5"/>
  <c r="E239" i="5"/>
  <c r="D239" i="5"/>
  <c r="F238" i="5"/>
  <c r="E238" i="5"/>
  <c r="D238" i="5"/>
  <c r="F239" i="5" s="1"/>
  <c r="E237" i="5"/>
  <c r="G237" i="5" s="1"/>
  <c r="D237" i="5"/>
  <c r="E236" i="5"/>
  <c r="G236" i="5" s="1"/>
  <c r="D236" i="5"/>
  <c r="E235" i="5"/>
  <c r="D235" i="5"/>
  <c r="E234" i="5"/>
  <c r="D234" i="5"/>
  <c r="F234" i="5" s="1"/>
  <c r="E233" i="5"/>
  <c r="G233" i="5" s="1"/>
  <c r="D233" i="5"/>
  <c r="F233" i="5" s="1"/>
  <c r="E232" i="5"/>
  <c r="D232" i="5"/>
  <c r="F232" i="5" s="1"/>
  <c r="E231" i="5"/>
  <c r="D231" i="5"/>
  <c r="E230" i="5"/>
  <c r="G230" i="5" s="1"/>
  <c r="D230" i="5"/>
  <c r="E229" i="5"/>
  <c r="D229" i="5"/>
  <c r="E228" i="5"/>
  <c r="G228" i="5" s="1"/>
  <c r="D228" i="5"/>
  <c r="F229" i="5" s="1"/>
  <c r="E227" i="5"/>
  <c r="G227" i="5" s="1"/>
  <c r="D227" i="5"/>
  <c r="F227" i="5" s="1"/>
  <c r="E226" i="5"/>
  <c r="D226" i="5"/>
  <c r="E225" i="5"/>
  <c r="D225" i="5"/>
  <c r="F224" i="5"/>
  <c r="E224" i="5"/>
  <c r="D224" i="5"/>
  <c r="F223" i="5"/>
  <c r="E223" i="5"/>
  <c r="D223" i="5"/>
  <c r="E222" i="5"/>
  <c r="D222" i="5"/>
  <c r="E221" i="5"/>
  <c r="D221" i="5"/>
  <c r="F220" i="5"/>
  <c r="E220" i="5"/>
  <c r="G220" i="5" s="1"/>
  <c r="D220" i="5"/>
  <c r="G219" i="5"/>
  <c r="E219" i="5"/>
  <c r="D219" i="5"/>
  <c r="F218" i="5"/>
  <c r="E218" i="5"/>
  <c r="D218" i="5"/>
  <c r="F219" i="5" s="1"/>
  <c r="E217" i="5"/>
  <c r="G217" i="5" s="1"/>
  <c r="D217" i="5"/>
  <c r="E216" i="5"/>
  <c r="G216" i="5" s="1"/>
  <c r="D216" i="5"/>
  <c r="E215" i="5"/>
  <c r="D215" i="5"/>
  <c r="E214" i="5"/>
  <c r="D214" i="5"/>
  <c r="F214" i="5" s="1"/>
  <c r="E213" i="5"/>
  <c r="G213" i="5" s="1"/>
  <c r="D213" i="5"/>
  <c r="F213" i="5" s="1"/>
  <c r="E212" i="5"/>
  <c r="D212" i="5"/>
  <c r="F212" i="5" s="1"/>
  <c r="E211" i="5"/>
  <c r="D211" i="5"/>
  <c r="E210" i="5"/>
  <c r="G210" i="5" s="1"/>
  <c r="D210" i="5"/>
  <c r="E209" i="5"/>
  <c r="D209" i="5"/>
  <c r="E208" i="5"/>
  <c r="G208" i="5" s="1"/>
  <c r="D208" i="5"/>
  <c r="F209" i="5" s="1"/>
  <c r="E207" i="5"/>
  <c r="G207" i="5" s="1"/>
  <c r="D207" i="5"/>
  <c r="F207" i="5" s="1"/>
  <c r="E206" i="5"/>
  <c r="D206" i="5"/>
  <c r="E205" i="5"/>
  <c r="D205" i="5"/>
  <c r="F204" i="5"/>
  <c r="E204" i="5"/>
  <c r="D204" i="5"/>
  <c r="F203" i="5"/>
  <c r="E203" i="5"/>
  <c r="D203" i="5"/>
  <c r="E202" i="5"/>
  <c r="D202" i="5"/>
  <c r="E201" i="5"/>
  <c r="D201" i="5"/>
  <c r="F200" i="5"/>
  <c r="E200" i="5"/>
  <c r="G200" i="5" s="1"/>
  <c r="D200" i="5"/>
  <c r="G199" i="5"/>
  <c r="E199" i="5"/>
  <c r="D199" i="5"/>
  <c r="F198" i="5"/>
  <c r="E198" i="5"/>
  <c r="D198" i="5"/>
  <c r="F199" i="5" s="1"/>
  <c r="E197" i="5"/>
  <c r="G197" i="5" s="1"/>
  <c r="D197" i="5"/>
  <c r="E196" i="5"/>
  <c r="D196" i="5"/>
  <c r="E195" i="5"/>
  <c r="G195" i="5" s="1"/>
  <c r="D195" i="5"/>
  <c r="F195" i="5" s="1"/>
  <c r="F194" i="5"/>
  <c r="E194" i="5"/>
  <c r="D194" i="5"/>
  <c r="F193" i="5"/>
  <c r="E193" i="5"/>
  <c r="D193" i="5"/>
  <c r="E192" i="5"/>
  <c r="G192" i="5" s="1"/>
  <c r="D192" i="5"/>
  <c r="E191" i="5"/>
  <c r="D191" i="5"/>
  <c r="E190" i="5"/>
  <c r="D190" i="5"/>
  <c r="E189" i="5"/>
  <c r="D189" i="5"/>
  <c r="E188" i="5"/>
  <c r="D188" i="5"/>
  <c r="E187" i="5"/>
  <c r="G187" i="5" s="1"/>
  <c r="D187" i="5"/>
  <c r="E186" i="5"/>
  <c r="D186" i="5"/>
  <c r="E185" i="5"/>
  <c r="D185" i="5"/>
  <c r="E184" i="5"/>
  <c r="D184" i="5"/>
  <c r="F184" i="5" s="1"/>
  <c r="E183" i="5"/>
  <c r="D183" i="5"/>
  <c r="F183" i="5" s="1"/>
  <c r="E182" i="5"/>
  <c r="D182" i="5"/>
  <c r="E181" i="5"/>
  <c r="D181" i="5"/>
  <c r="F180" i="5"/>
  <c r="E180" i="5"/>
  <c r="D180" i="5"/>
  <c r="E179" i="5"/>
  <c r="D179" i="5"/>
  <c r="E178" i="5"/>
  <c r="G178" i="5" s="1"/>
  <c r="D178" i="5"/>
  <c r="F179" i="5" s="1"/>
  <c r="E177" i="5"/>
  <c r="D177" i="5"/>
  <c r="E176" i="5"/>
  <c r="D176" i="5"/>
  <c r="G175" i="5"/>
  <c r="E175" i="5"/>
  <c r="D175" i="5"/>
  <c r="F174" i="5"/>
  <c r="E174" i="5"/>
  <c r="D174" i="5"/>
  <c r="E173" i="5"/>
  <c r="D173" i="5"/>
  <c r="F173" i="5" s="1"/>
  <c r="E172" i="5"/>
  <c r="D172" i="5"/>
  <c r="F172" i="5" s="1"/>
  <c r="E171" i="5"/>
  <c r="G171" i="5" s="1"/>
  <c r="D171" i="5"/>
  <c r="E170" i="5"/>
  <c r="D170" i="5"/>
  <c r="F170" i="5" s="1"/>
  <c r="E169" i="5"/>
  <c r="G169" i="5" s="1"/>
  <c r="D169" i="5"/>
  <c r="E168" i="5"/>
  <c r="G168" i="5" s="1"/>
  <c r="D168" i="5"/>
  <c r="F169" i="5" s="1"/>
  <c r="E167" i="5"/>
  <c r="D167" i="5"/>
  <c r="F167" i="5" s="1"/>
  <c r="E166" i="5"/>
  <c r="D166" i="5"/>
  <c r="E165" i="5"/>
  <c r="D165" i="5"/>
  <c r="F165" i="5" s="1"/>
  <c r="F164" i="5"/>
  <c r="E164" i="5"/>
  <c r="D164" i="5"/>
  <c r="F163" i="5"/>
  <c r="E163" i="5"/>
  <c r="D163" i="5"/>
  <c r="E162" i="5"/>
  <c r="G162" i="5" s="1"/>
  <c r="D162" i="5"/>
  <c r="E161" i="5"/>
  <c r="D161" i="5"/>
  <c r="E160" i="5"/>
  <c r="D160" i="5"/>
  <c r="F160" i="5" s="1"/>
  <c r="E159" i="5"/>
  <c r="G159" i="5" s="1"/>
  <c r="D159" i="5"/>
  <c r="F158" i="5"/>
  <c r="E158" i="5"/>
  <c r="G158" i="5" s="1"/>
  <c r="D158" i="5"/>
  <c r="E157" i="5"/>
  <c r="D157" i="5"/>
  <c r="E156" i="5"/>
  <c r="G156" i="5" s="1"/>
  <c r="D156" i="5"/>
  <c r="E155" i="5"/>
  <c r="D155" i="5"/>
  <c r="F155" i="5" s="1"/>
  <c r="F154" i="5"/>
  <c r="E154" i="5"/>
  <c r="G154" i="5" s="1"/>
  <c r="D154" i="5"/>
  <c r="E153" i="5"/>
  <c r="D153" i="5"/>
  <c r="F153" i="5" s="1"/>
  <c r="E152" i="5"/>
  <c r="G152" i="5" s="1"/>
  <c r="D152" i="5"/>
  <c r="E151" i="5"/>
  <c r="D151" i="5"/>
  <c r="F151" i="5" s="1"/>
  <c r="E150" i="5"/>
  <c r="G150" i="5" s="1"/>
  <c r="D150" i="5"/>
  <c r="F150" i="5" s="1"/>
  <c r="E149" i="5"/>
  <c r="D149" i="5"/>
  <c r="E148" i="5"/>
  <c r="D148" i="5"/>
  <c r="G147" i="5"/>
  <c r="E147" i="5"/>
  <c r="D147" i="5"/>
  <c r="E146" i="5"/>
  <c r="G146" i="5" s="1"/>
  <c r="D146" i="5"/>
  <c r="G145" i="5"/>
  <c r="E145" i="5"/>
  <c r="D145" i="5"/>
  <c r="F145" i="5" s="1"/>
  <c r="E144" i="5"/>
  <c r="G144" i="5" s="1"/>
  <c r="D144" i="5"/>
  <c r="F144" i="5" s="1"/>
  <c r="E143" i="5"/>
  <c r="D143" i="5"/>
  <c r="F143" i="5" s="1"/>
  <c r="E142" i="5"/>
  <c r="G142" i="5" s="1"/>
  <c r="D142" i="5"/>
  <c r="E141" i="5"/>
  <c r="D141" i="5"/>
  <c r="E140" i="5"/>
  <c r="D140" i="5"/>
  <c r="F140" i="5" s="1"/>
  <c r="E139" i="5"/>
  <c r="D139" i="5"/>
  <c r="E138" i="5"/>
  <c r="D138" i="5"/>
  <c r="F139" i="5" s="1"/>
  <c r="E137" i="5"/>
  <c r="G137" i="5" s="1"/>
  <c r="D137" i="5"/>
  <c r="E136" i="5"/>
  <c r="D136" i="5"/>
  <c r="E135" i="5"/>
  <c r="D135" i="5"/>
  <c r="F135" i="5" s="1"/>
  <c r="E134" i="5"/>
  <c r="G134" i="5" s="1"/>
  <c r="D134" i="5"/>
  <c r="F133" i="5"/>
  <c r="E133" i="5"/>
  <c r="G133" i="5" s="1"/>
  <c r="D133" i="5"/>
  <c r="E132" i="5"/>
  <c r="D132" i="5"/>
  <c r="E131" i="5"/>
  <c r="G131" i="5" s="1"/>
  <c r="D131" i="5"/>
  <c r="E130" i="5"/>
  <c r="D130" i="5"/>
  <c r="F130" i="5" s="1"/>
  <c r="F129" i="5"/>
  <c r="E129" i="5"/>
  <c r="G129" i="5" s="1"/>
  <c r="D129" i="5"/>
  <c r="E128" i="5"/>
  <c r="D128" i="5"/>
  <c r="F128" i="5" s="1"/>
  <c r="E127" i="5"/>
  <c r="G127" i="5" s="1"/>
  <c r="D127" i="5"/>
  <c r="E126" i="5"/>
  <c r="D126" i="5"/>
  <c r="F126" i="5" s="1"/>
  <c r="F125" i="5"/>
  <c r="E125" i="5"/>
  <c r="G125" i="5" s="1"/>
  <c r="D125" i="5"/>
  <c r="E124" i="5"/>
  <c r="D124" i="5"/>
  <c r="E123" i="5"/>
  <c r="D123" i="5"/>
  <c r="E122" i="5"/>
  <c r="G122" i="5" s="1"/>
  <c r="D122" i="5"/>
  <c r="E121" i="5"/>
  <c r="D121" i="5"/>
  <c r="F121" i="5" s="1"/>
  <c r="E120" i="5"/>
  <c r="G120" i="5" s="1"/>
  <c r="D120" i="5"/>
  <c r="F119" i="5"/>
  <c r="E119" i="5"/>
  <c r="G119" i="5" s="1"/>
  <c r="D119" i="5"/>
  <c r="E118" i="5"/>
  <c r="G118" i="5" s="1"/>
  <c r="D118" i="5"/>
  <c r="E117" i="5"/>
  <c r="G117" i="5" s="1"/>
  <c r="D117" i="5"/>
  <c r="E116" i="5"/>
  <c r="G116" i="5" s="1"/>
  <c r="D116" i="5"/>
  <c r="E115" i="5"/>
  <c r="G115" i="5" s="1"/>
  <c r="D115" i="5"/>
  <c r="F115" i="5" s="1"/>
  <c r="E114" i="5"/>
  <c r="G114" i="5" s="1"/>
  <c r="D114" i="5"/>
  <c r="E113" i="5"/>
  <c r="D113" i="5"/>
  <c r="F114" i="5" s="1"/>
  <c r="E112" i="5"/>
  <c r="G112" i="5" s="1"/>
  <c r="D112" i="5"/>
  <c r="E111" i="5"/>
  <c r="D111" i="5"/>
  <c r="E110" i="5"/>
  <c r="D110" i="5"/>
  <c r="F110" i="5" s="1"/>
  <c r="E109" i="5"/>
  <c r="G109" i="5" s="1"/>
  <c r="D109" i="5"/>
  <c r="E108" i="5"/>
  <c r="D108" i="5"/>
  <c r="E107" i="5"/>
  <c r="G107" i="5" s="1"/>
  <c r="D107" i="5"/>
  <c r="E106" i="5"/>
  <c r="G106" i="5" s="1"/>
  <c r="D106" i="5"/>
  <c r="E105" i="5"/>
  <c r="D105" i="5"/>
  <c r="F105" i="5" s="1"/>
  <c r="E104" i="5"/>
  <c r="G104" i="5" s="1"/>
  <c r="D104" i="5"/>
  <c r="F104" i="5" s="1"/>
  <c r="E103" i="5"/>
  <c r="G103" i="5" s="1"/>
  <c r="D103" i="5"/>
  <c r="F103" i="5" s="1"/>
  <c r="E102" i="5"/>
  <c r="G102" i="5" s="1"/>
  <c r="D102" i="5"/>
  <c r="E101" i="5"/>
  <c r="D101" i="5"/>
  <c r="E100" i="5"/>
  <c r="G100" i="5" s="1"/>
  <c r="D100" i="5"/>
  <c r="F100" i="5" s="1"/>
  <c r="E99" i="5"/>
  <c r="D99" i="5"/>
  <c r="E98" i="5"/>
  <c r="G98" i="5" s="1"/>
  <c r="D98" i="5"/>
  <c r="E97" i="5"/>
  <c r="D97" i="5"/>
  <c r="E96" i="5"/>
  <c r="G96" i="5" s="1"/>
  <c r="D96" i="5"/>
  <c r="E95" i="5"/>
  <c r="G95" i="5" s="1"/>
  <c r="D95" i="5"/>
  <c r="G94" i="5"/>
  <c r="E94" i="5"/>
  <c r="D94" i="5"/>
  <c r="F94" i="5" s="1"/>
  <c r="E93" i="5"/>
  <c r="D93" i="5"/>
  <c r="G92" i="5"/>
  <c r="E92" i="5"/>
  <c r="D92" i="5"/>
  <c r="F92" i="5" s="1"/>
  <c r="E91" i="5"/>
  <c r="D91" i="5"/>
  <c r="E90" i="5"/>
  <c r="G90" i="5" s="1"/>
  <c r="D90" i="5"/>
  <c r="E89" i="5"/>
  <c r="D89" i="5"/>
  <c r="E88" i="5"/>
  <c r="G89" i="5" s="1"/>
  <c r="D88" i="5"/>
  <c r="E87" i="5"/>
  <c r="G87" i="5" s="1"/>
  <c r="D87" i="5"/>
  <c r="E86" i="5"/>
  <c r="D86" i="5"/>
  <c r="F86" i="5" s="1"/>
  <c r="F85" i="5"/>
  <c r="E85" i="5"/>
  <c r="G85" i="5" s="1"/>
  <c r="D85" i="5"/>
  <c r="E84" i="5"/>
  <c r="D84" i="5"/>
  <c r="E83" i="5"/>
  <c r="D83" i="5"/>
  <c r="E82" i="5"/>
  <c r="G82" i="5" s="1"/>
  <c r="D82" i="5"/>
  <c r="E81" i="5"/>
  <c r="D81" i="5"/>
  <c r="E80" i="5"/>
  <c r="D80" i="5"/>
  <c r="E79" i="5"/>
  <c r="D79" i="5"/>
  <c r="F79" i="5" s="1"/>
  <c r="E78" i="5"/>
  <c r="G78" i="5" s="1"/>
  <c r="D78" i="5"/>
  <c r="F78" i="5" s="1"/>
  <c r="E77" i="5"/>
  <c r="G77" i="5" s="1"/>
  <c r="D77" i="5"/>
  <c r="E76" i="5"/>
  <c r="D76" i="5"/>
  <c r="F76" i="5" s="1"/>
  <c r="E75" i="5"/>
  <c r="D75" i="5"/>
  <c r="F75" i="5" s="1"/>
  <c r="E74" i="5"/>
  <c r="D74" i="5"/>
  <c r="E73" i="5"/>
  <c r="D73" i="5"/>
  <c r="F74" i="5" s="1"/>
  <c r="E72" i="5"/>
  <c r="D72" i="5"/>
  <c r="E71" i="5"/>
  <c r="G72" i="5" s="1"/>
  <c r="D71" i="5"/>
  <c r="F70" i="5"/>
  <c r="E70" i="5"/>
  <c r="D70" i="5"/>
  <c r="E69" i="5"/>
  <c r="D69" i="5"/>
  <c r="F68" i="5"/>
  <c r="E68" i="5"/>
  <c r="D68" i="5"/>
  <c r="E67" i="5"/>
  <c r="G67" i="5" s="1"/>
  <c r="D67" i="5"/>
  <c r="E66" i="5"/>
  <c r="G66" i="5" s="1"/>
  <c r="D66" i="5"/>
  <c r="E65" i="5"/>
  <c r="D65" i="5"/>
  <c r="F65" i="5" s="1"/>
  <c r="F64" i="5"/>
  <c r="E64" i="5"/>
  <c r="G64" i="5" s="1"/>
  <c r="D64" i="5"/>
  <c r="E63" i="5"/>
  <c r="D63" i="5"/>
  <c r="F63" i="5" s="1"/>
  <c r="E62" i="5"/>
  <c r="G62" i="5" s="1"/>
  <c r="D62" i="5"/>
  <c r="E61" i="5"/>
  <c r="D61" i="5"/>
  <c r="F61" i="5" s="1"/>
  <c r="E60" i="5"/>
  <c r="G60" i="5" s="1"/>
  <c r="D60" i="5"/>
  <c r="F60" i="5" s="1"/>
  <c r="G59" i="5"/>
  <c r="F59" i="5"/>
  <c r="E59" i="5"/>
  <c r="D59" i="5"/>
  <c r="G58" i="5"/>
  <c r="E58" i="5"/>
  <c r="D58" i="5"/>
  <c r="E57" i="5"/>
  <c r="G57" i="5" s="1"/>
  <c r="D57" i="5"/>
  <c r="E56" i="5"/>
  <c r="D56" i="5"/>
  <c r="G55" i="5"/>
  <c r="E55" i="5"/>
  <c r="D55" i="5"/>
  <c r="F55" i="5" s="1"/>
  <c r="E54" i="5"/>
  <c r="D54" i="5"/>
  <c r="E53" i="5"/>
  <c r="G53" i="5" s="1"/>
  <c r="D53" i="5"/>
  <c r="E52" i="5"/>
  <c r="G52" i="5" s="1"/>
  <c r="D52" i="5"/>
  <c r="E51" i="5"/>
  <c r="D51" i="5"/>
  <c r="E50" i="5"/>
  <c r="G50" i="5" s="1"/>
  <c r="D50" i="5"/>
  <c r="E49" i="5"/>
  <c r="D49" i="5"/>
  <c r="F50" i="5" s="1"/>
  <c r="E48" i="5"/>
  <c r="G49" i="5" s="1"/>
  <c r="D48" i="5"/>
  <c r="E47" i="5"/>
  <c r="G47" i="5" s="1"/>
  <c r="D47" i="5"/>
  <c r="E46" i="5"/>
  <c r="D46" i="5"/>
  <c r="E45" i="5"/>
  <c r="D45" i="5"/>
  <c r="E44" i="5"/>
  <c r="D44" i="5"/>
  <c r="F44" i="5" s="1"/>
  <c r="E43" i="5"/>
  <c r="D43" i="5"/>
  <c r="G42" i="5"/>
  <c r="E42" i="5"/>
  <c r="D42" i="5"/>
  <c r="E41" i="5"/>
  <c r="G41" i="5" s="1"/>
  <c r="D41" i="5"/>
  <c r="F41" i="5" s="1"/>
  <c r="G40" i="5"/>
  <c r="E40" i="5"/>
  <c r="D40" i="5"/>
  <c r="F40" i="5" s="1"/>
  <c r="E39" i="5"/>
  <c r="D39" i="5"/>
  <c r="G38" i="5"/>
  <c r="E38" i="5"/>
  <c r="D38" i="5"/>
  <c r="F39" i="5" s="1"/>
  <c r="G37" i="5"/>
  <c r="E37" i="5"/>
  <c r="D37" i="5"/>
  <c r="F37" i="5" s="1"/>
  <c r="E36" i="5"/>
  <c r="D36" i="5"/>
  <c r="E35" i="5"/>
  <c r="G35" i="5" s="1"/>
  <c r="D35" i="5"/>
  <c r="E34" i="5"/>
  <c r="D34" i="5"/>
  <c r="E33" i="5"/>
  <c r="D33" i="5"/>
  <c r="E32" i="5"/>
  <c r="D32" i="5"/>
  <c r="E31" i="5"/>
  <c r="G31" i="5" s="1"/>
  <c r="D31" i="5"/>
  <c r="F31" i="5" s="1"/>
  <c r="G30" i="5"/>
  <c r="E30" i="5"/>
  <c r="D30" i="5"/>
  <c r="E29" i="5"/>
  <c r="G29" i="5" s="1"/>
  <c r="D29" i="5"/>
  <c r="F29" i="5" s="1"/>
  <c r="E28" i="5"/>
  <c r="G28" i="5" s="1"/>
  <c r="D28" i="5"/>
  <c r="F28" i="5" s="1"/>
  <c r="E27" i="5"/>
  <c r="G27" i="5" s="1"/>
  <c r="D27" i="5"/>
  <c r="E26" i="5"/>
  <c r="D26" i="5"/>
  <c r="E25" i="5"/>
  <c r="G25" i="5" s="1"/>
  <c r="D25" i="5"/>
  <c r="F25" i="5" s="1"/>
  <c r="F24" i="5"/>
  <c r="E24" i="5"/>
  <c r="D24" i="5"/>
  <c r="E23" i="5"/>
  <c r="G24" i="5" s="1"/>
  <c r="D23" i="5"/>
  <c r="F23" i="5" s="1"/>
  <c r="E22" i="5"/>
  <c r="G22" i="5" s="1"/>
  <c r="D22" i="5"/>
  <c r="E21" i="5"/>
  <c r="D21" i="5"/>
  <c r="F21" i="5" s="1"/>
  <c r="E20" i="5"/>
  <c r="G20" i="5" s="1"/>
  <c r="D20" i="5"/>
  <c r="E19" i="5"/>
  <c r="D19" i="5"/>
  <c r="E18" i="5"/>
  <c r="D18" i="5"/>
  <c r="E17" i="5"/>
  <c r="D17" i="5"/>
  <c r="E16" i="5"/>
  <c r="G17" i="5" s="1"/>
  <c r="D16" i="5"/>
  <c r="E15" i="5"/>
  <c r="G15" i="5" s="1"/>
  <c r="D15" i="5"/>
  <c r="E14" i="5"/>
  <c r="G14" i="5" s="1"/>
  <c r="D14" i="5"/>
  <c r="G13" i="5"/>
  <c r="E13" i="5"/>
  <c r="D13" i="5"/>
  <c r="F14" i="5" s="1"/>
  <c r="E12" i="5"/>
  <c r="G12" i="5" s="1"/>
  <c r="D12" i="5"/>
  <c r="E11" i="5"/>
  <c r="D11" i="5"/>
  <c r="E10" i="5"/>
  <c r="D10" i="5"/>
  <c r="F10" i="5" s="1"/>
  <c r="E9" i="5"/>
  <c r="D9" i="5"/>
  <c r="E8" i="5"/>
  <c r="D8" i="5"/>
  <c r="E7" i="5"/>
  <c r="G7" i="5" s="1"/>
  <c r="D7" i="5"/>
  <c r="E6" i="5"/>
  <c r="D6" i="5"/>
  <c r="F6" i="5" s="1"/>
  <c r="E5" i="5"/>
  <c r="G5" i="5" s="1"/>
  <c r="D5" i="5"/>
  <c r="E4" i="5"/>
  <c r="D4" i="5"/>
  <c r="F5" i="5" s="1"/>
  <c r="G3" i="5"/>
  <c r="F3" i="5"/>
  <c r="E3" i="5"/>
  <c r="D3" i="5"/>
  <c r="E2" i="5"/>
  <c r="D2" i="5"/>
  <c r="E262" i="4"/>
  <c r="G262" i="4" s="1"/>
  <c r="D262" i="4"/>
  <c r="F262" i="4" s="1"/>
  <c r="G261" i="4"/>
  <c r="F261" i="4"/>
  <c r="E261" i="4"/>
  <c r="D261" i="4"/>
  <c r="E260" i="4"/>
  <c r="D260" i="4"/>
  <c r="F259" i="4"/>
  <c r="E259" i="4"/>
  <c r="D259" i="4"/>
  <c r="F260" i="4" s="1"/>
  <c r="E258" i="4"/>
  <c r="G258" i="4" s="1"/>
  <c r="D258" i="4"/>
  <c r="F258" i="4" s="1"/>
  <c r="E257" i="4"/>
  <c r="G257" i="4" s="1"/>
  <c r="D257" i="4"/>
  <c r="F257" i="4" s="1"/>
  <c r="G256" i="4"/>
  <c r="F256" i="4"/>
  <c r="E256" i="4"/>
  <c r="D256" i="4"/>
  <c r="E255" i="4"/>
  <c r="D255" i="4"/>
  <c r="E254" i="4"/>
  <c r="D254" i="4"/>
  <c r="F255" i="4" s="1"/>
  <c r="G253" i="4"/>
  <c r="F253" i="4"/>
  <c r="E253" i="4"/>
  <c r="D253" i="4"/>
  <c r="E252" i="4"/>
  <c r="D252" i="4"/>
  <c r="F252" i="4" s="1"/>
  <c r="F251" i="4"/>
  <c r="E251" i="4"/>
  <c r="G251" i="4" s="1"/>
  <c r="D251" i="4"/>
  <c r="E250" i="4"/>
  <c r="D250" i="4"/>
  <c r="E249" i="4"/>
  <c r="D249" i="4"/>
  <c r="F250" i="4" s="1"/>
  <c r="G248" i="4"/>
  <c r="F248" i="4"/>
  <c r="E248" i="4"/>
  <c r="D248" i="4"/>
  <c r="E247" i="4"/>
  <c r="G247" i="4" s="1"/>
  <c r="D247" i="4"/>
  <c r="F247" i="4" s="1"/>
  <c r="G246" i="4"/>
  <c r="F246" i="4"/>
  <c r="E246" i="4"/>
  <c r="D246" i="4"/>
  <c r="E245" i="4"/>
  <c r="D245" i="4"/>
  <c r="E244" i="4"/>
  <c r="D244" i="4"/>
  <c r="G243" i="4"/>
  <c r="E243" i="4"/>
  <c r="D243" i="4"/>
  <c r="F243" i="4" s="1"/>
  <c r="E242" i="4"/>
  <c r="G242" i="4" s="1"/>
  <c r="D242" i="4"/>
  <c r="F242" i="4" s="1"/>
  <c r="G241" i="4"/>
  <c r="F241" i="4"/>
  <c r="E241" i="4"/>
  <c r="D241" i="4"/>
  <c r="E240" i="4"/>
  <c r="D240" i="4"/>
  <c r="F239" i="4"/>
  <c r="E239" i="4"/>
  <c r="D239" i="4"/>
  <c r="F240" i="4" s="1"/>
  <c r="E238" i="4"/>
  <c r="G238" i="4" s="1"/>
  <c r="D238" i="4"/>
  <c r="E237" i="4"/>
  <c r="G237" i="4" s="1"/>
  <c r="D237" i="4"/>
  <c r="F237" i="4" s="1"/>
  <c r="F236" i="4"/>
  <c r="E236" i="4"/>
  <c r="G236" i="4" s="1"/>
  <c r="D236" i="4"/>
  <c r="E235" i="4"/>
  <c r="D235" i="4"/>
  <c r="E234" i="4"/>
  <c r="D234" i="4"/>
  <c r="F235" i="4" s="1"/>
  <c r="F233" i="4"/>
  <c r="E233" i="4"/>
  <c r="G233" i="4" s="1"/>
  <c r="D233" i="4"/>
  <c r="E232" i="4"/>
  <c r="D232" i="4"/>
  <c r="F232" i="4" s="1"/>
  <c r="F231" i="4"/>
  <c r="E231" i="4"/>
  <c r="G231" i="4" s="1"/>
  <c r="D231" i="4"/>
  <c r="E230" i="4"/>
  <c r="D230" i="4"/>
  <c r="E229" i="4"/>
  <c r="D229" i="4"/>
  <c r="F230" i="4" s="1"/>
  <c r="G228" i="4"/>
  <c r="E228" i="4"/>
  <c r="D228" i="4"/>
  <c r="E227" i="4"/>
  <c r="G227" i="4" s="1"/>
  <c r="D227" i="4"/>
  <c r="F227" i="4" s="1"/>
  <c r="G226" i="4"/>
  <c r="F226" i="4"/>
  <c r="E226" i="4"/>
  <c r="D226" i="4"/>
  <c r="E225" i="4"/>
  <c r="D225" i="4"/>
  <c r="E224" i="4"/>
  <c r="D224" i="4"/>
  <c r="G223" i="4"/>
  <c r="E223" i="4"/>
  <c r="D223" i="4"/>
  <c r="F223" i="4" s="1"/>
  <c r="E222" i="4"/>
  <c r="G222" i="4" s="1"/>
  <c r="D222" i="4"/>
  <c r="F222" i="4" s="1"/>
  <c r="G221" i="4"/>
  <c r="F221" i="4"/>
  <c r="E221" i="4"/>
  <c r="D221" i="4"/>
  <c r="E220" i="4"/>
  <c r="D220" i="4"/>
  <c r="F219" i="4"/>
  <c r="E219" i="4"/>
  <c r="D219" i="4"/>
  <c r="F220" i="4" s="1"/>
  <c r="E218" i="4"/>
  <c r="D218" i="4"/>
  <c r="F218" i="4" s="1"/>
  <c r="E217" i="4"/>
  <c r="G217" i="4" s="1"/>
  <c r="D217" i="4"/>
  <c r="F217" i="4" s="1"/>
  <c r="F216" i="4"/>
  <c r="E216" i="4"/>
  <c r="G216" i="4" s="1"/>
  <c r="D216" i="4"/>
  <c r="E215" i="4"/>
  <c r="D215" i="4"/>
  <c r="E214" i="4"/>
  <c r="D214" i="4"/>
  <c r="F215" i="4" s="1"/>
  <c r="F213" i="4"/>
  <c r="E213" i="4"/>
  <c r="G213" i="4" s="1"/>
  <c r="D213" i="4"/>
  <c r="E212" i="4"/>
  <c r="D212" i="4"/>
  <c r="F212" i="4" s="1"/>
  <c r="F211" i="4"/>
  <c r="E211" i="4"/>
  <c r="G211" i="4" s="1"/>
  <c r="D211" i="4"/>
  <c r="E210" i="4"/>
  <c r="D210" i="4"/>
  <c r="E209" i="4"/>
  <c r="D209" i="4"/>
  <c r="F210" i="4" s="1"/>
  <c r="G208" i="4"/>
  <c r="F208" i="4"/>
  <c r="E208" i="4"/>
  <c r="D208" i="4"/>
  <c r="E207" i="4"/>
  <c r="G207" i="4" s="1"/>
  <c r="D207" i="4"/>
  <c r="F207" i="4" s="1"/>
  <c r="G206" i="4"/>
  <c r="F206" i="4"/>
  <c r="E206" i="4"/>
  <c r="D206" i="4"/>
  <c r="E205" i="4"/>
  <c r="D205" i="4"/>
  <c r="E204" i="4"/>
  <c r="D204" i="4"/>
  <c r="G203" i="4"/>
  <c r="E203" i="4"/>
  <c r="D203" i="4"/>
  <c r="E202" i="4"/>
  <c r="G202" i="4" s="1"/>
  <c r="D202" i="4"/>
  <c r="F202" i="4" s="1"/>
  <c r="G201" i="4"/>
  <c r="F201" i="4"/>
  <c r="E201" i="4"/>
  <c r="D201" i="4"/>
  <c r="E200" i="4"/>
  <c r="D200" i="4"/>
  <c r="F199" i="4"/>
  <c r="E199" i="4"/>
  <c r="D199" i="4"/>
  <c r="F200" i="4" s="1"/>
  <c r="E198" i="4"/>
  <c r="D198" i="4"/>
  <c r="E197" i="4"/>
  <c r="G197" i="4" s="1"/>
  <c r="D197" i="4"/>
  <c r="F197" i="4" s="1"/>
  <c r="F196" i="4"/>
  <c r="E196" i="4"/>
  <c r="G196" i="4" s="1"/>
  <c r="D196" i="4"/>
  <c r="E195" i="4"/>
  <c r="D195" i="4"/>
  <c r="E194" i="4"/>
  <c r="D194" i="4"/>
  <c r="F195" i="4" s="1"/>
  <c r="F193" i="4"/>
  <c r="E193" i="4"/>
  <c r="G193" i="4" s="1"/>
  <c r="D193" i="4"/>
  <c r="E192" i="4"/>
  <c r="D192" i="4"/>
  <c r="F192" i="4" s="1"/>
  <c r="F191" i="4"/>
  <c r="E191" i="4"/>
  <c r="G191" i="4" s="1"/>
  <c r="D191" i="4"/>
  <c r="E190" i="4"/>
  <c r="D190" i="4"/>
  <c r="E189" i="4"/>
  <c r="D189" i="4"/>
  <c r="F190" i="4" s="1"/>
  <c r="G188" i="4"/>
  <c r="E188" i="4"/>
  <c r="D188" i="4"/>
  <c r="E187" i="4"/>
  <c r="G187" i="4" s="1"/>
  <c r="D187" i="4"/>
  <c r="F187" i="4" s="1"/>
  <c r="G186" i="4"/>
  <c r="F186" i="4"/>
  <c r="E186" i="4"/>
  <c r="D186" i="4"/>
  <c r="E185" i="4"/>
  <c r="D185" i="4"/>
  <c r="E184" i="4"/>
  <c r="D184" i="4"/>
  <c r="G183" i="4"/>
  <c r="E183" i="4"/>
  <c r="D183" i="4"/>
  <c r="E182" i="4"/>
  <c r="G182" i="4" s="1"/>
  <c r="D182" i="4"/>
  <c r="F182" i="4" s="1"/>
  <c r="G181" i="4"/>
  <c r="F181" i="4"/>
  <c r="E181" i="4"/>
  <c r="D181" i="4"/>
  <c r="E180" i="4"/>
  <c r="D180" i="4"/>
  <c r="F179" i="4"/>
  <c r="E179" i="4"/>
  <c r="D179" i="4"/>
  <c r="F180" i="4" s="1"/>
  <c r="E178" i="4"/>
  <c r="D178" i="4"/>
  <c r="E177" i="4"/>
  <c r="G177" i="4" s="1"/>
  <c r="D177" i="4"/>
  <c r="F177" i="4" s="1"/>
  <c r="F176" i="4"/>
  <c r="E176" i="4"/>
  <c r="G176" i="4" s="1"/>
  <c r="D176" i="4"/>
  <c r="E175" i="4"/>
  <c r="D175" i="4"/>
  <c r="E174" i="4"/>
  <c r="D174" i="4"/>
  <c r="F175" i="4" s="1"/>
  <c r="G173" i="4"/>
  <c r="F173" i="4"/>
  <c r="E173" i="4"/>
  <c r="D173" i="4"/>
  <c r="E172" i="4"/>
  <c r="D172" i="4"/>
  <c r="F172" i="4" s="1"/>
  <c r="F171" i="4"/>
  <c r="E171" i="4"/>
  <c r="G171" i="4" s="1"/>
  <c r="D171" i="4"/>
  <c r="E170" i="4"/>
  <c r="D170" i="4"/>
  <c r="E169" i="4"/>
  <c r="D169" i="4"/>
  <c r="F170" i="4" s="1"/>
  <c r="G168" i="4"/>
  <c r="E168" i="4"/>
  <c r="D168" i="4"/>
  <c r="E167" i="4"/>
  <c r="G167" i="4" s="1"/>
  <c r="D167" i="4"/>
  <c r="F167" i="4" s="1"/>
  <c r="G166" i="4"/>
  <c r="F166" i="4"/>
  <c r="E166" i="4"/>
  <c r="D166" i="4"/>
  <c r="E165" i="4"/>
  <c r="D165" i="4"/>
  <c r="E164" i="4"/>
  <c r="D164" i="4"/>
  <c r="G163" i="4"/>
  <c r="E163" i="4"/>
  <c r="D163" i="4"/>
  <c r="E162" i="4"/>
  <c r="G162" i="4" s="1"/>
  <c r="D162" i="4"/>
  <c r="F162" i="4" s="1"/>
  <c r="G161" i="4"/>
  <c r="F161" i="4"/>
  <c r="E161" i="4"/>
  <c r="D161" i="4"/>
  <c r="E160" i="4"/>
  <c r="D160" i="4"/>
  <c r="F159" i="4"/>
  <c r="E159" i="4"/>
  <c r="D159" i="4"/>
  <c r="F160" i="4" s="1"/>
  <c r="E158" i="4"/>
  <c r="G158" i="4" s="1"/>
  <c r="D158" i="4"/>
  <c r="E157" i="4"/>
  <c r="G157" i="4" s="1"/>
  <c r="D157" i="4"/>
  <c r="F157" i="4" s="1"/>
  <c r="F156" i="4"/>
  <c r="E156" i="4"/>
  <c r="G156" i="4" s="1"/>
  <c r="D156" i="4"/>
  <c r="E155" i="4"/>
  <c r="G155" i="4" s="1"/>
  <c r="D155" i="4"/>
  <c r="E154" i="4"/>
  <c r="D154" i="4"/>
  <c r="F155" i="4" s="1"/>
  <c r="G153" i="4"/>
  <c r="F153" i="4"/>
  <c r="E153" i="4"/>
  <c r="D153" i="4"/>
  <c r="E152" i="4"/>
  <c r="D152" i="4"/>
  <c r="F152" i="4" s="1"/>
  <c r="F151" i="4"/>
  <c r="E151" i="4"/>
  <c r="G151" i="4" s="1"/>
  <c r="D151" i="4"/>
  <c r="E150" i="4"/>
  <c r="G150" i="4" s="1"/>
  <c r="D150" i="4"/>
  <c r="E149" i="4"/>
  <c r="G149" i="4" s="1"/>
  <c r="D149" i="4"/>
  <c r="F150" i="4" s="1"/>
  <c r="G148" i="4"/>
  <c r="F148" i="4"/>
  <c r="E148" i="4"/>
  <c r="D148" i="4"/>
  <c r="E147" i="4"/>
  <c r="G147" i="4" s="1"/>
  <c r="D147" i="4"/>
  <c r="F147" i="4" s="1"/>
  <c r="G146" i="4"/>
  <c r="F146" i="4"/>
  <c r="E146" i="4"/>
  <c r="D146" i="4"/>
  <c r="E145" i="4"/>
  <c r="D145" i="4"/>
  <c r="E144" i="4"/>
  <c r="G144" i="4" s="1"/>
  <c r="D144" i="4"/>
  <c r="G143" i="4"/>
  <c r="E143" i="4"/>
  <c r="D143" i="4"/>
  <c r="F143" i="4" s="1"/>
  <c r="E142" i="4"/>
  <c r="G142" i="4" s="1"/>
  <c r="D142" i="4"/>
  <c r="F142" i="4" s="1"/>
  <c r="G141" i="4"/>
  <c r="F141" i="4"/>
  <c r="E141" i="4"/>
  <c r="D141" i="4"/>
  <c r="E140" i="4"/>
  <c r="G140" i="4" s="1"/>
  <c r="D140" i="4"/>
  <c r="F139" i="4"/>
  <c r="E139" i="4"/>
  <c r="D139" i="4"/>
  <c r="F140" i="4" s="1"/>
  <c r="E138" i="4"/>
  <c r="G138" i="4" s="1"/>
  <c r="D138" i="4"/>
  <c r="E137" i="4"/>
  <c r="G137" i="4" s="1"/>
  <c r="D137" i="4"/>
  <c r="F137" i="4" s="1"/>
  <c r="F136" i="4"/>
  <c r="E136" i="4"/>
  <c r="G136" i="4" s="1"/>
  <c r="D136" i="4"/>
  <c r="E135" i="4"/>
  <c r="G135" i="4" s="1"/>
  <c r="D135" i="4"/>
  <c r="E134" i="4"/>
  <c r="D134" i="4"/>
  <c r="F135" i="4" s="1"/>
  <c r="F133" i="4"/>
  <c r="E133" i="4"/>
  <c r="G133" i="4" s="1"/>
  <c r="D133" i="4"/>
  <c r="E132" i="4"/>
  <c r="D132" i="4"/>
  <c r="F132" i="4" s="1"/>
  <c r="F131" i="4"/>
  <c r="E131" i="4"/>
  <c r="G131" i="4" s="1"/>
  <c r="D131" i="4"/>
  <c r="E130" i="4"/>
  <c r="G130" i="4" s="1"/>
  <c r="D130" i="4"/>
  <c r="E129" i="4"/>
  <c r="G129" i="4" s="1"/>
  <c r="D129" i="4"/>
  <c r="F130" i="4" s="1"/>
  <c r="G128" i="4"/>
  <c r="E128" i="4"/>
  <c r="D128" i="4"/>
  <c r="E127" i="4"/>
  <c r="G127" i="4" s="1"/>
  <c r="D127" i="4"/>
  <c r="F127" i="4" s="1"/>
  <c r="G126" i="4"/>
  <c r="F126" i="4"/>
  <c r="E126" i="4"/>
  <c r="D126" i="4"/>
  <c r="E125" i="4"/>
  <c r="D125" i="4"/>
  <c r="E124" i="4"/>
  <c r="G124" i="4" s="1"/>
  <c r="D124" i="4"/>
  <c r="G123" i="4"/>
  <c r="E123" i="4"/>
  <c r="D123" i="4"/>
  <c r="F123" i="4" s="1"/>
  <c r="E122" i="4"/>
  <c r="G122" i="4" s="1"/>
  <c r="D122" i="4"/>
  <c r="F122" i="4" s="1"/>
  <c r="G121" i="4"/>
  <c r="F121" i="4"/>
  <c r="E121" i="4"/>
  <c r="D121" i="4"/>
  <c r="E120" i="4"/>
  <c r="G120" i="4" s="1"/>
  <c r="D120" i="4"/>
  <c r="F119" i="4"/>
  <c r="E119" i="4"/>
  <c r="D119" i="4"/>
  <c r="F120" i="4" s="1"/>
  <c r="E118" i="4"/>
  <c r="D118" i="4"/>
  <c r="F118" i="4" s="1"/>
  <c r="E117" i="4"/>
  <c r="G117" i="4" s="1"/>
  <c r="D117" i="4"/>
  <c r="F117" i="4" s="1"/>
  <c r="F116" i="4"/>
  <c r="E116" i="4"/>
  <c r="G116" i="4" s="1"/>
  <c r="D116" i="4"/>
  <c r="E115" i="4"/>
  <c r="G115" i="4" s="1"/>
  <c r="D115" i="4"/>
  <c r="E114" i="4"/>
  <c r="D114" i="4"/>
  <c r="F115" i="4" s="1"/>
  <c r="F113" i="4"/>
  <c r="E113" i="4"/>
  <c r="G113" i="4" s="1"/>
  <c r="D113" i="4"/>
  <c r="E112" i="4"/>
  <c r="D112" i="4"/>
  <c r="F112" i="4" s="1"/>
  <c r="F111" i="4"/>
  <c r="E111" i="4"/>
  <c r="G111" i="4" s="1"/>
  <c r="D111" i="4"/>
  <c r="E110" i="4"/>
  <c r="G110" i="4" s="1"/>
  <c r="D110" i="4"/>
  <c r="E109" i="4"/>
  <c r="G109" i="4" s="1"/>
  <c r="D109" i="4"/>
  <c r="F110" i="4" s="1"/>
  <c r="G108" i="4"/>
  <c r="F108" i="4"/>
  <c r="E108" i="4"/>
  <c r="D108" i="4"/>
  <c r="E107" i="4"/>
  <c r="G107" i="4" s="1"/>
  <c r="D107" i="4"/>
  <c r="F107" i="4" s="1"/>
  <c r="G106" i="4"/>
  <c r="F106" i="4"/>
  <c r="E106" i="4"/>
  <c r="D106" i="4"/>
  <c r="E105" i="4"/>
  <c r="D105" i="4"/>
  <c r="E104" i="4"/>
  <c r="G104" i="4" s="1"/>
  <c r="D104" i="4"/>
  <c r="G103" i="4"/>
  <c r="E103" i="4"/>
  <c r="D103" i="4"/>
  <c r="E102" i="4"/>
  <c r="G102" i="4" s="1"/>
  <c r="D102" i="4"/>
  <c r="F102" i="4" s="1"/>
  <c r="G101" i="4"/>
  <c r="F101" i="4"/>
  <c r="E101" i="4"/>
  <c r="D101" i="4"/>
  <c r="E100" i="4"/>
  <c r="G100" i="4" s="1"/>
  <c r="D100" i="4"/>
  <c r="F99" i="4"/>
  <c r="E99" i="4"/>
  <c r="D99" i="4"/>
  <c r="F100" i="4" s="1"/>
  <c r="E98" i="4"/>
  <c r="D98" i="4"/>
  <c r="E97" i="4"/>
  <c r="D97" i="4"/>
  <c r="F97" i="4" s="1"/>
  <c r="F96" i="4"/>
  <c r="E96" i="4"/>
  <c r="G96" i="4" s="1"/>
  <c r="D96" i="4"/>
  <c r="E95" i="4"/>
  <c r="G95" i="4" s="1"/>
  <c r="D95" i="4"/>
  <c r="E94" i="4"/>
  <c r="D94" i="4"/>
  <c r="F95" i="4" s="1"/>
  <c r="F93" i="4"/>
  <c r="E93" i="4"/>
  <c r="G93" i="4" s="1"/>
  <c r="D93" i="4"/>
  <c r="E92" i="4"/>
  <c r="D92" i="4"/>
  <c r="F92" i="4" s="1"/>
  <c r="F91" i="4"/>
  <c r="E91" i="4"/>
  <c r="G91" i="4" s="1"/>
  <c r="D91" i="4"/>
  <c r="E90" i="4"/>
  <c r="G90" i="4" s="1"/>
  <c r="D90" i="4"/>
  <c r="E89" i="4"/>
  <c r="G89" i="4" s="1"/>
  <c r="D89" i="4"/>
  <c r="F90" i="4" s="1"/>
  <c r="G88" i="4"/>
  <c r="E88" i="4"/>
  <c r="D88" i="4"/>
  <c r="E87" i="4"/>
  <c r="G87" i="4" s="1"/>
  <c r="D87" i="4"/>
  <c r="F87" i="4" s="1"/>
  <c r="G86" i="4"/>
  <c r="F86" i="4"/>
  <c r="E86" i="4"/>
  <c r="D86" i="4"/>
  <c r="E85" i="4"/>
  <c r="D85" i="4"/>
  <c r="E84" i="4"/>
  <c r="G84" i="4" s="1"/>
  <c r="D84" i="4"/>
  <c r="G83" i="4"/>
  <c r="E83" i="4"/>
  <c r="D83" i="4"/>
  <c r="E82" i="4"/>
  <c r="G82" i="4" s="1"/>
  <c r="D82" i="4"/>
  <c r="F82" i="4" s="1"/>
  <c r="G81" i="4"/>
  <c r="F81" i="4"/>
  <c r="E81" i="4"/>
  <c r="D81" i="4"/>
  <c r="E80" i="4"/>
  <c r="G80" i="4" s="1"/>
  <c r="D80" i="4"/>
  <c r="F79" i="4"/>
  <c r="E79" i="4"/>
  <c r="D79" i="4"/>
  <c r="F80" i="4" s="1"/>
  <c r="E78" i="4"/>
  <c r="D78" i="4"/>
  <c r="E77" i="4"/>
  <c r="G77" i="4" s="1"/>
  <c r="D77" i="4"/>
  <c r="F77" i="4" s="1"/>
  <c r="F76" i="4"/>
  <c r="E76" i="4"/>
  <c r="G76" i="4" s="1"/>
  <c r="D76" i="4"/>
  <c r="E75" i="4"/>
  <c r="G75" i="4" s="1"/>
  <c r="D75" i="4"/>
  <c r="E74" i="4"/>
  <c r="D74" i="4"/>
  <c r="F75" i="4" s="1"/>
  <c r="G73" i="4"/>
  <c r="F73" i="4"/>
  <c r="E73" i="4"/>
  <c r="D73" i="4"/>
  <c r="E72" i="4"/>
  <c r="D72" i="4"/>
  <c r="F72" i="4" s="1"/>
  <c r="F71" i="4"/>
  <c r="E71" i="4"/>
  <c r="G71" i="4" s="1"/>
  <c r="D71" i="4"/>
  <c r="E70" i="4"/>
  <c r="G70" i="4" s="1"/>
  <c r="D70" i="4"/>
  <c r="E69" i="4"/>
  <c r="G69" i="4" s="1"/>
  <c r="D69" i="4"/>
  <c r="F70" i="4" s="1"/>
  <c r="G68" i="4"/>
  <c r="E68" i="4"/>
  <c r="D68" i="4"/>
  <c r="E67" i="4"/>
  <c r="G67" i="4" s="1"/>
  <c r="D67" i="4"/>
  <c r="F67" i="4" s="1"/>
  <c r="G66" i="4"/>
  <c r="F66" i="4"/>
  <c r="E66" i="4"/>
  <c r="D66" i="4"/>
  <c r="E65" i="4"/>
  <c r="D65" i="4"/>
  <c r="E64" i="4"/>
  <c r="G64" i="4" s="1"/>
  <c r="D64" i="4"/>
  <c r="G63" i="4"/>
  <c r="E63" i="4"/>
  <c r="D63" i="4"/>
  <c r="E62" i="4"/>
  <c r="G62" i="4" s="1"/>
  <c r="D62" i="4"/>
  <c r="F62" i="4" s="1"/>
  <c r="G61" i="4"/>
  <c r="F61" i="4"/>
  <c r="E61" i="4"/>
  <c r="D61" i="4"/>
  <c r="E60" i="4"/>
  <c r="G60" i="4" s="1"/>
  <c r="D60" i="4"/>
  <c r="F59" i="4"/>
  <c r="E59" i="4"/>
  <c r="D59" i="4"/>
  <c r="F60" i="4" s="1"/>
  <c r="E58" i="4"/>
  <c r="G58" i="4" s="1"/>
  <c r="D58" i="4"/>
  <c r="E57" i="4"/>
  <c r="G57" i="4" s="1"/>
  <c r="D57" i="4"/>
  <c r="F57" i="4" s="1"/>
  <c r="F56" i="4"/>
  <c r="E56" i="4"/>
  <c r="G56" i="4" s="1"/>
  <c r="D56" i="4"/>
  <c r="E55" i="4"/>
  <c r="G55" i="4" s="1"/>
  <c r="D55" i="4"/>
  <c r="E54" i="4"/>
  <c r="D54" i="4"/>
  <c r="F55" i="4" s="1"/>
  <c r="G53" i="4"/>
  <c r="F53" i="4"/>
  <c r="E53" i="4"/>
  <c r="D53" i="4"/>
  <c r="E52" i="4"/>
  <c r="D52" i="4"/>
  <c r="F52" i="4" s="1"/>
  <c r="F51" i="4"/>
  <c r="E51" i="4"/>
  <c r="G51" i="4" s="1"/>
  <c r="D51" i="4"/>
  <c r="E50" i="4"/>
  <c r="G50" i="4" s="1"/>
  <c r="D50" i="4"/>
  <c r="E49" i="4"/>
  <c r="G49" i="4" s="1"/>
  <c r="D49" i="4"/>
  <c r="F50" i="4" s="1"/>
  <c r="G48" i="4"/>
  <c r="F48" i="4"/>
  <c r="E48" i="4"/>
  <c r="D48" i="4"/>
  <c r="E47" i="4"/>
  <c r="G47" i="4" s="1"/>
  <c r="D47" i="4"/>
  <c r="F47" i="4" s="1"/>
  <c r="G46" i="4"/>
  <c r="F46" i="4"/>
  <c r="E46" i="4"/>
  <c r="D46" i="4"/>
  <c r="E45" i="4"/>
  <c r="D45" i="4"/>
  <c r="E44" i="4"/>
  <c r="G44" i="4" s="1"/>
  <c r="D44" i="4"/>
  <c r="G43" i="4"/>
  <c r="E43" i="4"/>
  <c r="D43" i="4"/>
  <c r="F43" i="4" s="1"/>
  <c r="E42" i="4"/>
  <c r="G42" i="4" s="1"/>
  <c r="D42" i="4"/>
  <c r="F42" i="4" s="1"/>
  <c r="G41" i="4"/>
  <c r="F41" i="4"/>
  <c r="E41" i="4"/>
  <c r="D41" i="4"/>
  <c r="E40" i="4"/>
  <c r="G40" i="4" s="1"/>
  <c r="D40" i="4"/>
  <c r="F39" i="4"/>
  <c r="E39" i="4"/>
  <c r="D39" i="4"/>
  <c r="F40" i="4" s="1"/>
  <c r="E38" i="4"/>
  <c r="G38" i="4" s="1"/>
  <c r="D38" i="4"/>
  <c r="E37" i="4"/>
  <c r="G37" i="4" s="1"/>
  <c r="D37" i="4"/>
  <c r="F37" i="4" s="1"/>
  <c r="F36" i="4"/>
  <c r="E36" i="4"/>
  <c r="G36" i="4" s="1"/>
  <c r="D36" i="4"/>
  <c r="E35" i="4"/>
  <c r="G35" i="4" s="1"/>
  <c r="D35" i="4"/>
  <c r="E34" i="4"/>
  <c r="D34" i="4"/>
  <c r="F35" i="4" s="1"/>
  <c r="F33" i="4"/>
  <c r="E33" i="4"/>
  <c r="G33" i="4" s="1"/>
  <c r="D33" i="4"/>
  <c r="E32" i="4"/>
  <c r="D32" i="4"/>
  <c r="F32" i="4" s="1"/>
  <c r="F31" i="4"/>
  <c r="E31" i="4"/>
  <c r="G31" i="4" s="1"/>
  <c r="D31" i="4"/>
  <c r="E30" i="4"/>
  <c r="G30" i="4" s="1"/>
  <c r="D30" i="4"/>
  <c r="E29" i="4"/>
  <c r="G29" i="4" s="1"/>
  <c r="D29" i="4"/>
  <c r="F30" i="4" s="1"/>
  <c r="G28" i="4"/>
  <c r="F28" i="4"/>
  <c r="E28" i="4"/>
  <c r="D28" i="4"/>
  <c r="E27" i="4"/>
  <c r="G27" i="4" s="1"/>
  <c r="D27" i="4"/>
  <c r="F27" i="4" s="1"/>
  <c r="G26" i="4"/>
  <c r="F26" i="4"/>
  <c r="E26" i="4"/>
  <c r="D26" i="4"/>
  <c r="E25" i="4"/>
  <c r="D25" i="4"/>
  <c r="E24" i="4"/>
  <c r="G24" i="4" s="1"/>
  <c r="D24" i="4"/>
  <c r="G23" i="4"/>
  <c r="E23" i="4"/>
  <c r="D23" i="4"/>
  <c r="F23" i="4" s="1"/>
  <c r="E22" i="4"/>
  <c r="G22" i="4" s="1"/>
  <c r="D22" i="4"/>
  <c r="F22" i="4" s="1"/>
  <c r="G21" i="4"/>
  <c r="F21" i="4"/>
  <c r="E21" i="4"/>
  <c r="D21" i="4"/>
  <c r="E20" i="4"/>
  <c r="G20" i="4" s="1"/>
  <c r="D20" i="4"/>
  <c r="F19" i="4"/>
  <c r="E19" i="4"/>
  <c r="D19" i="4"/>
  <c r="F20" i="4" s="1"/>
  <c r="E18" i="4"/>
  <c r="D18" i="4"/>
  <c r="F18" i="4" s="1"/>
  <c r="E17" i="4"/>
  <c r="G17" i="4" s="1"/>
  <c r="D17" i="4"/>
  <c r="F17" i="4" s="1"/>
  <c r="F16" i="4"/>
  <c r="E16" i="4"/>
  <c r="G16" i="4" s="1"/>
  <c r="D16" i="4"/>
  <c r="E15" i="4"/>
  <c r="G15" i="4" s="1"/>
  <c r="D15" i="4"/>
  <c r="E14" i="4"/>
  <c r="D14" i="4"/>
  <c r="F15" i="4" s="1"/>
  <c r="F13" i="4"/>
  <c r="E13" i="4"/>
  <c r="G13" i="4" s="1"/>
  <c r="D13" i="4"/>
  <c r="E12" i="4"/>
  <c r="D12" i="4"/>
  <c r="F12" i="4" s="1"/>
  <c r="F11" i="4"/>
  <c r="E11" i="4"/>
  <c r="G11" i="4" s="1"/>
  <c r="D11" i="4"/>
  <c r="E10" i="4"/>
  <c r="G10" i="4" s="1"/>
  <c r="D10" i="4"/>
  <c r="E9" i="4"/>
  <c r="G9" i="4" s="1"/>
  <c r="D9" i="4"/>
  <c r="F10" i="4" s="1"/>
  <c r="G8" i="4"/>
  <c r="F8" i="4"/>
  <c r="E8" i="4"/>
  <c r="D8" i="4"/>
  <c r="E7" i="4"/>
  <c r="G7" i="4" s="1"/>
  <c r="D7" i="4"/>
  <c r="F7" i="4" s="1"/>
  <c r="G6" i="4"/>
  <c r="F6" i="4"/>
  <c r="E6" i="4"/>
  <c r="D6" i="4"/>
  <c r="E5" i="4"/>
  <c r="D5" i="4"/>
  <c r="E4" i="4"/>
  <c r="G4" i="4" s="1"/>
  <c r="D4" i="4"/>
  <c r="G3" i="4"/>
  <c r="E3" i="4"/>
  <c r="D3" i="4"/>
  <c r="F3" i="4" s="1"/>
  <c r="E2" i="4"/>
  <c r="D2" i="4"/>
  <c r="G6" i="5" l="1"/>
  <c r="G65" i="5"/>
  <c r="G121" i="5"/>
  <c r="G130" i="5"/>
  <c r="G143" i="5"/>
  <c r="F146" i="5"/>
  <c r="G155" i="5"/>
  <c r="F175" i="5"/>
  <c r="F189" i="5"/>
  <c r="G10" i="5"/>
  <c r="F13" i="5"/>
  <c r="F20" i="5"/>
  <c r="F35" i="5"/>
  <c r="G39" i="5"/>
  <c r="F49" i="5"/>
  <c r="F66" i="5"/>
  <c r="G75" i="5"/>
  <c r="F89" i="5"/>
  <c r="G91" i="5"/>
  <c r="F107" i="5"/>
  <c r="G140" i="5"/>
  <c r="G172" i="5"/>
  <c r="F178" i="5"/>
  <c r="G188" i="5"/>
  <c r="F192" i="5"/>
  <c r="G198" i="5"/>
  <c r="G218" i="5"/>
  <c r="G231" i="5"/>
  <c r="G238" i="5"/>
  <c r="G251" i="5"/>
  <c r="F255" i="5"/>
  <c r="G262" i="5"/>
  <c r="G63" i="5"/>
  <c r="G153" i="5"/>
  <c r="G165" i="5"/>
  <c r="F185" i="5"/>
  <c r="F215" i="5"/>
  <c r="F235" i="5"/>
  <c r="G11" i="5"/>
  <c r="G45" i="5"/>
  <c r="G48" i="5"/>
  <c r="G76" i="5"/>
  <c r="F88" i="5"/>
  <c r="F95" i="5"/>
  <c r="G110" i="5"/>
  <c r="G113" i="5"/>
  <c r="F117" i="5"/>
  <c r="F132" i="5"/>
  <c r="G141" i="5"/>
  <c r="F157" i="5"/>
  <c r="G173" i="5"/>
  <c r="F176" i="5"/>
  <c r="G182" i="5"/>
  <c r="G185" i="5"/>
  <c r="F205" i="5"/>
  <c r="G212" i="5"/>
  <c r="G215" i="5"/>
  <c r="F225" i="5"/>
  <c r="G232" i="5"/>
  <c r="G235" i="5"/>
  <c r="F245" i="5"/>
  <c r="G252" i="5"/>
  <c r="G23" i="5"/>
  <c r="F27" i="5"/>
  <c r="G32" i="5"/>
  <c r="G70" i="5"/>
  <c r="G74" i="5"/>
  <c r="F109" i="5"/>
  <c r="F120" i="5"/>
  <c r="F142" i="5"/>
  <c r="G176" i="5"/>
  <c r="G179" i="5"/>
  <c r="G189" i="5"/>
  <c r="G193" i="5"/>
  <c r="F196" i="5"/>
  <c r="G202" i="5"/>
  <c r="G205" i="5"/>
  <c r="F216" i="5"/>
  <c r="G222" i="5"/>
  <c r="G225" i="5"/>
  <c r="F236" i="5"/>
  <c r="G242" i="5"/>
  <c r="G245" i="5"/>
  <c r="F254" i="5"/>
  <c r="F256" i="5"/>
  <c r="F45" i="5"/>
  <c r="F58" i="5"/>
  <c r="F101" i="5"/>
  <c r="G128" i="5"/>
  <c r="F12" i="5"/>
  <c r="F4" i="5"/>
  <c r="G9" i="5"/>
  <c r="G21" i="5"/>
  <c r="F30" i="5"/>
  <c r="G84" i="5"/>
  <c r="G108" i="5"/>
  <c r="G123" i="5"/>
  <c r="G132" i="5"/>
  <c r="G135" i="5"/>
  <c r="G138" i="5"/>
  <c r="G157" i="5"/>
  <c r="G170" i="5"/>
  <c r="F190" i="5"/>
  <c r="G196" i="5"/>
  <c r="G209" i="5"/>
  <c r="G229" i="5"/>
  <c r="G249" i="5"/>
  <c r="G256" i="5"/>
  <c r="G97" i="5"/>
  <c r="F18" i="5"/>
  <c r="F43" i="5"/>
  <c r="F56" i="5"/>
  <c r="G73" i="5"/>
  <c r="F80" i="5"/>
  <c r="F93" i="5"/>
  <c r="G160" i="5"/>
  <c r="G4" i="5"/>
  <c r="F15" i="5"/>
  <c r="G34" i="5"/>
  <c r="F47" i="5"/>
  <c r="F54" i="5"/>
  <c r="G56" i="5"/>
  <c r="F62" i="5"/>
  <c r="F69" i="5"/>
  <c r="F71" i="5"/>
  <c r="G80" i="5"/>
  <c r="F90" i="5"/>
  <c r="G93" i="5"/>
  <c r="F96" i="5"/>
  <c r="G105" i="5"/>
  <c r="F108" i="5"/>
  <c r="F118" i="5"/>
  <c r="F134" i="5"/>
  <c r="G148" i="5"/>
  <c r="F159" i="5"/>
  <c r="G167" i="5"/>
  <c r="G177" i="5"/>
  <c r="G180" i="5"/>
  <c r="F187" i="5"/>
  <c r="G190" i="5"/>
  <c r="F210" i="5"/>
  <c r="F230" i="5"/>
  <c r="F250" i="5"/>
  <c r="G253" i="5"/>
  <c r="G260" i="5"/>
  <c r="G257" i="5"/>
  <c r="G17" i="11"/>
  <c r="G16" i="11"/>
  <c r="F909" i="11"/>
  <c r="F910" i="11"/>
  <c r="F667" i="11"/>
  <c r="F668" i="11"/>
  <c r="F864" i="11"/>
  <c r="F865" i="11"/>
  <c r="F320" i="11"/>
  <c r="F319" i="11"/>
  <c r="G405" i="11"/>
  <c r="G552" i="11"/>
  <c r="G553" i="11"/>
  <c r="F675" i="11"/>
  <c r="F569" i="11"/>
  <c r="G658" i="11"/>
  <c r="F712" i="11"/>
  <c r="F713" i="11"/>
  <c r="F720" i="11"/>
  <c r="F721" i="11"/>
  <c r="F908" i="11"/>
  <c r="G645" i="11"/>
  <c r="G646" i="11"/>
  <c r="G411" i="11"/>
  <c r="G386" i="11"/>
  <c r="G486" i="11"/>
  <c r="G691" i="11"/>
  <c r="F730" i="11"/>
  <c r="F731" i="11"/>
  <c r="F576" i="11"/>
  <c r="F575" i="11"/>
  <c r="F299" i="11"/>
  <c r="F298" i="11"/>
  <c r="F504" i="11"/>
  <c r="F503" i="11"/>
  <c r="G576" i="11"/>
  <c r="G575" i="11"/>
  <c r="F727" i="11"/>
  <c r="F728" i="11"/>
  <c r="G238" i="11"/>
  <c r="F329" i="11"/>
  <c r="G367" i="11"/>
  <c r="G366" i="11"/>
  <c r="G467" i="11"/>
  <c r="G466" i="11"/>
  <c r="G504" i="11"/>
  <c r="G503" i="11"/>
  <c r="F530" i="11"/>
  <c r="G569" i="11"/>
  <c r="G570" i="11"/>
  <c r="G688" i="11"/>
  <c r="G783" i="11"/>
  <c r="F839" i="11"/>
  <c r="F840" i="11"/>
  <c r="G922" i="11"/>
  <c r="F256" i="11"/>
  <c r="G360" i="11"/>
  <c r="F417" i="11"/>
  <c r="F517" i="11"/>
  <c r="G530" i="11"/>
  <c r="G608" i="11"/>
  <c r="G24" i="11"/>
  <c r="F104" i="11"/>
  <c r="F121" i="11"/>
  <c r="G186" i="11"/>
  <c r="F204" i="11"/>
  <c r="F221" i="11"/>
  <c r="G286" i="11"/>
  <c r="F324" i="11"/>
  <c r="F361" i="11"/>
  <c r="F399" i="11"/>
  <c r="F398" i="11"/>
  <c r="G423" i="11"/>
  <c r="F461" i="11"/>
  <c r="F499" i="11"/>
  <c r="F498" i="11"/>
  <c r="F524" i="11"/>
  <c r="F525" i="11"/>
  <c r="G557" i="11"/>
  <c r="G558" i="11"/>
  <c r="G563" i="11"/>
  <c r="G595" i="11"/>
  <c r="G602" i="11"/>
  <c r="G603" i="11"/>
  <c r="F608" i="11"/>
  <c r="G637" i="11"/>
  <c r="F658" i="11"/>
  <c r="G689" i="11"/>
  <c r="F705" i="11"/>
  <c r="F706" i="11"/>
  <c r="F745" i="11"/>
  <c r="G511" i="11"/>
  <c r="F617" i="11"/>
  <c r="F618" i="11"/>
  <c r="G910" i="11"/>
  <c r="G909" i="11"/>
  <c r="F181" i="11"/>
  <c r="G505" i="11"/>
  <c r="G738" i="11"/>
  <c r="F404" i="11"/>
  <c r="F403" i="11"/>
  <c r="F680" i="11"/>
  <c r="F681" i="11"/>
  <c r="G138" i="11"/>
  <c r="F191" i="11"/>
  <c r="G404" i="11"/>
  <c r="G403" i="11"/>
  <c r="F156" i="11"/>
  <c r="G323" i="11"/>
  <c r="F429" i="11"/>
  <c r="G460" i="11"/>
  <c r="G19" i="11"/>
  <c r="G151" i="11"/>
  <c r="F169" i="11"/>
  <c r="F186" i="11"/>
  <c r="G192" i="11"/>
  <c r="G251" i="11"/>
  <c r="F287" i="11"/>
  <c r="F288" i="11"/>
  <c r="F293" i="11"/>
  <c r="F312" i="11"/>
  <c r="F355" i="11"/>
  <c r="F392" i="11"/>
  <c r="F393" i="11"/>
  <c r="G417" i="11"/>
  <c r="F425" i="11"/>
  <c r="F424" i="11"/>
  <c r="F455" i="11"/>
  <c r="F492" i="11"/>
  <c r="F493" i="11"/>
  <c r="G517" i="11"/>
  <c r="F565" i="11"/>
  <c r="F564" i="11"/>
  <c r="F602" i="11"/>
  <c r="F652" i="11"/>
  <c r="F653" i="11"/>
  <c r="G681" i="11"/>
  <c r="F690" i="11"/>
  <c r="F737" i="11"/>
  <c r="F738" i="11"/>
  <c r="G745" i="11"/>
  <c r="F984" i="11"/>
  <c r="G1038" i="11"/>
  <c r="F146" i="11"/>
  <c r="F487" i="11"/>
  <c r="F488" i="11"/>
  <c r="F598" i="11"/>
  <c r="F597" i="11"/>
  <c r="F313" i="11"/>
  <c r="F520" i="11"/>
  <c r="F519" i="11"/>
  <c r="F755" i="11"/>
  <c r="F756" i="11"/>
  <c r="G5" i="11"/>
  <c r="F26" i="11"/>
  <c r="G31" i="11"/>
  <c r="F47" i="11"/>
  <c r="G52" i="11"/>
  <c r="F68" i="11"/>
  <c r="G84" i="11"/>
  <c r="F100" i="11"/>
  <c r="G106" i="11"/>
  <c r="F124" i="11"/>
  <c r="F141" i="11"/>
  <c r="G147" i="11"/>
  <c r="G188" i="11"/>
  <c r="G194" i="11"/>
  <c r="F200" i="11"/>
  <c r="G206" i="11"/>
  <c r="F241" i="11"/>
  <c r="G247" i="11"/>
  <c r="F277" i="11"/>
  <c r="G289" i="11"/>
  <c r="G326" i="11"/>
  <c r="G338" i="11"/>
  <c r="G351" i="11"/>
  <c r="G363" i="11"/>
  <c r="F382" i="11"/>
  <c r="F400" i="11"/>
  <c r="F438" i="11"/>
  <c r="G463" i="11"/>
  <c r="F482" i="11"/>
  <c r="F483" i="11"/>
  <c r="F500" i="11"/>
  <c r="F540" i="11"/>
  <c r="F572" i="11"/>
  <c r="F676" i="11"/>
  <c r="G740" i="11"/>
  <c r="F787" i="11"/>
  <c r="F788" i="11"/>
  <c r="F803" i="11"/>
  <c r="F934" i="11"/>
  <c r="F935" i="11"/>
  <c r="G957" i="11"/>
  <c r="F973" i="11"/>
  <c r="G258" i="11"/>
  <c r="G857" i="11"/>
  <c r="G26" i="11"/>
  <c r="G47" i="11"/>
  <c r="G79" i="11"/>
  <c r="F84" i="11"/>
  <c r="F106" i="11"/>
  <c r="G112" i="11"/>
  <c r="G159" i="11"/>
  <c r="G171" i="11"/>
  <c r="F189" i="11"/>
  <c r="F206" i="11"/>
  <c r="G212" i="11"/>
  <c r="G271" i="11"/>
  <c r="F295" i="11"/>
  <c r="F301" i="11"/>
  <c r="G400" i="11"/>
  <c r="F407" i="11"/>
  <c r="F413" i="11"/>
  <c r="G426" i="11"/>
  <c r="G438" i="11"/>
  <c r="F507" i="11"/>
  <c r="F513" i="11"/>
  <c r="F534" i="11"/>
  <c r="F548" i="11"/>
  <c r="F547" i="11"/>
  <c r="F626" i="11"/>
  <c r="G633" i="11"/>
  <c r="G732" i="11"/>
  <c r="G748" i="11"/>
  <c r="G935" i="11"/>
  <c r="G934" i="11"/>
  <c r="G283" i="11"/>
  <c r="G282" i="11"/>
  <c r="F387" i="11"/>
  <c r="F388" i="11"/>
  <c r="G625" i="11"/>
  <c r="G795" i="11"/>
  <c r="G794" i="11"/>
  <c r="F111" i="11"/>
  <c r="F194" i="11"/>
  <c r="F159" i="11"/>
  <c r="G972" i="11"/>
  <c r="G42" i="11"/>
  <c r="G74" i="11"/>
  <c r="G118" i="11"/>
  <c r="G124" i="11"/>
  <c r="G136" i="11"/>
  <c r="F154" i="11"/>
  <c r="F171" i="11"/>
  <c r="G177" i="11"/>
  <c r="G218" i="11"/>
  <c r="G224" i="11"/>
  <c r="G236" i="11"/>
  <c r="F271" i="11"/>
  <c r="G301" i="11"/>
  <c r="G309" i="11"/>
  <c r="G308" i="11"/>
  <c r="G333" i="11"/>
  <c r="F345" i="11"/>
  <c r="F358" i="11"/>
  <c r="F370" i="11"/>
  <c r="G376" i="11"/>
  <c r="F383" i="11"/>
  <c r="G413" i="11"/>
  <c r="F446" i="11"/>
  <c r="F445" i="11"/>
  <c r="F458" i="11"/>
  <c r="G476" i="11"/>
  <c r="G513" i="11"/>
  <c r="G534" i="11"/>
  <c r="F541" i="11"/>
  <c r="F542" i="11"/>
  <c r="G547" i="11"/>
  <c r="G548" i="11"/>
  <c r="G612" i="11"/>
  <c r="F633" i="11"/>
  <c r="G662" i="11"/>
  <c r="F677" i="11"/>
  <c r="F678" i="11"/>
  <c r="F748" i="11"/>
  <c r="G804" i="11"/>
  <c r="F246" i="11"/>
  <c r="G518" i="11"/>
  <c r="F639" i="11"/>
  <c r="F640" i="11"/>
  <c r="G94" i="11"/>
  <c r="F350" i="11"/>
  <c r="G739" i="11"/>
  <c r="F770" i="11"/>
  <c r="F771" i="11"/>
  <c r="F873" i="11"/>
  <c r="G89" i="11"/>
  <c r="G141" i="11"/>
  <c r="F176" i="11"/>
  <c r="G481" i="11"/>
  <c r="F740" i="11"/>
  <c r="G37" i="11"/>
  <c r="G69" i="11"/>
  <c r="G101" i="11"/>
  <c r="F119" i="11"/>
  <c r="F136" i="11"/>
  <c r="G142" i="11"/>
  <c r="G183" i="11"/>
  <c r="G201" i="11"/>
  <c r="F236" i="11"/>
  <c r="F308" i="11"/>
  <c r="G346" i="11"/>
  <c r="G345" i="11"/>
  <c r="G358" i="11"/>
  <c r="G446" i="11"/>
  <c r="G445" i="11"/>
  <c r="G458" i="11"/>
  <c r="F580" i="11"/>
  <c r="F627" i="11"/>
  <c r="F628" i="11"/>
  <c r="F655" i="11"/>
  <c r="G677" i="11"/>
  <c r="G678" i="11"/>
  <c r="G733" i="11"/>
  <c r="F741" i="11"/>
  <c r="F780" i="11"/>
  <c r="F781" i="11"/>
  <c r="G788" i="11"/>
  <c r="F859" i="11"/>
  <c r="F860" i="11"/>
  <c r="G451" i="11"/>
  <c r="G450" i="11"/>
  <c r="G675" i="11"/>
  <c r="G176" i="11"/>
  <c r="F211" i="11"/>
  <c r="F307" i="11"/>
  <c r="F585" i="11"/>
  <c r="F683" i="11"/>
  <c r="F795" i="11"/>
  <c r="G313" i="11"/>
  <c r="F338" i="11"/>
  <c r="F12" i="11"/>
  <c r="G64" i="11"/>
  <c r="G90" i="11"/>
  <c r="F160" i="11"/>
  <c r="G166" i="11"/>
  <c r="F184" i="11"/>
  <c r="F260" i="11"/>
  <c r="G266" i="11"/>
  <c r="G272" i="11"/>
  <c r="F278" i="11"/>
  <c r="F528" i="11"/>
  <c r="G573" i="11"/>
  <c r="G580" i="11"/>
  <c r="G620" i="11"/>
  <c r="G621" i="11"/>
  <c r="G634" i="11"/>
  <c r="G670" i="11"/>
  <c r="G671" i="11"/>
  <c r="F733" i="11"/>
  <c r="F797" i="11"/>
  <c r="F798" i="11"/>
  <c r="F944" i="11"/>
  <c r="F945" i="11"/>
  <c r="G951" i="11"/>
  <c r="F7" i="11"/>
  <c r="G59" i="11"/>
  <c r="G131" i="11"/>
  <c r="F149" i="11"/>
  <c r="F166" i="11"/>
  <c r="G172" i="11"/>
  <c r="G231" i="11"/>
  <c r="F266" i="11"/>
  <c r="F334" i="11"/>
  <c r="F341" i="11"/>
  <c r="F340" i="11"/>
  <c r="G372" i="11"/>
  <c r="G371" i="11"/>
  <c r="G409" i="11"/>
  <c r="G408" i="11"/>
  <c r="G472" i="11"/>
  <c r="G471" i="11"/>
  <c r="G509" i="11"/>
  <c r="G508" i="11"/>
  <c r="G542" i="11"/>
  <c r="G543" i="11"/>
  <c r="F620" i="11"/>
  <c r="F642" i="11"/>
  <c r="F643" i="11"/>
  <c r="F670" i="11"/>
  <c r="F695" i="11"/>
  <c r="G789" i="11"/>
  <c r="G945" i="11"/>
  <c r="G944" i="11"/>
  <c r="G418" i="11"/>
  <c r="F552" i="11"/>
  <c r="G895" i="11"/>
  <c r="F420" i="11"/>
  <c r="F419" i="11"/>
  <c r="F450" i="11"/>
  <c r="G597" i="11"/>
  <c r="G598" i="11"/>
  <c r="F762" i="11"/>
  <c r="F763" i="11"/>
  <c r="G241" i="11"/>
  <c r="F190" i="11"/>
  <c r="F291" i="11"/>
  <c r="F303" i="11"/>
  <c r="F328" i="11"/>
  <c r="F408" i="11"/>
  <c r="F441" i="11"/>
  <c r="F440" i="11"/>
  <c r="F508" i="11"/>
  <c r="G695" i="11"/>
  <c r="F790" i="11"/>
  <c r="F791" i="11"/>
  <c r="G1058" i="11"/>
  <c r="G381" i="11"/>
  <c r="G585" i="11"/>
  <c r="G632" i="11"/>
  <c r="G49" i="11"/>
  <c r="F96" i="11"/>
  <c r="G161" i="11"/>
  <c r="F179" i="11"/>
  <c r="F196" i="11"/>
  <c r="G261" i="11"/>
  <c r="G304" i="11"/>
  <c r="G303" i="11"/>
  <c r="G328" i="11"/>
  <c r="F434" i="11"/>
  <c r="F536" i="11"/>
  <c r="F537" i="11"/>
  <c r="F614" i="11"/>
  <c r="F615" i="11"/>
  <c r="G650" i="11"/>
  <c r="F664" i="11"/>
  <c r="F665" i="11"/>
  <c r="F687" i="11"/>
  <c r="F688" i="11"/>
  <c r="G790" i="11"/>
  <c r="F845" i="11"/>
  <c r="F929" i="11"/>
  <c r="F930" i="11"/>
  <c r="F322" i="11"/>
  <c r="F422" i="11"/>
  <c r="F522" i="11"/>
  <c r="G528" i="11"/>
  <c r="F710" i="11"/>
  <c r="F760" i="11"/>
  <c r="F858" i="11"/>
  <c r="F879" i="11"/>
  <c r="F880" i="11"/>
  <c r="G942" i="11"/>
  <c r="G985" i="11"/>
  <c r="G984" i="11"/>
  <c r="G1015" i="11"/>
  <c r="G1014" i="11"/>
  <c r="G710" i="11"/>
  <c r="G717" i="11"/>
  <c r="G724" i="11"/>
  <c r="G760" i="11"/>
  <c r="G767" i="11"/>
  <c r="G774" i="11"/>
  <c r="G810" i="11"/>
  <c r="G845" i="11"/>
  <c r="G872" i="11"/>
  <c r="F964" i="11"/>
  <c r="G1022" i="11"/>
  <c r="G1045" i="11"/>
  <c r="G1044" i="11"/>
  <c r="G705" i="11"/>
  <c r="G712" i="11"/>
  <c r="G719" i="11"/>
  <c r="G755" i="11"/>
  <c r="G762" i="11"/>
  <c r="G769" i="11"/>
  <c r="F805" i="11"/>
  <c r="F833" i="11"/>
  <c r="G867" i="11"/>
  <c r="F959" i="11"/>
  <c r="G995" i="11"/>
  <c r="G994" i="11"/>
  <c r="G1025" i="11"/>
  <c r="G1024" i="11"/>
  <c r="G805" i="11"/>
  <c r="F889" i="11"/>
  <c r="G960" i="11"/>
  <c r="G959" i="11"/>
  <c r="G1002" i="11"/>
  <c r="G1055" i="11"/>
  <c r="G1054" i="11"/>
  <c r="F282" i="11"/>
  <c r="F377" i="11"/>
  <c r="F477" i="11"/>
  <c r="G627" i="11"/>
  <c r="G652" i="11"/>
  <c r="G684" i="11"/>
  <c r="G720" i="11"/>
  <c r="G727" i="11"/>
  <c r="G734" i="11"/>
  <c r="G770" i="11"/>
  <c r="G777" i="11"/>
  <c r="G784" i="11"/>
  <c r="G798" i="11"/>
  <c r="G820" i="11"/>
  <c r="G826" i="11"/>
  <c r="G847" i="11"/>
  <c r="F854" i="11"/>
  <c r="F855" i="11"/>
  <c r="G917" i="11"/>
  <c r="G1032" i="11"/>
  <c r="G1062" i="11"/>
  <c r="F372" i="11"/>
  <c r="F472" i="11"/>
  <c r="G615" i="11"/>
  <c r="G640" i="11"/>
  <c r="G665" i="11"/>
  <c r="F685" i="11"/>
  <c r="F735" i="11"/>
  <c r="F785" i="11"/>
  <c r="F820" i="11"/>
  <c r="F834" i="11"/>
  <c r="F848" i="11"/>
  <c r="F939" i="11"/>
  <c r="F1018" i="11"/>
  <c r="F367" i="11"/>
  <c r="F467" i="11"/>
  <c r="G692" i="11"/>
  <c r="G699" i="11"/>
  <c r="G713" i="11"/>
  <c r="G742" i="11"/>
  <c r="G749" i="11"/>
  <c r="G763" i="11"/>
  <c r="G792" i="11"/>
  <c r="F800" i="11"/>
  <c r="F799" i="11"/>
  <c r="G806" i="11"/>
  <c r="F883" i="11"/>
  <c r="F904" i="11"/>
  <c r="F905" i="11"/>
  <c r="F960" i="11"/>
  <c r="G967" i="11"/>
  <c r="F1003" i="11"/>
  <c r="G1018" i="11"/>
  <c r="G277" i="11"/>
  <c r="F362" i="11"/>
  <c r="F462" i="11"/>
  <c r="G537" i="11"/>
  <c r="F778" i="11"/>
  <c r="F814" i="11"/>
  <c r="F890" i="11"/>
  <c r="G897" i="11"/>
  <c r="G1003" i="11"/>
  <c r="F1063" i="11"/>
  <c r="G920" i="11"/>
  <c r="G919" i="11"/>
  <c r="F954" i="11"/>
  <c r="F955" i="11"/>
  <c r="G610" i="11"/>
  <c r="G635" i="11"/>
  <c r="G660" i="11"/>
  <c r="G947" i="11"/>
  <c r="G1005" i="11"/>
  <c r="G1004" i="11"/>
  <c r="G1035" i="11"/>
  <c r="G1034" i="11"/>
  <c r="F347" i="11"/>
  <c r="G970" i="11"/>
  <c r="G969" i="11"/>
  <c r="G802" i="11"/>
  <c r="G814" i="11"/>
  <c r="G839" i="11"/>
  <c r="G864" i="11"/>
  <c r="G889" i="11"/>
  <c r="G915" i="11"/>
  <c r="G914" i="11"/>
  <c r="G940" i="11"/>
  <c r="G939" i="11"/>
  <c r="G965" i="11"/>
  <c r="G964" i="11"/>
  <c r="G990" i="11"/>
  <c r="G989" i="11"/>
  <c r="F1009" i="11"/>
  <c r="F1029" i="11"/>
  <c r="F1049" i="11"/>
  <c r="F538" i="11"/>
  <c r="G1010" i="11"/>
  <c r="G1009" i="11"/>
  <c r="G1030" i="11"/>
  <c r="G1029" i="11"/>
  <c r="G1050" i="11"/>
  <c r="G1049" i="11"/>
  <c r="G829" i="11"/>
  <c r="G854" i="11"/>
  <c r="G879" i="11"/>
  <c r="G904" i="11"/>
  <c r="G930" i="11"/>
  <c r="G929" i="11"/>
  <c r="G955" i="11"/>
  <c r="G954" i="11"/>
  <c r="G980" i="11"/>
  <c r="G979" i="11"/>
  <c r="F9" i="13"/>
  <c r="F8" i="13"/>
  <c r="F999" i="11"/>
  <c r="F1019" i="11"/>
  <c r="F1039" i="11"/>
  <c r="F1059" i="11"/>
  <c r="F824" i="11"/>
  <c r="F830" i="11"/>
  <c r="F849" i="11"/>
  <c r="F874" i="11"/>
  <c r="F899" i="11"/>
  <c r="F924" i="11"/>
  <c r="F949" i="11"/>
  <c r="F974" i="11"/>
  <c r="G1000" i="11"/>
  <c r="G999" i="11"/>
  <c r="G1020" i="11"/>
  <c r="G1019" i="11"/>
  <c r="G1040" i="11"/>
  <c r="G1039" i="11"/>
  <c r="G1060" i="11"/>
  <c r="G1059" i="11"/>
  <c r="G925" i="11"/>
  <c r="G924" i="11"/>
  <c r="G950" i="11"/>
  <c r="G949" i="11"/>
  <c r="G975" i="11"/>
  <c r="G974" i="11"/>
  <c r="G825" i="11"/>
  <c r="G850" i="11"/>
  <c r="G875" i="11"/>
  <c r="G900" i="11"/>
  <c r="F29" i="13"/>
  <c r="F30" i="13"/>
  <c r="G9" i="13"/>
  <c r="G10" i="13"/>
  <c r="G42" i="13"/>
  <c r="G41" i="13"/>
  <c r="F23" i="13"/>
  <c r="G23" i="13"/>
  <c r="F48" i="13"/>
  <c r="G27" i="13"/>
  <c r="F42" i="13"/>
  <c r="G20" i="13"/>
  <c r="F35" i="13"/>
  <c r="F13" i="13"/>
  <c r="G39" i="13"/>
  <c r="F33" i="13"/>
  <c r="G36" i="13"/>
  <c r="G49" i="13"/>
  <c r="F43" i="13"/>
  <c r="G18" i="13"/>
  <c r="G5" i="13"/>
  <c r="F18" i="13"/>
  <c r="G25" i="13"/>
  <c r="F50" i="13"/>
  <c r="G44" i="13"/>
  <c r="F4" i="13"/>
  <c r="F24" i="13"/>
  <c r="F148" i="5"/>
  <c r="F149" i="5"/>
  <c r="G163" i="5"/>
  <c r="G164" i="5"/>
  <c r="G88" i="5"/>
  <c r="F25" i="4"/>
  <c r="F24" i="4"/>
  <c r="F78" i="4"/>
  <c r="F125" i="4"/>
  <c r="F124" i="4"/>
  <c r="F178" i="4"/>
  <c r="F225" i="4"/>
  <c r="F224" i="4"/>
  <c r="F197" i="5"/>
  <c r="F63" i="4"/>
  <c r="G78" i="4"/>
  <c r="F163" i="4"/>
  <c r="G178" i="4"/>
  <c r="F53" i="5"/>
  <c r="F165" i="4"/>
  <c r="F164" i="4"/>
  <c r="G69" i="5"/>
  <c r="G68" i="5"/>
  <c r="G54" i="5"/>
  <c r="F77" i="5"/>
  <c r="F113" i="5"/>
  <c r="G191" i="5"/>
  <c r="F65" i="4"/>
  <c r="F64" i="4"/>
  <c r="G223" i="5"/>
  <c r="G224" i="5"/>
  <c r="G18" i="4"/>
  <c r="F203" i="4"/>
  <c r="G218" i="4"/>
  <c r="G183" i="5"/>
  <c r="G184" i="5"/>
  <c r="G258" i="5"/>
  <c r="G259" i="5"/>
  <c r="F84" i="5"/>
  <c r="F83" i="5"/>
  <c r="F9" i="5"/>
  <c r="F8" i="5"/>
  <c r="F98" i="5"/>
  <c r="F99" i="5"/>
  <c r="F103" i="4"/>
  <c r="G118" i="4"/>
  <c r="F5" i="4"/>
  <c r="F4" i="4"/>
  <c r="F58" i="4"/>
  <c r="F88" i="4"/>
  <c r="F105" i="4"/>
  <c r="F104" i="4"/>
  <c r="F158" i="4"/>
  <c r="F188" i="4"/>
  <c r="F205" i="4"/>
  <c r="F204" i="4"/>
  <c r="F217" i="5"/>
  <c r="G19" i="5"/>
  <c r="G18" i="5"/>
  <c r="F123" i="5"/>
  <c r="F124" i="5"/>
  <c r="F45" i="4"/>
  <c r="F44" i="4"/>
  <c r="F98" i="4"/>
  <c r="F128" i="4"/>
  <c r="F145" i="4"/>
  <c r="F144" i="4"/>
  <c r="F198" i="4"/>
  <c r="F228" i="4"/>
  <c r="F245" i="4"/>
  <c r="F244" i="4"/>
  <c r="G243" i="5"/>
  <c r="G244" i="5"/>
  <c r="F34" i="5"/>
  <c r="F33" i="5"/>
  <c r="G97" i="4"/>
  <c r="G98" i="4"/>
  <c r="F177" i="5"/>
  <c r="F83" i="4"/>
  <c r="F183" i="4"/>
  <c r="G198" i="4"/>
  <c r="F19" i="5"/>
  <c r="F138" i="5"/>
  <c r="G79" i="5"/>
  <c r="G211" i="5"/>
  <c r="F38" i="4"/>
  <c r="F68" i="4"/>
  <c r="F85" i="4"/>
  <c r="F84" i="4"/>
  <c r="F138" i="4"/>
  <c r="F168" i="4"/>
  <c r="F185" i="4"/>
  <c r="F184" i="4"/>
  <c r="F238" i="4"/>
  <c r="G44" i="5"/>
  <c r="G43" i="5"/>
  <c r="G139" i="5"/>
  <c r="G203" i="5"/>
  <c r="G204" i="5"/>
  <c r="F237" i="5"/>
  <c r="F42" i="5"/>
  <c r="F257" i="5"/>
  <c r="G14" i="4"/>
  <c r="G34" i="4"/>
  <c r="G54" i="4"/>
  <c r="G74" i="4"/>
  <c r="G94" i="4"/>
  <c r="G114" i="4"/>
  <c r="G134" i="4"/>
  <c r="G154" i="4"/>
  <c r="G175" i="4"/>
  <c r="G174" i="4"/>
  <c r="G195" i="4"/>
  <c r="G194" i="4"/>
  <c r="G215" i="4"/>
  <c r="G214" i="4"/>
  <c r="G235" i="4"/>
  <c r="G234" i="4"/>
  <c r="G255" i="4"/>
  <c r="G254" i="4"/>
  <c r="F7" i="5"/>
  <c r="F36" i="5"/>
  <c r="G71" i="5"/>
  <c r="G101" i="5"/>
  <c r="G126" i="5"/>
  <c r="G151" i="5"/>
  <c r="F14" i="4"/>
  <c r="F34" i="4"/>
  <c r="F54" i="4"/>
  <c r="F74" i="4"/>
  <c r="F94" i="4"/>
  <c r="F114" i="4"/>
  <c r="F134" i="4"/>
  <c r="F154" i="4"/>
  <c r="F174" i="4"/>
  <c r="F194" i="4"/>
  <c r="F214" i="4"/>
  <c r="F234" i="4"/>
  <c r="F254" i="4"/>
  <c r="G36" i="5"/>
  <c r="F48" i="5"/>
  <c r="F72" i="5"/>
  <c r="G83" i="5"/>
  <c r="F102" i="5"/>
  <c r="F127" i="5"/>
  <c r="F152" i="5"/>
  <c r="F171" i="5"/>
  <c r="F191" i="5"/>
  <c r="F211" i="5"/>
  <c r="F231" i="5"/>
  <c r="F251" i="5"/>
  <c r="G170" i="4"/>
  <c r="G169" i="4"/>
  <c r="G190" i="4"/>
  <c r="G189" i="4"/>
  <c r="G210" i="4"/>
  <c r="G209" i="4"/>
  <c r="G230" i="4"/>
  <c r="G229" i="4"/>
  <c r="G250" i="4"/>
  <c r="G249" i="4"/>
  <c r="F32" i="5"/>
  <c r="F97" i="5"/>
  <c r="F122" i="5"/>
  <c r="F147" i="5"/>
  <c r="F67" i="5"/>
  <c r="F9" i="4"/>
  <c r="F29" i="4"/>
  <c r="F49" i="4"/>
  <c r="F69" i="4"/>
  <c r="F89" i="4"/>
  <c r="F109" i="4"/>
  <c r="F129" i="4"/>
  <c r="F149" i="4"/>
  <c r="F169" i="4"/>
  <c r="F189" i="4"/>
  <c r="F209" i="4"/>
  <c r="F229" i="4"/>
  <c r="F249" i="4"/>
  <c r="G8" i="5"/>
  <c r="F26" i="5"/>
  <c r="G61" i="5"/>
  <c r="F73" i="5"/>
  <c r="F166" i="5"/>
  <c r="F186" i="5"/>
  <c r="F206" i="5"/>
  <c r="F226" i="5"/>
  <c r="F246" i="5"/>
  <c r="G26" i="5"/>
  <c r="F38" i="5"/>
  <c r="F91" i="5"/>
  <c r="F116" i="5"/>
  <c r="F141" i="5"/>
  <c r="G166" i="5"/>
  <c r="G186" i="5"/>
  <c r="G206" i="5"/>
  <c r="G226" i="5"/>
  <c r="G246" i="5"/>
  <c r="F253" i="5"/>
  <c r="F22" i="5"/>
  <c r="G33" i="5"/>
  <c r="F51" i="5"/>
  <c r="G86" i="5"/>
  <c r="F111" i="5"/>
  <c r="F136" i="5"/>
  <c r="F161" i="5"/>
  <c r="G174" i="5"/>
  <c r="F181" i="5"/>
  <c r="G194" i="5"/>
  <c r="F201" i="5"/>
  <c r="G214" i="5"/>
  <c r="F221" i="5"/>
  <c r="G234" i="5"/>
  <c r="F241" i="5"/>
  <c r="F16" i="5"/>
  <c r="G51" i="5"/>
  <c r="F87" i="5"/>
  <c r="G111" i="5"/>
  <c r="G136" i="5"/>
  <c r="G161" i="5"/>
  <c r="F168" i="5"/>
  <c r="G181" i="5"/>
  <c r="F188" i="5"/>
  <c r="G201" i="5"/>
  <c r="F208" i="5"/>
  <c r="G221" i="5"/>
  <c r="F228" i="5"/>
  <c r="G241" i="5"/>
  <c r="F248" i="5"/>
  <c r="F261" i="5"/>
  <c r="G165" i="4"/>
  <c r="G164" i="4"/>
  <c r="G205" i="4"/>
  <c r="G204" i="4"/>
  <c r="G245" i="4"/>
  <c r="G244" i="4"/>
  <c r="G5" i="4"/>
  <c r="G25" i="4"/>
  <c r="G45" i="4"/>
  <c r="G65" i="4"/>
  <c r="G85" i="4"/>
  <c r="G105" i="4"/>
  <c r="G125" i="4"/>
  <c r="G145" i="4"/>
  <c r="G16" i="5"/>
  <c r="F52" i="5"/>
  <c r="F81" i="5"/>
  <c r="F112" i="5"/>
  <c r="F137" i="5"/>
  <c r="F162" i="5"/>
  <c r="F182" i="5"/>
  <c r="F202" i="5"/>
  <c r="F222" i="5"/>
  <c r="F242" i="5"/>
  <c r="G261" i="5"/>
  <c r="G225" i="4"/>
  <c r="G224" i="4"/>
  <c r="F57" i="5"/>
  <c r="G12" i="4"/>
  <c r="G32" i="4"/>
  <c r="G52" i="4"/>
  <c r="G72" i="4"/>
  <c r="G92" i="4"/>
  <c r="G112" i="4"/>
  <c r="G132" i="4"/>
  <c r="G152" i="4"/>
  <c r="G172" i="4"/>
  <c r="G192" i="4"/>
  <c r="G212" i="4"/>
  <c r="G232" i="4"/>
  <c r="G252" i="4"/>
  <c r="F17" i="5"/>
  <c r="F46" i="5"/>
  <c r="G81" i="5"/>
  <c r="G99" i="5"/>
  <c r="G124" i="5"/>
  <c r="G149" i="5"/>
  <c r="F262" i="5"/>
  <c r="G185" i="4"/>
  <c r="G184" i="4"/>
  <c r="G19" i="4"/>
  <c r="G39" i="4"/>
  <c r="G59" i="4"/>
  <c r="G79" i="4"/>
  <c r="G99" i="4"/>
  <c r="G119" i="4"/>
  <c r="G139" i="4"/>
  <c r="G160" i="4"/>
  <c r="G159" i="4"/>
  <c r="G180" i="4"/>
  <c r="G179" i="4"/>
  <c r="G200" i="4"/>
  <c r="G199" i="4"/>
  <c r="G220" i="4"/>
  <c r="G219" i="4"/>
  <c r="G240" i="4"/>
  <c r="G239" i="4"/>
  <c r="G260" i="4"/>
  <c r="G259" i="4"/>
  <c r="F11" i="5"/>
  <c r="G46" i="5"/>
  <c r="F82" i="5"/>
  <c r="F106" i="5"/>
  <c r="F131" i="5"/>
  <c r="F156" i="5"/>
</calcChain>
</file>

<file path=xl/sharedStrings.xml><?xml version="1.0" encoding="utf-8"?>
<sst xmlns="http://schemas.openxmlformats.org/spreadsheetml/2006/main" count="508" uniqueCount="100">
  <si>
    <t>Frequency</t>
  </si>
  <si>
    <t>Variables</t>
  </si>
  <si>
    <t>Series</t>
  </si>
  <si>
    <t>Codes</t>
  </si>
  <si>
    <t>Timeline</t>
  </si>
  <si>
    <t xml:space="preserve">Stationarity </t>
  </si>
  <si>
    <t>Assumption</t>
  </si>
  <si>
    <t xml:space="preserve">ADF-Testing </t>
  </si>
  <si>
    <t>Phillip Peron</t>
  </si>
  <si>
    <t>Ctirical Value</t>
  </si>
  <si>
    <t>No of Obs</t>
  </si>
  <si>
    <t>Daily</t>
  </si>
  <si>
    <t>Weekly</t>
  </si>
  <si>
    <t>Monthly</t>
  </si>
  <si>
    <t>At Level (I,0)</t>
  </si>
  <si>
    <t>1st Difference (I,1)</t>
  </si>
  <si>
    <t>1% Level</t>
  </si>
  <si>
    <t>5% Level</t>
  </si>
  <si>
    <t>10% Level</t>
  </si>
  <si>
    <t>GOLD</t>
  </si>
  <si>
    <t>Spot</t>
  </si>
  <si>
    <t>GLDS</t>
  </si>
  <si>
    <t>01/01/2021-31/12/2025</t>
  </si>
  <si>
    <t>P-Value</t>
  </si>
  <si>
    <t>T-Stats</t>
  </si>
  <si>
    <t>Future</t>
  </si>
  <si>
    <t>GLDF</t>
  </si>
  <si>
    <t>Intercept</t>
  </si>
  <si>
    <t>BITCOIN</t>
  </si>
  <si>
    <t>BTCS</t>
  </si>
  <si>
    <t>BTCF</t>
  </si>
  <si>
    <t>Intercept &amp; Trend</t>
  </si>
  <si>
    <t>None</t>
  </si>
  <si>
    <t>06/01/2021-31/12/2025</t>
  </si>
  <si>
    <t>31/01/2021-31/12/2025</t>
  </si>
  <si>
    <t>Date</t>
  </si>
  <si>
    <t>LGLDS</t>
  </si>
  <si>
    <t>LGLDF</t>
  </si>
  <si>
    <t>DLGLDS</t>
  </si>
  <si>
    <t>DLGLDF</t>
  </si>
  <si>
    <t>LBTCS</t>
  </si>
  <si>
    <t>LBTCF</t>
  </si>
  <si>
    <t>DLBTCS</t>
  </si>
  <si>
    <t>DLBTCF</t>
  </si>
  <si>
    <t>I,1</t>
  </si>
  <si>
    <t>MEMS</t>
  </si>
  <si>
    <t>MEMF</t>
  </si>
  <si>
    <t>MSCI EMRK</t>
  </si>
  <si>
    <t>06/12/2021-19/12/2025</t>
  </si>
  <si>
    <t>08/12/2021-24/12/2025</t>
  </si>
  <si>
    <t>31/12/2021-31/12/2025</t>
  </si>
  <si>
    <t>LMEMS</t>
  </si>
  <si>
    <t>LMEMF</t>
  </si>
  <si>
    <t>DLMEMS</t>
  </si>
  <si>
    <t>DLMEMF</t>
  </si>
  <si>
    <t>MSCI_EMRT</t>
  </si>
  <si>
    <t>Notes</t>
  </si>
  <si>
    <t>J &amp;J</t>
  </si>
  <si>
    <t>result</t>
  </si>
  <si>
    <t>H: r=0</t>
  </si>
  <si>
    <t>None: P&lt;5% and At most: P&gt;5%</t>
  </si>
  <si>
    <t>None: P&lt;5% and At most: P&lt;5%</t>
  </si>
  <si>
    <t>Variable</t>
  </si>
  <si>
    <t>Spot Code</t>
  </si>
  <si>
    <t>Future Code</t>
  </si>
  <si>
    <t>Obs</t>
  </si>
  <si>
    <t>Trend Spec</t>
  </si>
  <si>
    <t>Lag (Δ)</t>
  </si>
  <si>
    <t>Trace r=0 Stat</t>
  </si>
  <si>
    <t>Trace CV5%</t>
  </si>
  <si>
    <t>Trace p</t>
  </si>
  <si>
    <t>Trace Decision</t>
  </si>
  <si>
    <t>MaxEigen r=0 Stat</t>
  </si>
  <si>
    <t>Max CV5%</t>
  </si>
  <si>
    <t>Max p</t>
  </si>
  <si>
    <t>Max Decision</t>
  </si>
  <si>
    <t>Rank (r)</t>
  </si>
  <si>
    <t>β Spot</t>
  </si>
  <si>
    <t>β Future</t>
  </si>
  <si>
    <t>α Spot</t>
  </si>
  <si>
    <t>α Future</t>
  </si>
  <si>
    <t>Final Cointegration</t>
  </si>
  <si>
    <t>Suggested Model</t>
  </si>
  <si>
    <t>Linear Trend</t>
  </si>
  <si>
    <t>Reject H0</t>
  </si>
  <si>
    <t>Yes</t>
  </si>
  <si>
    <t>VECM</t>
  </si>
  <si>
    <t>Strong cointegration</t>
  </si>
  <si>
    <t>2*</t>
  </si>
  <si>
    <t>Rank=2 (possible over-fitting in bivariate system)</t>
  </si>
  <si>
    <t>Rank=2 unusual for 2-variable system</t>
  </si>
  <si>
    <t>Very strong long-run link</t>
  </si>
  <si>
    <t>Strong error correction</t>
  </si>
  <si>
    <t>Stable long-run parity</t>
  </si>
  <si>
    <t>Moderate adjustment</t>
  </si>
  <si>
    <t>Cointegration present</t>
  </si>
  <si>
    <t>Fail to reject</t>
  </si>
  <si>
    <t>No</t>
  </si>
  <si>
    <t>VAR</t>
  </si>
  <si>
    <t>No long-run 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</si>
</sst>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#,##0.0000_ ;\-#,##0.0000\ "/>
    <numFmt numFmtId="171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3" fillId="2" borderId="1" xfId="0" applyFont="1" applyFill="1" applyBorder="1" applyAlignment="1">
      <alignment vertical="center"/>
    </xf>
    <xf numFmtId="0" fontId="0" fillId="4" borderId="1" xfId="0" applyFill="1" applyBorder="1"/>
    <xf numFmtId="0" fontId="5" fillId="2" borderId="1" xfId="0" applyFont="1" applyFill="1" applyBorder="1" applyAlignment="1">
      <alignment horizontal="center"/>
    </xf>
    <xf numFmtId="0" fontId="5" fillId="0" borderId="0" xfId="0" applyFont="1"/>
    <xf numFmtId="0" fontId="0" fillId="0" borderId="1" xfId="0" applyBorder="1"/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14" fontId="0" fillId="8" borderId="1" xfId="0" applyNumberFormat="1" applyFill="1" applyBorder="1"/>
    <xf numFmtId="0" fontId="0" fillId="8" borderId="1" xfId="0" applyFill="1" applyBorder="1"/>
    <xf numFmtId="0" fontId="0" fillId="8" borderId="0" xfId="0" applyFill="1"/>
    <xf numFmtId="14" fontId="0" fillId="4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textRotation="255"/>
    </xf>
    <xf numFmtId="0" fontId="3" fillId="3" borderId="4" xfId="0" applyFont="1" applyFill="1" applyBorder="1" applyAlignment="1">
      <alignment horizontal="center" vertical="center" textRotation="255"/>
    </xf>
    <xf numFmtId="0" fontId="3" fillId="3" borderId="3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0" fillId="4" borderId="11" xfId="0" applyFill="1" applyBorder="1" applyAlignment="1">
      <alignment horizontal="center" vertical="center" textRotation="255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textRotation="255"/>
    </xf>
    <xf numFmtId="0" fontId="0" fillId="4" borderId="13" xfId="0" applyFill="1" applyBorder="1" applyAlignment="1">
      <alignment horizontal="center" vertical="center" textRotation="255"/>
    </xf>
    <xf numFmtId="0" fontId="0" fillId="2" borderId="11" xfId="0" applyFill="1" applyBorder="1" applyAlignment="1">
      <alignment horizontal="center" vertical="center" textRotation="255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textRotation="255"/>
    </xf>
    <xf numFmtId="0" fontId="0" fillId="2" borderId="13" xfId="0" applyFill="1" applyBorder="1" applyAlignment="1">
      <alignment horizontal="center" vertical="center" textRotation="255"/>
    </xf>
    <xf numFmtId="0" fontId="0" fillId="4" borderId="15" xfId="0" applyFill="1" applyBorder="1"/>
    <xf numFmtId="14" fontId="0" fillId="4" borderId="15" xfId="0" applyNumberFormat="1" applyFill="1" applyBorder="1"/>
    <xf numFmtId="0" fontId="0" fillId="4" borderId="16" xfId="0" applyFill="1" applyBorder="1" applyAlignment="1">
      <alignment horizontal="center" vertical="center"/>
    </xf>
    <xf numFmtId="0" fontId="0" fillId="4" borderId="11" xfId="0" applyFill="1" applyBorder="1" applyAlignment="1">
      <alignment vertical="center" textRotation="255"/>
    </xf>
    <xf numFmtId="0" fontId="0" fillId="4" borderId="12" xfId="0" applyFill="1" applyBorder="1" applyAlignment="1">
      <alignment vertical="center" textRotation="255"/>
    </xf>
    <xf numFmtId="0" fontId="0" fillId="4" borderId="14" xfId="0" applyFill="1" applyBorder="1" applyAlignment="1">
      <alignment vertical="center" textRotation="255"/>
    </xf>
    <xf numFmtId="0" fontId="3" fillId="2" borderId="8" xfId="0" applyFont="1" applyFill="1" applyBorder="1" applyAlignment="1"/>
    <xf numFmtId="0" fontId="3" fillId="2" borderId="18" xfId="0" applyFont="1" applyFill="1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0" fillId="0" borderId="0" xfId="0" applyAlignment="1">
      <alignment wrapText="1"/>
    </xf>
    <xf numFmtId="171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b/>
        <i val="0"/>
        <u val="none"/>
        <color theme="9"/>
      </font>
    </dxf>
    <dxf>
      <font>
        <color rgb="FFFF0000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449A-658C-47AE-866F-F88394BD0DF7}">
  <dimension ref="B1:AB59"/>
  <sheetViews>
    <sheetView topLeftCell="N1" workbookViewId="0">
      <selection activeCell="AC25" sqref="AC25"/>
    </sheetView>
  </sheetViews>
  <sheetFormatPr defaultRowHeight="15" x14ac:dyDescent="0.25"/>
  <cols>
    <col min="2" max="2" width="9.7109375" bestFit="1" customWidth="1"/>
    <col min="3" max="3" width="11.28515625" bestFit="1" customWidth="1"/>
    <col min="4" max="4" width="7" bestFit="1" customWidth="1"/>
    <col min="5" max="5" width="7.140625" bestFit="1" customWidth="1"/>
    <col min="6" max="6" width="16" bestFit="1" customWidth="1"/>
    <col min="7" max="7" width="8.5703125" bestFit="1" customWidth="1"/>
    <col min="8" max="8" width="9.85546875" bestFit="1" customWidth="1"/>
    <col min="9" max="9" width="8.5703125" bestFit="1" customWidth="1"/>
    <col min="10" max="10" width="9.85546875" bestFit="1" customWidth="1"/>
    <col min="11" max="11" width="8.5703125" bestFit="1" customWidth="1"/>
    <col min="12" max="12" width="9.85546875" bestFit="1" customWidth="1"/>
    <col min="13" max="13" width="8.5703125" bestFit="1" customWidth="1"/>
    <col min="14" max="17" width="9.85546875" bestFit="1" customWidth="1"/>
    <col min="18" max="18" width="3.7109375" customWidth="1"/>
    <col min="20" max="20" width="10.42578125" bestFit="1" customWidth="1"/>
    <col min="21" max="21" width="10.5703125" bestFit="1" customWidth="1"/>
    <col min="22" max="22" width="6.7109375" bestFit="1" customWidth="1"/>
    <col min="23" max="23" width="6.85546875" bestFit="1" customWidth="1"/>
    <col min="24" max="24" width="20.85546875" bestFit="1" customWidth="1"/>
    <col min="25" max="25" width="9.85546875" bestFit="1" customWidth="1"/>
    <col min="26" max="26" width="6.28515625" bestFit="1" customWidth="1"/>
    <col min="27" max="27" width="28.5703125" bestFit="1" customWidth="1"/>
  </cols>
  <sheetData>
    <row r="1" spans="2:28" ht="15.75" thickBot="1" x14ac:dyDescent="0.3"/>
    <row r="2" spans="2:28" ht="14.25" customHeight="1" x14ac:dyDescent="0.25">
      <c r="T2" s="38" t="s">
        <v>0</v>
      </c>
      <c r="U2" s="39" t="s">
        <v>1</v>
      </c>
      <c r="V2" s="39" t="s">
        <v>2</v>
      </c>
      <c r="W2" s="39" t="s">
        <v>3</v>
      </c>
      <c r="X2" s="39" t="s">
        <v>4</v>
      </c>
      <c r="Y2" s="40" t="s">
        <v>5</v>
      </c>
      <c r="Z2" s="41"/>
      <c r="AA2" s="58" t="s">
        <v>57</v>
      </c>
    </row>
    <row r="3" spans="2:28" ht="14.25" customHeight="1" x14ac:dyDescent="0.25">
      <c r="B3" s="1" t="s">
        <v>0</v>
      </c>
      <c r="C3" s="34" t="s">
        <v>1</v>
      </c>
      <c r="D3" s="34" t="s">
        <v>2</v>
      </c>
      <c r="E3" s="34" t="s">
        <v>3</v>
      </c>
      <c r="F3" s="34" t="s">
        <v>6</v>
      </c>
      <c r="G3" s="35" t="s">
        <v>7</v>
      </c>
      <c r="H3" s="35"/>
      <c r="I3" s="35"/>
      <c r="J3" s="35"/>
      <c r="K3" s="35" t="s">
        <v>8</v>
      </c>
      <c r="L3" s="35"/>
      <c r="M3" s="35"/>
      <c r="N3" s="35"/>
      <c r="O3" s="35" t="s">
        <v>9</v>
      </c>
      <c r="P3" s="35"/>
      <c r="Q3" s="35"/>
      <c r="T3" s="42"/>
      <c r="U3" s="33"/>
      <c r="V3" s="33" t="s">
        <v>2</v>
      </c>
      <c r="W3" s="33" t="s">
        <v>3</v>
      </c>
      <c r="X3" s="33" t="s">
        <v>4</v>
      </c>
      <c r="Y3" s="1" t="s">
        <v>10</v>
      </c>
      <c r="Z3" s="43" t="s">
        <v>58</v>
      </c>
      <c r="AA3" s="59" t="s">
        <v>59</v>
      </c>
    </row>
    <row r="4" spans="2:28" ht="14.25" customHeight="1" x14ac:dyDescent="0.25">
      <c r="B4" s="1"/>
      <c r="C4" s="34"/>
      <c r="D4" s="34"/>
      <c r="E4" s="34"/>
      <c r="F4" s="34"/>
      <c r="G4" s="36" t="s">
        <v>14</v>
      </c>
      <c r="H4" s="36"/>
      <c r="I4" s="36" t="s">
        <v>15</v>
      </c>
      <c r="J4" s="36"/>
      <c r="K4" s="36" t="s">
        <v>14</v>
      </c>
      <c r="L4" s="36"/>
      <c r="M4" s="36" t="s">
        <v>15</v>
      </c>
      <c r="N4" s="36"/>
      <c r="O4" s="37" t="s">
        <v>16</v>
      </c>
      <c r="P4" s="37" t="s">
        <v>17</v>
      </c>
      <c r="Q4" s="37" t="s">
        <v>18</v>
      </c>
      <c r="T4" s="44" t="s">
        <v>11</v>
      </c>
      <c r="U4" s="2" t="s">
        <v>19</v>
      </c>
      <c r="V4" s="2" t="s">
        <v>20</v>
      </c>
      <c r="W4" s="2" t="s">
        <v>21</v>
      </c>
      <c r="X4" s="2" t="s">
        <v>22</v>
      </c>
      <c r="Y4" s="2">
        <v>1304</v>
      </c>
      <c r="Z4" s="45" t="s">
        <v>44</v>
      </c>
      <c r="AA4" s="62" t="s">
        <v>60</v>
      </c>
    </row>
    <row r="5" spans="2:28" s="4" customFormat="1" ht="14.25" customHeight="1" x14ac:dyDescent="0.25">
      <c r="B5" s="1"/>
      <c r="C5" s="34"/>
      <c r="D5" s="34"/>
      <c r="E5" s="34"/>
      <c r="F5" s="34"/>
      <c r="G5" s="3" t="s">
        <v>23</v>
      </c>
      <c r="H5" s="3" t="s">
        <v>24</v>
      </c>
      <c r="I5" s="3" t="s">
        <v>23</v>
      </c>
      <c r="J5" s="3" t="s">
        <v>24</v>
      </c>
      <c r="K5" s="3" t="s">
        <v>23</v>
      </c>
      <c r="L5" s="3" t="s">
        <v>24</v>
      </c>
      <c r="M5" s="3" t="s">
        <v>23</v>
      </c>
      <c r="N5" s="3" t="s">
        <v>24</v>
      </c>
      <c r="O5" s="37"/>
      <c r="P5" s="37"/>
      <c r="Q5" s="37"/>
      <c r="S5"/>
      <c r="T5" s="46"/>
      <c r="U5" s="2" t="s">
        <v>19</v>
      </c>
      <c r="V5" s="2" t="s">
        <v>25</v>
      </c>
      <c r="W5" s="2" t="s">
        <v>26</v>
      </c>
      <c r="X5" s="2" t="s">
        <v>22</v>
      </c>
      <c r="Y5" s="2">
        <v>1304</v>
      </c>
      <c r="Z5" s="45" t="s">
        <v>44</v>
      </c>
      <c r="AA5" s="63"/>
      <c r="AB5"/>
    </row>
    <row r="6" spans="2:28" ht="16.5" customHeight="1" x14ac:dyDescent="0.25">
      <c r="B6" s="28" t="s">
        <v>11</v>
      </c>
      <c r="C6" s="5" t="s">
        <v>19</v>
      </c>
      <c r="D6" s="5" t="s">
        <v>20</v>
      </c>
      <c r="E6" s="5" t="s">
        <v>21</v>
      </c>
      <c r="F6" s="27" t="s">
        <v>27</v>
      </c>
      <c r="G6" s="6">
        <v>0.99980000000000002</v>
      </c>
      <c r="H6" s="7">
        <v>1.795293</v>
      </c>
      <c r="I6" s="8">
        <v>0</v>
      </c>
      <c r="J6" s="7">
        <v>-26.737439999999999</v>
      </c>
      <c r="K6" s="6">
        <v>0.99990000000000001</v>
      </c>
      <c r="L6" s="7">
        <v>1.9753309999999999</v>
      </c>
      <c r="M6" s="8">
        <v>0</v>
      </c>
      <c r="N6" s="7">
        <v>-36.272199999999998</v>
      </c>
      <c r="O6" s="26">
        <v>-3.4351569999999998</v>
      </c>
      <c r="P6" s="26">
        <v>-2.86355</v>
      </c>
      <c r="Q6" s="26">
        <v>-2.5678899999999998</v>
      </c>
      <c r="T6" s="46"/>
      <c r="U6" s="2" t="s">
        <v>28</v>
      </c>
      <c r="V6" s="2" t="s">
        <v>20</v>
      </c>
      <c r="W6" s="2" t="s">
        <v>29</v>
      </c>
      <c r="X6" s="2" t="s">
        <v>22</v>
      </c>
      <c r="Y6" s="2">
        <v>1304</v>
      </c>
      <c r="Z6" s="45" t="s">
        <v>44</v>
      </c>
      <c r="AA6" s="62" t="s">
        <v>60</v>
      </c>
    </row>
    <row r="7" spans="2:28" ht="16.5" customHeight="1" x14ac:dyDescent="0.25">
      <c r="B7" s="29"/>
      <c r="C7" s="5" t="s">
        <v>19</v>
      </c>
      <c r="D7" s="5" t="s">
        <v>25</v>
      </c>
      <c r="E7" s="5" t="s">
        <v>26</v>
      </c>
      <c r="F7" s="27"/>
      <c r="G7" s="6">
        <v>0.99990000000000001</v>
      </c>
      <c r="H7" s="7">
        <v>2.0505990000000001</v>
      </c>
      <c r="I7" s="8">
        <v>0</v>
      </c>
      <c r="J7" s="7">
        <v>-38.034269999999999</v>
      </c>
      <c r="K7" s="6">
        <v>0.99990000000000001</v>
      </c>
      <c r="L7" s="7">
        <v>2.034424</v>
      </c>
      <c r="M7" s="8">
        <v>0</v>
      </c>
      <c r="N7" s="7">
        <v>-38.046660000000003</v>
      </c>
      <c r="O7" s="26"/>
      <c r="P7" s="26"/>
      <c r="Q7" s="26"/>
      <c r="T7" s="46"/>
      <c r="U7" s="2" t="s">
        <v>28</v>
      </c>
      <c r="V7" s="2" t="s">
        <v>25</v>
      </c>
      <c r="W7" s="2" t="s">
        <v>30</v>
      </c>
      <c r="X7" s="2" t="s">
        <v>22</v>
      </c>
      <c r="Y7" s="2">
        <v>1304</v>
      </c>
      <c r="Z7" s="45" t="s">
        <v>44</v>
      </c>
      <c r="AA7" s="63"/>
    </row>
    <row r="8" spans="2:28" ht="16.5" customHeight="1" x14ac:dyDescent="0.25">
      <c r="B8" s="29"/>
      <c r="C8" s="5" t="s">
        <v>19</v>
      </c>
      <c r="D8" s="5" t="s">
        <v>20</v>
      </c>
      <c r="E8" s="5" t="s">
        <v>21</v>
      </c>
      <c r="F8" s="27" t="s">
        <v>31</v>
      </c>
      <c r="G8" s="6">
        <v>0.92589999999999995</v>
      </c>
      <c r="H8" s="7">
        <v>-1.10907</v>
      </c>
      <c r="I8" s="8">
        <v>0</v>
      </c>
      <c r="J8" s="7">
        <v>-26.979710000000001</v>
      </c>
      <c r="K8" s="6">
        <v>0.93830000000000002</v>
      </c>
      <c r="L8" s="7">
        <v>-1.0286550000000001</v>
      </c>
      <c r="M8" s="8">
        <v>0</v>
      </c>
      <c r="N8" s="7">
        <v>-36.519669999999998</v>
      </c>
      <c r="O8" s="26">
        <v>-3.9651040000000002</v>
      </c>
      <c r="P8" s="26">
        <v>-3.4132639999999999</v>
      </c>
      <c r="Q8" s="26">
        <v>-3.1286559999999999</v>
      </c>
      <c r="T8" s="46"/>
      <c r="U8" s="2" t="s">
        <v>47</v>
      </c>
      <c r="V8" s="2" t="s">
        <v>20</v>
      </c>
      <c r="W8" s="2" t="s">
        <v>45</v>
      </c>
      <c r="X8" s="2" t="s">
        <v>48</v>
      </c>
      <c r="Y8" s="2">
        <v>1063</v>
      </c>
      <c r="Z8" s="45" t="s">
        <v>44</v>
      </c>
      <c r="AA8" s="62" t="s">
        <v>60</v>
      </c>
    </row>
    <row r="9" spans="2:28" ht="16.5" customHeight="1" x14ac:dyDescent="0.25">
      <c r="B9" s="29"/>
      <c r="C9" s="5" t="s">
        <v>19</v>
      </c>
      <c r="D9" s="5" t="s">
        <v>25</v>
      </c>
      <c r="E9" s="5" t="s">
        <v>26</v>
      </c>
      <c r="F9" s="27"/>
      <c r="G9" s="6">
        <v>0.9153</v>
      </c>
      <c r="H9" s="7">
        <v>-1.168601</v>
      </c>
      <c r="I9" s="8">
        <v>0</v>
      </c>
      <c r="J9" s="7">
        <v>-27.334230000000002</v>
      </c>
      <c r="K9" s="6">
        <v>0.94530000000000003</v>
      </c>
      <c r="L9" s="7">
        <v>-0.97642099999999998</v>
      </c>
      <c r="M9" s="8">
        <v>0</v>
      </c>
      <c r="N9" s="7">
        <v>-38.379420000000003</v>
      </c>
      <c r="O9" s="26"/>
      <c r="P9" s="26"/>
      <c r="Q9" s="26"/>
      <c r="T9" s="47"/>
      <c r="U9" s="2" t="s">
        <v>47</v>
      </c>
      <c r="V9" s="2" t="s">
        <v>25</v>
      </c>
      <c r="W9" s="2" t="s">
        <v>46</v>
      </c>
      <c r="X9" s="2" t="s">
        <v>48</v>
      </c>
      <c r="Y9" s="2">
        <v>1063</v>
      </c>
      <c r="Z9" s="45" t="s">
        <v>44</v>
      </c>
      <c r="AA9" s="63"/>
    </row>
    <row r="10" spans="2:28" ht="16.5" customHeight="1" x14ac:dyDescent="0.25">
      <c r="B10" s="29"/>
      <c r="C10" s="5" t="s">
        <v>19</v>
      </c>
      <c r="D10" s="5" t="s">
        <v>20</v>
      </c>
      <c r="E10" s="5" t="s">
        <v>21</v>
      </c>
      <c r="F10" s="27" t="s">
        <v>32</v>
      </c>
      <c r="G10" s="6">
        <v>0.99670000000000003</v>
      </c>
      <c r="H10" s="7">
        <v>2.4350700000000001</v>
      </c>
      <c r="I10" s="8">
        <v>0</v>
      </c>
      <c r="J10" s="7">
        <v>-26.579160000000002</v>
      </c>
      <c r="K10" s="6">
        <v>0.99729999999999996</v>
      </c>
      <c r="L10" s="7">
        <v>2.4972379999999998</v>
      </c>
      <c r="M10" s="8">
        <v>0</v>
      </c>
      <c r="N10" s="7">
        <v>-36.130780000000001</v>
      </c>
      <c r="O10" s="26">
        <v>-2.566738</v>
      </c>
      <c r="P10" s="26">
        <v>-1.9410670000000001</v>
      </c>
      <c r="Q10" s="26">
        <v>-1.616536</v>
      </c>
      <c r="T10" s="48" t="s">
        <v>12</v>
      </c>
      <c r="U10" s="9" t="s">
        <v>19</v>
      </c>
      <c r="V10" s="9" t="s">
        <v>20</v>
      </c>
      <c r="W10" s="9" t="s">
        <v>21</v>
      </c>
      <c r="X10" s="9" t="s">
        <v>33</v>
      </c>
      <c r="Y10" s="9">
        <v>261</v>
      </c>
      <c r="Z10" s="49" t="s">
        <v>44</v>
      </c>
      <c r="AA10" s="60" t="s">
        <v>61</v>
      </c>
    </row>
    <row r="11" spans="2:28" ht="16.5" customHeight="1" x14ac:dyDescent="0.25">
      <c r="B11" s="29"/>
      <c r="C11" s="5" t="s">
        <v>19</v>
      </c>
      <c r="D11" s="5" t="s">
        <v>25</v>
      </c>
      <c r="E11" s="5" t="s">
        <v>26</v>
      </c>
      <c r="F11" s="27"/>
      <c r="G11" s="6">
        <v>0.99650000000000005</v>
      </c>
      <c r="H11" s="7">
        <v>2.4159380000000001</v>
      </c>
      <c r="I11" s="8">
        <v>0</v>
      </c>
      <c r="J11" s="7">
        <v>-37.895510000000002</v>
      </c>
      <c r="K11" s="6">
        <v>0.99739999999999995</v>
      </c>
      <c r="L11" s="7">
        <v>2.516003</v>
      </c>
      <c r="M11" s="8">
        <v>0</v>
      </c>
      <c r="N11" s="7">
        <v>-37.897970000000001</v>
      </c>
      <c r="O11" s="26"/>
      <c r="P11" s="26"/>
      <c r="Q11" s="26"/>
      <c r="T11" s="50"/>
      <c r="U11" s="9" t="s">
        <v>19</v>
      </c>
      <c r="V11" s="9" t="s">
        <v>25</v>
      </c>
      <c r="W11" s="9" t="s">
        <v>26</v>
      </c>
      <c r="X11" s="9" t="s">
        <v>33</v>
      </c>
      <c r="Y11" s="9">
        <v>261</v>
      </c>
      <c r="Z11" s="49" t="s">
        <v>44</v>
      </c>
      <c r="AA11" s="61"/>
    </row>
    <row r="12" spans="2:28" ht="16.5" customHeight="1" x14ac:dyDescent="0.25">
      <c r="B12" s="29"/>
      <c r="C12" s="5" t="s">
        <v>28</v>
      </c>
      <c r="D12" s="5" t="s">
        <v>20</v>
      </c>
      <c r="E12" s="5" t="s">
        <v>29</v>
      </c>
      <c r="F12" s="27" t="s">
        <v>27</v>
      </c>
      <c r="G12" s="6">
        <v>0.73939999999999995</v>
      </c>
      <c r="H12" s="7">
        <v>-1.0434829999999999</v>
      </c>
      <c r="I12" s="8">
        <v>0</v>
      </c>
      <c r="J12" s="7">
        <v>-36.258800000000001</v>
      </c>
      <c r="K12" s="6">
        <v>0.73240000000000005</v>
      </c>
      <c r="L12" s="7">
        <v>-1.0621350000000001</v>
      </c>
      <c r="M12" s="8">
        <v>0</v>
      </c>
      <c r="N12" s="7">
        <v>-36.258189999999999</v>
      </c>
      <c r="O12" s="26">
        <v>-3.4351569999999998</v>
      </c>
      <c r="P12" s="26">
        <v>-2.86355</v>
      </c>
      <c r="Q12" s="26">
        <v>-2.5678899999999998</v>
      </c>
      <c r="T12" s="50"/>
      <c r="U12" s="9" t="s">
        <v>28</v>
      </c>
      <c r="V12" s="9" t="s">
        <v>20</v>
      </c>
      <c r="W12" s="9" t="s">
        <v>29</v>
      </c>
      <c r="X12" s="9" t="s">
        <v>33</v>
      </c>
      <c r="Y12" s="9">
        <v>261</v>
      </c>
      <c r="Z12" s="49" t="s">
        <v>44</v>
      </c>
      <c r="AA12" s="60" t="s">
        <v>60</v>
      </c>
    </row>
    <row r="13" spans="2:28" ht="16.5" customHeight="1" x14ac:dyDescent="0.25">
      <c r="B13" s="29"/>
      <c r="C13" s="5" t="s">
        <v>28</v>
      </c>
      <c r="D13" s="5" t="s">
        <v>25</v>
      </c>
      <c r="E13" s="5" t="s">
        <v>30</v>
      </c>
      <c r="F13" s="27"/>
      <c r="G13" s="6">
        <v>0.71889999999999998</v>
      </c>
      <c r="H13" s="7">
        <v>-1.09714</v>
      </c>
      <c r="I13" s="8">
        <v>0</v>
      </c>
      <c r="J13" s="7">
        <v>-37.987769999999998</v>
      </c>
      <c r="K13" s="6">
        <v>0.73180000000000001</v>
      </c>
      <c r="L13" s="7">
        <v>-1.063755</v>
      </c>
      <c r="M13" s="8">
        <v>0</v>
      </c>
      <c r="N13" s="7">
        <v>-37.990859999999998</v>
      </c>
      <c r="O13" s="26"/>
      <c r="P13" s="26"/>
      <c r="Q13" s="26"/>
      <c r="T13" s="50"/>
      <c r="U13" s="9" t="s">
        <v>28</v>
      </c>
      <c r="V13" s="9" t="s">
        <v>25</v>
      </c>
      <c r="W13" s="9" t="s">
        <v>30</v>
      </c>
      <c r="X13" s="9" t="s">
        <v>33</v>
      </c>
      <c r="Y13" s="9">
        <v>261</v>
      </c>
      <c r="Z13" s="49" t="s">
        <v>44</v>
      </c>
      <c r="AA13" s="61"/>
    </row>
    <row r="14" spans="2:28" ht="16.5" customHeight="1" x14ac:dyDescent="0.25">
      <c r="B14" s="29"/>
      <c r="C14" s="5" t="s">
        <v>28</v>
      </c>
      <c r="D14" s="5" t="s">
        <v>20</v>
      </c>
      <c r="E14" s="5" t="s">
        <v>29</v>
      </c>
      <c r="F14" s="27" t="s">
        <v>31</v>
      </c>
      <c r="G14" s="6">
        <v>0.8337</v>
      </c>
      <c r="H14" s="7">
        <v>-1.487533</v>
      </c>
      <c r="I14" s="8">
        <v>0</v>
      </c>
      <c r="J14" s="7">
        <v>-36.247079999999997</v>
      </c>
      <c r="K14" s="6">
        <v>0.82599999999999996</v>
      </c>
      <c r="L14" s="7">
        <v>-1.5101899999999999</v>
      </c>
      <c r="M14" s="8">
        <v>0</v>
      </c>
      <c r="N14" s="7">
        <v>-36.246540000000003</v>
      </c>
      <c r="O14" s="26">
        <v>-3.9651040000000002</v>
      </c>
      <c r="P14" s="26">
        <v>-3.4132639999999999</v>
      </c>
      <c r="Q14" s="26">
        <v>-3.1286559999999999</v>
      </c>
      <c r="T14" s="50"/>
      <c r="U14" s="9" t="s">
        <v>47</v>
      </c>
      <c r="V14" s="9" t="s">
        <v>20</v>
      </c>
      <c r="W14" s="9" t="s">
        <v>45</v>
      </c>
      <c r="X14" s="9" t="s">
        <v>49</v>
      </c>
      <c r="Y14" s="9">
        <v>212</v>
      </c>
      <c r="Z14" s="49" t="s">
        <v>44</v>
      </c>
      <c r="AA14" s="60" t="s">
        <v>60</v>
      </c>
    </row>
    <row r="15" spans="2:28" ht="16.5" customHeight="1" x14ac:dyDescent="0.25">
      <c r="B15" s="29"/>
      <c r="C15" s="5" t="s">
        <v>28</v>
      </c>
      <c r="D15" s="5" t="s">
        <v>25</v>
      </c>
      <c r="E15" s="5" t="s">
        <v>30</v>
      </c>
      <c r="F15" s="27"/>
      <c r="G15" s="6">
        <v>0.81200000000000006</v>
      </c>
      <c r="H15" s="7">
        <v>-1.549566</v>
      </c>
      <c r="I15" s="8">
        <v>0</v>
      </c>
      <c r="J15" s="7">
        <v>-37.975630000000002</v>
      </c>
      <c r="K15" s="6">
        <v>0.82720000000000005</v>
      </c>
      <c r="L15" s="7">
        <v>-1.506802</v>
      </c>
      <c r="M15" s="8">
        <v>0</v>
      </c>
      <c r="N15" s="7">
        <v>-37.978749999999998</v>
      </c>
      <c r="O15" s="26"/>
      <c r="P15" s="26"/>
      <c r="Q15" s="26"/>
      <c r="T15" s="51"/>
      <c r="U15" s="9" t="s">
        <v>47</v>
      </c>
      <c r="V15" s="9" t="s">
        <v>25</v>
      </c>
      <c r="W15" s="9" t="s">
        <v>46</v>
      </c>
      <c r="X15" s="9" t="s">
        <v>49</v>
      </c>
      <c r="Y15" s="9">
        <v>212</v>
      </c>
      <c r="Z15" s="49" t="s">
        <v>44</v>
      </c>
      <c r="AA15" s="61"/>
    </row>
    <row r="16" spans="2:28" ht="16.5" customHeight="1" x14ac:dyDescent="0.25">
      <c r="B16" s="29"/>
      <c r="C16" s="5" t="s">
        <v>28</v>
      </c>
      <c r="D16" s="5" t="s">
        <v>20</v>
      </c>
      <c r="E16" s="5" t="s">
        <v>29</v>
      </c>
      <c r="F16" s="27" t="s">
        <v>32</v>
      </c>
      <c r="G16" s="6">
        <v>0.88400000000000001</v>
      </c>
      <c r="H16" s="7">
        <v>0.79354400000000003</v>
      </c>
      <c r="I16" s="8">
        <v>0</v>
      </c>
      <c r="J16" s="7">
        <v>-36.254719999999999</v>
      </c>
      <c r="K16" s="6">
        <v>0.88280000000000003</v>
      </c>
      <c r="L16" s="7">
        <v>0.78708800000000001</v>
      </c>
      <c r="M16" s="8">
        <v>0</v>
      </c>
      <c r="N16" s="7">
        <v>-36.254130000000004</v>
      </c>
      <c r="O16" s="26">
        <v>-2.566738</v>
      </c>
      <c r="P16" s="26">
        <v>-1.9410670000000001</v>
      </c>
      <c r="Q16" s="26">
        <v>-1.616536</v>
      </c>
      <c r="T16" s="55" t="s">
        <v>13</v>
      </c>
      <c r="U16" s="2" t="s">
        <v>19</v>
      </c>
      <c r="V16" s="2" t="s">
        <v>20</v>
      </c>
      <c r="W16" s="2" t="s">
        <v>21</v>
      </c>
      <c r="X16" s="2" t="s">
        <v>34</v>
      </c>
      <c r="Y16" s="2">
        <v>60</v>
      </c>
      <c r="Z16" s="45" t="s">
        <v>44</v>
      </c>
      <c r="AA16" s="62" t="s">
        <v>61</v>
      </c>
    </row>
    <row r="17" spans="2:27" ht="16.5" customHeight="1" x14ac:dyDescent="0.25">
      <c r="B17" s="29"/>
      <c r="C17" s="5" t="s">
        <v>28</v>
      </c>
      <c r="D17" s="5" t="s">
        <v>25</v>
      </c>
      <c r="E17" s="5" t="s">
        <v>30</v>
      </c>
      <c r="F17" s="27"/>
      <c r="G17" s="6">
        <v>0.87649999999999995</v>
      </c>
      <c r="H17" s="7">
        <v>0.75237399999999999</v>
      </c>
      <c r="I17" s="8">
        <v>0</v>
      </c>
      <c r="J17" s="7">
        <v>-37.98462</v>
      </c>
      <c r="K17" s="6">
        <v>0.88070000000000004</v>
      </c>
      <c r="L17" s="7">
        <v>0.77552500000000002</v>
      </c>
      <c r="M17" s="8">
        <v>0</v>
      </c>
      <c r="N17" s="7">
        <v>-37.982059999999997</v>
      </c>
      <c r="O17" s="26"/>
      <c r="P17" s="26"/>
      <c r="Q17" s="26"/>
      <c r="T17" s="56"/>
      <c r="U17" s="2" t="s">
        <v>19</v>
      </c>
      <c r="V17" s="2" t="s">
        <v>25</v>
      </c>
      <c r="W17" s="2" t="s">
        <v>26</v>
      </c>
      <c r="X17" s="2" t="s">
        <v>34</v>
      </c>
      <c r="Y17" s="2">
        <v>60</v>
      </c>
      <c r="Z17" s="45" t="s">
        <v>44</v>
      </c>
      <c r="AA17" s="63"/>
    </row>
    <row r="18" spans="2:27" ht="16.5" customHeight="1" x14ac:dyDescent="0.25">
      <c r="B18" s="29"/>
      <c r="C18" s="5" t="s">
        <v>55</v>
      </c>
      <c r="D18" s="5" t="s">
        <v>20</v>
      </c>
      <c r="E18" s="5" t="s">
        <v>45</v>
      </c>
      <c r="F18" s="27" t="s">
        <v>27</v>
      </c>
      <c r="G18" s="6">
        <v>0.75949999999999995</v>
      </c>
      <c r="H18" s="7">
        <v>-0.98746599999999995</v>
      </c>
      <c r="I18" s="8">
        <v>0</v>
      </c>
      <c r="J18" s="7">
        <v>-29.098800000000001</v>
      </c>
      <c r="K18" s="6">
        <v>0.82869999999999999</v>
      </c>
      <c r="L18" s="7">
        <v>-0.76199700000000004</v>
      </c>
      <c r="M18" s="8">
        <v>0</v>
      </c>
      <c r="N18" s="7">
        <v>-28.933669999999999</v>
      </c>
      <c r="O18" s="31">
        <v>-3.436296</v>
      </c>
      <c r="P18" s="31">
        <v>-2.8640539999999999</v>
      </c>
      <c r="Q18" s="31">
        <v>-2.5681600000000002</v>
      </c>
      <c r="T18" s="56"/>
      <c r="U18" s="2" t="s">
        <v>28</v>
      </c>
      <c r="V18" s="2" t="s">
        <v>20</v>
      </c>
      <c r="W18" s="2" t="s">
        <v>29</v>
      </c>
      <c r="X18" s="2" t="s">
        <v>34</v>
      </c>
      <c r="Y18" s="2">
        <v>60</v>
      </c>
      <c r="Z18" s="45" t="s">
        <v>44</v>
      </c>
      <c r="AA18" s="62" t="s">
        <v>60</v>
      </c>
    </row>
    <row r="19" spans="2:27" ht="16.5" customHeight="1" x14ac:dyDescent="0.25">
      <c r="B19" s="29"/>
      <c r="C19" s="5" t="s">
        <v>55</v>
      </c>
      <c r="D19" s="5" t="s">
        <v>25</v>
      </c>
      <c r="E19" s="5" t="s">
        <v>46</v>
      </c>
      <c r="F19" s="27"/>
      <c r="G19" s="6">
        <v>0.68600000000000005</v>
      </c>
      <c r="H19" s="7">
        <v>-1.1777139999999999</v>
      </c>
      <c r="I19" s="8">
        <v>0</v>
      </c>
      <c r="J19" s="7">
        <v>-33.110849999999999</v>
      </c>
      <c r="K19" s="6">
        <v>0.76539999999999997</v>
      </c>
      <c r="L19" s="7">
        <v>-0.97026599999999996</v>
      </c>
      <c r="M19" s="8">
        <v>0</v>
      </c>
      <c r="N19" s="7">
        <v>-33.26717</v>
      </c>
      <c r="O19" s="32"/>
      <c r="P19" s="32"/>
      <c r="Q19" s="32"/>
      <c r="T19" s="56"/>
      <c r="U19" s="2" t="s">
        <v>28</v>
      </c>
      <c r="V19" s="2" t="s">
        <v>25</v>
      </c>
      <c r="W19" s="2" t="s">
        <v>30</v>
      </c>
      <c r="X19" s="2" t="s">
        <v>34</v>
      </c>
      <c r="Y19" s="2">
        <v>60</v>
      </c>
      <c r="Z19" s="45" t="s">
        <v>44</v>
      </c>
      <c r="AA19" s="63"/>
    </row>
    <row r="20" spans="2:27" ht="16.5" customHeight="1" x14ac:dyDescent="0.25">
      <c r="B20" s="29"/>
      <c r="C20" s="5" t="s">
        <v>55</v>
      </c>
      <c r="D20" s="5" t="s">
        <v>20</v>
      </c>
      <c r="E20" s="5" t="s">
        <v>45</v>
      </c>
      <c r="F20" s="27" t="s">
        <v>31</v>
      </c>
      <c r="G20" s="6">
        <v>0.36130000000000001</v>
      </c>
      <c r="H20" s="7">
        <v>-2.434393</v>
      </c>
      <c r="I20" s="8">
        <v>0</v>
      </c>
      <c r="J20" s="7">
        <v>-29.20504</v>
      </c>
      <c r="K20" s="6">
        <v>0.51190000000000002</v>
      </c>
      <c r="L20" s="7">
        <v>-2.158417</v>
      </c>
      <c r="M20" s="8">
        <v>0</v>
      </c>
      <c r="N20" s="7">
        <v>-29.04975</v>
      </c>
      <c r="O20" s="31">
        <v>-3.9667210000000002</v>
      </c>
      <c r="P20" s="31">
        <v>-3.4140540000000001</v>
      </c>
      <c r="Q20" s="31">
        <v>-3.129124</v>
      </c>
      <c r="T20" s="56"/>
      <c r="U20" s="2" t="s">
        <v>47</v>
      </c>
      <c r="V20" s="2" t="s">
        <v>20</v>
      </c>
      <c r="W20" s="2" t="s">
        <v>45</v>
      </c>
      <c r="X20" s="25" t="s">
        <v>50</v>
      </c>
      <c r="Y20" s="2">
        <v>49</v>
      </c>
      <c r="Z20" s="45" t="s">
        <v>44</v>
      </c>
      <c r="AA20" s="62" t="s">
        <v>60</v>
      </c>
    </row>
    <row r="21" spans="2:27" ht="16.5" customHeight="1" thickBot="1" x14ac:dyDescent="0.3">
      <c r="B21" s="29"/>
      <c r="C21" s="5" t="s">
        <v>55</v>
      </c>
      <c r="D21" s="5" t="s">
        <v>25</v>
      </c>
      <c r="E21" s="5" t="s">
        <v>46</v>
      </c>
      <c r="F21" s="27"/>
      <c r="G21" s="6">
        <v>0.2908</v>
      </c>
      <c r="H21" s="7">
        <v>-2.5775749999999999</v>
      </c>
      <c r="I21" s="8">
        <v>0</v>
      </c>
      <c r="J21" s="7">
        <v>-33.163029999999999</v>
      </c>
      <c r="K21" s="6">
        <v>0.37369999999999998</v>
      </c>
      <c r="L21" s="7">
        <v>-2.4107240000000001</v>
      </c>
      <c r="M21" s="8">
        <v>0</v>
      </c>
      <c r="N21" s="7">
        <v>-33.402030000000003</v>
      </c>
      <c r="O21" s="32"/>
      <c r="P21" s="32"/>
      <c r="Q21" s="32"/>
      <c r="T21" s="57"/>
      <c r="U21" s="52" t="s">
        <v>47</v>
      </c>
      <c r="V21" s="52" t="s">
        <v>25</v>
      </c>
      <c r="W21" s="52" t="s">
        <v>46</v>
      </c>
      <c r="X21" s="53" t="s">
        <v>50</v>
      </c>
      <c r="Y21" s="52">
        <v>49</v>
      </c>
      <c r="Z21" s="54" t="s">
        <v>44</v>
      </c>
      <c r="AA21" s="63"/>
    </row>
    <row r="22" spans="2:27" ht="16.5" customHeight="1" x14ac:dyDescent="0.25">
      <c r="B22" s="29"/>
      <c r="C22" s="5" t="s">
        <v>55</v>
      </c>
      <c r="D22" s="5" t="s">
        <v>20</v>
      </c>
      <c r="E22" s="5" t="s">
        <v>45</v>
      </c>
      <c r="F22" s="27" t="s">
        <v>32</v>
      </c>
      <c r="G22" s="6">
        <v>0.78139999999999998</v>
      </c>
      <c r="H22" s="7">
        <v>0.33307799999999999</v>
      </c>
      <c r="I22" s="8">
        <v>0</v>
      </c>
      <c r="J22" s="7">
        <v>-29.108820000000001</v>
      </c>
      <c r="K22" s="6">
        <v>0.42351499999999997</v>
      </c>
      <c r="L22" s="7">
        <v>0.80479999999999996</v>
      </c>
      <c r="M22" s="8">
        <v>0</v>
      </c>
      <c r="N22" s="7">
        <v>-28.945440000000001</v>
      </c>
      <c r="O22" s="31">
        <v>-2.5671430000000002</v>
      </c>
      <c r="P22" s="31">
        <v>-1.941122</v>
      </c>
      <c r="Q22" s="31">
        <v>-1.6164989999999999</v>
      </c>
    </row>
    <row r="23" spans="2:27" ht="16.5" customHeight="1" x14ac:dyDescent="0.25">
      <c r="B23" s="29"/>
      <c r="C23" s="5" t="s">
        <v>55</v>
      </c>
      <c r="D23" s="5" t="s">
        <v>25</v>
      </c>
      <c r="E23" s="5" t="s">
        <v>46</v>
      </c>
      <c r="F23" s="27"/>
      <c r="G23" s="6">
        <v>0.82089999999999996</v>
      </c>
      <c r="H23" s="7">
        <v>0.48962800000000001</v>
      </c>
      <c r="I23" s="8">
        <v>0</v>
      </c>
      <c r="J23" s="7">
        <v>-33.119759999999999</v>
      </c>
      <c r="K23" s="6">
        <v>0.8347</v>
      </c>
      <c r="L23" s="7">
        <f>J23</f>
        <v>-33.119759999999999</v>
      </c>
      <c r="M23" s="8">
        <v>0</v>
      </c>
      <c r="N23" s="7">
        <v>-33.27214</v>
      </c>
      <c r="O23" s="32"/>
      <c r="P23" s="32"/>
      <c r="Q23" s="32"/>
    </row>
    <row r="24" spans="2:27" ht="16.5" customHeight="1" x14ac:dyDescent="0.25">
      <c r="B24" s="29" t="s">
        <v>12</v>
      </c>
      <c r="C24" s="5" t="s">
        <v>19</v>
      </c>
      <c r="D24" s="5" t="s">
        <v>20</v>
      </c>
      <c r="E24" s="5" t="s">
        <v>21</v>
      </c>
      <c r="F24" s="27" t="s">
        <v>27</v>
      </c>
      <c r="G24" s="6">
        <v>0.99980000000000002</v>
      </c>
      <c r="H24" s="7">
        <v>1.810424</v>
      </c>
      <c r="I24" s="8">
        <v>0</v>
      </c>
      <c r="J24" s="7">
        <v>-17.264890000000001</v>
      </c>
      <c r="K24" s="6">
        <v>1</v>
      </c>
      <c r="L24" s="7">
        <v>2.418183</v>
      </c>
      <c r="M24" s="8">
        <v>0</v>
      </c>
      <c r="N24" s="7">
        <v>-17.294239999999999</v>
      </c>
      <c r="O24" s="26">
        <v>-3.455387</v>
      </c>
      <c r="P24" s="26">
        <v>-2.872455</v>
      </c>
      <c r="Q24" s="26">
        <v>-2.5726599999999999</v>
      </c>
    </row>
    <row r="25" spans="2:27" ht="16.5" customHeight="1" x14ac:dyDescent="0.25">
      <c r="B25" s="29"/>
      <c r="C25" s="5" t="s">
        <v>19</v>
      </c>
      <c r="D25" s="5" t="s">
        <v>25</v>
      </c>
      <c r="E25" s="5" t="s">
        <v>26</v>
      </c>
      <c r="F25" s="27"/>
      <c r="G25" s="6">
        <v>0.99980000000000002</v>
      </c>
      <c r="H25" s="7">
        <v>1.8305290000000001</v>
      </c>
      <c r="I25" s="8">
        <v>0</v>
      </c>
      <c r="J25" s="7">
        <v>-17.26895</v>
      </c>
      <c r="K25" s="6">
        <v>1</v>
      </c>
      <c r="L25" s="7">
        <v>2.5021010000000001</v>
      </c>
      <c r="M25" s="8">
        <v>0</v>
      </c>
      <c r="N25" s="7">
        <v>-17.325869999999998</v>
      </c>
      <c r="O25" s="26"/>
      <c r="P25" s="26"/>
      <c r="Q25" s="26"/>
    </row>
    <row r="26" spans="2:27" ht="16.5" customHeight="1" x14ac:dyDescent="0.25">
      <c r="B26" s="29"/>
      <c r="C26" s="5" t="s">
        <v>19</v>
      </c>
      <c r="D26" s="5" t="s">
        <v>20</v>
      </c>
      <c r="E26" s="5" t="s">
        <v>21</v>
      </c>
      <c r="F26" s="27" t="s">
        <v>31</v>
      </c>
      <c r="G26" s="6">
        <v>0.91539999999999999</v>
      </c>
      <c r="H26" s="7">
        <v>-1.160596</v>
      </c>
      <c r="I26" s="8">
        <v>0</v>
      </c>
      <c r="J26" s="7">
        <v>-17.715610000000002</v>
      </c>
      <c r="K26" s="6">
        <v>0.9496</v>
      </c>
      <c r="L26" s="7">
        <v>-0.93260200000000004</v>
      </c>
      <c r="M26" s="8">
        <v>0</v>
      </c>
      <c r="N26" s="7">
        <v>-18.073640000000001</v>
      </c>
      <c r="O26" s="26">
        <v>-3.9938850000000001</v>
      </c>
      <c r="P26" s="26">
        <v>-3.4272710000000002</v>
      </c>
      <c r="Q26" s="26">
        <v>-3.1369379999999998</v>
      </c>
    </row>
    <row r="27" spans="2:27" ht="16.5" customHeight="1" x14ac:dyDescent="0.25">
      <c r="B27" s="29"/>
      <c r="C27" s="5" t="s">
        <v>19</v>
      </c>
      <c r="D27" s="5" t="s">
        <v>25</v>
      </c>
      <c r="E27" s="5" t="s">
        <v>26</v>
      </c>
      <c r="F27" s="27"/>
      <c r="G27" s="6">
        <v>0.92349999999999999</v>
      </c>
      <c r="H27" s="7">
        <v>-1.115391</v>
      </c>
      <c r="I27" s="8">
        <v>0</v>
      </c>
      <c r="J27" s="7">
        <v>-17.73516</v>
      </c>
      <c r="K27" s="6">
        <v>0.95789999999999997</v>
      </c>
      <c r="L27" s="7">
        <v>-0.856904</v>
      </c>
      <c r="M27" s="8">
        <v>0</v>
      </c>
      <c r="N27" s="7">
        <v>-18.157820000000001</v>
      </c>
      <c r="O27" s="26"/>
      <c r="P27" s="26"/>
      <c r="Q27" s="26"/>
    </row>
    <row r="28" spans="2:27" ht="16.5" customHeight="1" x14ac:dyDescent="0.25">
      <c r="B28" s="29"/>
      <c r="C28" s="5" t="s">
        <v>19</v>
      </c>
      <c r="D28" s="5" t="s">
        <v>20</v>
      </c>
      <c r="E28" s="5" t="s">
        <v>21</v>
      </c>
      <c r="F28" s="27" t="s">
        <v>32</v>
      </c>
      <c r="G28" s="6">
        <v>0.99619999999999997</v>
      </c>
      <c r="H28" s="7">
        <v>2.3916930000000001</v>
      </c>
      <c r="I28" s="8">
        <v>0</v>
      </c>
      <c r="J28" s="7">
        <v>-16.87641</v>
      </c>
      <c r="K28" s="6">
        <v>0.99760000000000004</v>
      </c>
      <c r="L28" s="7">
        <v>2.5500189999999998</v>
      </c>
      <c r="M28" s="8">
        <v>0</v>
      </c>
      <c r="N28" s="7">
        <v>-16.87641</v>
      </c>
      <c r="O28" s="26">
        <v>-2.5738859999999999</v>
      </c>
      <c r="P28" s="26">
        <v>-1.9420500000000001</v>
      </c>
      <c r="Q28" s="26">
        <v>-1.615885</v>
      </c>
    </row>
    <row r="29" spans="2:27" ht="16.5" customHeight="1" x14ac:dyDescent="0.25">
      <c r="B29" s="29"/>
      <c r="C29" s="5" t="s">
        <v>19</v>
      </c>
      <c r="D29" s="5" t="s">
        <v>25</v>
      </c>
      <c r="E29" s="5" t="s">
        <v>26</v>
      </c>
      <c r="F29" s="27"/>
      <c r="G29" s="6">
        <v>0.99650000000000005</v>
      </c>
      <c r="H29" s="7">
        <v>2.4215770000000001</v>
      </c>
      <c r="I29" s="8">
        <v>0</v>
      </c>
      <c r="J29" s="7">
        <v>-16.881419999999999</v>
      </c>
      <c r="K29" s="6">
        <v>0.998</v>
      </c>
      <c r="L29" s="7">
        <v>2.6213570000000002</v>
      </c>
      <c r="M29" s="8">
        <v>0</v>
      </c>
      <c r="N29" s="7">
        <v>-16.881419999999999</v>
      </c>
      <c r="O29" s="26"/>
      <c r="P29" s="26"/>
      <c r="Q29" s="26"/>
    </row>
    <row r="30" spans="2:27" ht="16.5" customHeight="1" x14ac:dyDescent="0.25">
      <c r="B30" s="29"/>
      <c r="C30" s="5" t="s">
        <v>28</v>
      </c>
      <c r="D30" s="5" t="s">
        <v>20</v>
      </c>
      <c r="E30" s="5" t="s">
        <v>29</v>
      </c>
      <c r="F30" s="27" t="s">
        <v>27</v>
      </c>
      <c r="G30" s="6">
        <v>0.77029999999999998</v>
      </c>
      <c r="H30" s="7">
        <v>-0.95220300000000002</v>
      </c>
      <c r="I30" s="8">
        <v>0</v>
      </c>
      <c r="J30" s="7">
        <v>-16.51098</v>
      </c>
      <c r="K30" s="6">
        <v>0.7419</v>
      </c>
      <c r="L30" s="7">
        <v>-1.0329349999999999</v>
      </c>
      <c r="M30" s="8">
        <v>0</v>
      </c>
      <c r="N30" s="7">
        <v>-16.519659999999998</v>
      </c>
      <c r="O30" s="26">
        <v>-3.455387</v>
      </c>
      <c r="P30" s="26">
        <v>-2.872455</v>
      </c>
      <c r="Q30" s="26">
        <v>-2.5726599999999999</v>
      </c>
    </row>
    <row r="31" spans="2:27" ht="16.5" customHeight="1" x14ac:dyDescent="0.25">
      <c r="B31" s="29"/>
      <c r="C31" s="5" t="s">
        <v>28</v>
      </c>
      <c r="D31" s="5" t="s">
        <v>25</v>
      </c>
      <c r="E31" s="5" t="s">
        <v>30</v>
      </c>
      <c r="F31" s="27"/>
      <c r="G31" s="6">
        <v>0.77410000000000001</v>
      </c>
      <c r="H31" s="7">
        <v>-0.94072999999999996</v>
      </c>
      <c r="I31" s="8">
        <v>0</v>
      </c>
      <c r="J31" s="5">
        <v>-16.50676</v>
      </c>
      <c r="K31" s="6">
        <v>0.74329999999999996</v>
      </c>
      <c r="L31" s="7">
        <v>-1.02902</v>
      </c>
      <c r="M31" s="8">
        <v>0</v>
      </c>
      <c r="N31" s="7">
        <v>-16.521740000000001</v>
      </c>
      <c r="O31" s="26"/>
      <c r="P31" s="26"/>
      <c r="Q31" s="26"/>
    </row>
    <row r="32" spans="2:27" ht="16.5" customHeight="1" x14ac:dyDescent="0.25">
      <c r="B32" s="29"/>
      <c r="C32" s="5" t="s">
        <v>28</v>
      </c>
      <c r="D32" s="5" t="s">
        <v>20</v>
      </c>
      <c r="E32" s="5" t="s">
        <v>29</v>
      </c>
      <c r="F32" s="27" t="s">
        <v>31</v>
      </c>
      <c r="G32" s="6">
        <v>0.80149999999999999</v>
      </c>
      <c r="H32" s="7">
        <v>-1.572058</v>
      </c>
      <c r="I32" s="8">
        <v>0</v>
      </c>
      <c r="J32" s="7">
        <v>-16.496230000000001</v>
      </c>
      <c r="K32" s="6">
        <v>0.76580000000000004</v>
      </c>
      <c r="L32" s="7">
        <v>-1.660704</v>
      </c>
      <c r="M32" s="8">
        <v>0</v>
      </c>
      <c r="N32" s="7">
        <v>-16.50421</v>
      </c>
      <c r="O32" s="26">
        <v>-3.9938850000000001</v>
      </c>
      <c r="P32" s="26">
        <v>-3.4272710000000002</v>
      </c>
      <c r="Q32" s="26">
        <v>-3.1369379999999998</v>
      </c>
    </row>
    <row r="33" spans="2:17" ht="16.5" customHeight="1" x14ac:dyDescent="0.25">
      <c r="B33" s="29"/>
      <c r="C33" s="5" t="s">
        <v>28</v>
      </c>
      <c r="D33" s="5" t="s">
        <v>25</v>
      </c>
      <c r="E33" s="5" t="s">
        <v>30</v>
      </c>
      <c r="F33" s="27"/>
      <c r="G33" s="6">
        <v>0.80189999999999995</v>
      </c>
      <c r="H33" s="7">
        <v>-1.5708880000000001</v>
      </c>
      <c r="I33" s="8">
        <v>0</v>
      </c>
      <c r="J33" s="7">
        <v>-16.48995</v>
      </c>
      <c r="K33" s="6">
        <v>0.76349999999999996</v>
      </c>
      <c r="L33" s="7">
        <v>-1.6661360000000001</v>
      </c>
      <c r="M33" s="8">
        <v>0</v>
      </c>
      <c r="N33" s="7">
        <v>-16.504439999999999</v>
      </c>
      <c r="O33" s="26"/>
      <c r="P33" s="26"/>
      <c r="Q33" s="26"/>
    </row>
    <row r="34" spans="2:17" ht="16.5" customHeight="1" x14ac:dyDescent="0.25">
      <c r="B34" s="29"/>
      <c r="C34" s="5" t="s">
        <v>28</v>
      </c>
      <c r="D34" s="5" t="s">
        <v>20</v>
      </c>
      <c r="E34" s="5" t="s">
        <v>29</v>
      </c>
      <c r="F34" s="27" t="s">
        <v>32</v>
      </c>
      <c r="G34" s="6">
        <v>0.85199999999999998</v>
      </c>
      <c r="H34" s="7">
        <v>0.63111700000000004</v>
      </c>
      <c r="I34" s="8">
        <v>0</v>
      </c>
      <c r="J34" s="7">
        <v>-16.514900000000001</v>
      </c>
      <c r="K34" s="6">
        <v>0.84519999999999995</v>
      </c>
      <c r="L34" s="7">
        <v>0.599082</v>
      </c>
      <c r="M34" s="8">
        <v>0</v>
      </c>
      <c r="N34" s="7">
        <v>-16.525469999999999</v>
      </c>
      <c r="O34" s="26">
        <v>-2.5738859999999999</v>
      </c>
      <c r="P34" s="26">
        <v>-1.9420500000000001</v>
      </c>
      <c r="Q34" s="26">
        <v>-1.615885</v>
      </c>
    </row>
    <row r="35" spans="2:17" ht="16.5" customHeight="1" x14ac:dyDescent="0.25">
      <c r="B35" s="29"/>
      <c r="C35" s="5" t="s">
        <v>28</v>
      </c>
      <c r="D35" s="5" t="s">
        <v>25</v>
      </c>
      <c r="E35" s="5" t="s">
        <v>30</v>
      </c>
      <c r="F35" s="27"/>
      <c r="G35" s="6">
        <v>0.85019999999999996</v>
      </c>
      <c r="H35" s="7">
        <v>0.62230399999999997</v>
      </c>
      <c r="I35" s="8">
        <v>0</v>
      </c>
      <c r="J35" s="7">
        <v>-16.508769999999998</v>
      </c>
      <c r="K35" s="6">
        <v>0.84240000000000004</v>
      </c>
      <c r="L35" s="7">
        <v>0.58645400000000003</v>
      </c>
      <c r="M35" s="8">
        <v>0</v>
      </c>
      <c r="N35" s="7">
        <v>-16.525559999999999</v>
      </c>
      <c r="O35" s="26"/>
      <c r="P35" s="26"/>
      <c r="Q35" s="26"/>
    </row>
    <row r="36" spans="2:17" ht="16.5" customHeight="1" x14ac:dyDescent="0.25">
      <c r="B36" s="29"/>
      <c r="C36" s="5" t="s">
        <v>55</v>
      </c>
      <c r="D36" s="5" t="s">
        <v>20</v>
      </c>
      <c r="E36" s="5" t="s">
        <v>45</v>
      </c>
      <c r="F36" s="27" t="s">
        <v>27</v>
      </c>
      <c r="G36" s="6">
        <v>0.83540000000000003</v>
      </c>
      <c r="H36" s="7">
        <v>-0.73078200000000004</v>
      </c>
      <c r="I36" s="8">
        <v>0</v>
      </c>
      <c r="J36" s="7">
        <v>-31.314679999999999</v>
      </c>
      <c r="K36" s="6">
        <v>0.83979999999999999</v>
      </c>
      <c r="L36" s="7">
        <v>-0.71373600000000004</v>
      </c>
      <c r="M36" s="8">
        <v>0</v>
      </c>
      <c r="N36" s="7">
        <v>-14.424300000000001</v>
      </c>
      <c r="O36" s="26">
        <v>-3.4613269999999998</v>
      </c>
      <c r="P36" s="26">
        <v>-2.8750619999999998</v>
      </c>
      <c r="Q36" s="26">
        <v>-2.5740539999999998</v>
      </c>
    </row>
    <row r="37" spans="2:17" ht="16.5" customHeight="1" x14ac:dyDescent="0.25">
      <c r="B37" s="29"/>
      <c r="C37" s="5" t="s">
        <v>55</v>
      </c>
      <c r="D37" s="5" t="s">
        <v>25</v>
      </c>
      <c r="E37" s="5" t="s">
        <v>46</v>
      </c>
      <c r="F37" s="27"/>
      <c r="G37" s="6">
        <v>0.74409999999999998</v>
      </c>
      <c r="H37">
        <v>-1.025954</v>
      </c>
      <c r="I37" s="8">
        <v>0</v>
      </c>
      <c r="J37" s="7">
        <v>-15.696289999999999</v>
      </c>
      <c r="K37" s="6">
        <v>0.85799999999999998</v>
      </c>
      <c r="L37" s="7">
        <v>-0.63829999999999998</v>
      </c>
      <c r="M37" s="8">
        <v>0</v>
      </c>
      <c r="N37" s="7">
        <v>-16.31251</v>
      </c>
      <c r="O37" s="26"/>
      <c r="P37" s="26"/>
      <c r="Q37" s="26"/>
    </row>
    <row r="38" spans="2:17" ht="16.5" customHeight="1" x14ac:dyDescent="0.25">
      <c r="B38" s="29"/>
      <c r="C38" s="5" t="s">
        <v>55</v>
      </c>
      <c r="D38" s="5" t="s">
        <v>20</v>
      </c>
      <c r="E38" s="5" t="s">
        <v>45</v>
      </c>
      <c r="F38" s="27" t="s">
        <v>31</v>
      </c>
      <c r="G38" s="6">
        <v>0.42770000000000002</v>
      </c>
      <c r="H38" s="7">
        <v>-2.307274</v>
      </c>
      <c r="I38" s="8">
        <v>0</v>
      </c>
      <c r="J38" s="7">
        <v>-31.340440000000001</v>
      </c>
      <c r="K38" s="6">
        <v>0.4985</v>
      </c>
      <c r="L38" s="7">
        <v>-2.1787030000000001</v>
      </c>
      <c r="M38" s="8">
        <v>0</v>
      </c>
      <c r="N38" s="7">
        <v>-15.01249</v>
      </c>
      <c r="O38" s="26">
        <v>-4.0021420000000001</v>
      </c>
      <c r="P38" s="26">
        <v>-3.4312649999999998</v>
      </c>
      <c r="Q38" s="26">
        <v>-3.1392920000000002</v>
      </c>
    </row>
    <row r="39" spans="2:17" ht="16.5" customHeight="1" x14ac:dyDescent="0.25">
      <c r="B39" s="29"/>
      <c r="C39" s="5" t="s">
        <v>55</v>
      </c>
      <c r="D39" s="5" t="s">
        <v>25</v>
      </c>
      <c r="E39" s="5" t="s">
        <v>46</v>
      </c>
      <c r="F39" s="27"/>
      <c r="G39" s="6">
        <v>0.30649999999999999</v>
      </c>
      <c r="H39" s="7">
        <v>-2.5445760000000002</v>
      </c>
      <c r="I39" s="8">
        <v>0</v>
      </c>
      <c r="J39" s="7">
        <v>-15.8299</v>
      </c>
      <c r="K39" s="6">
        <v>0.50319999999999998</v>
      </c>
      <c r="L39" s="7">
        <v>-2.1704029999999999</v>
      </c>
      <c r="M39" s="8">
        <v>0</v>
      </c>
      <c r="N39" s="7">
        <v>-18.445450000000001</v>
      </c>
      <c r="O39" s="26"/>
      <c r="P39" s="26"/>
      <c r="Q39" s="26"/>
    </row>
    <row r="40" spans="2:17" ht="16.5" customHeight="1" x14ac:dyDescent="0.25">
      <c r="B40" s="29"/>
      <c r="C40" s="5" t="s">
        <v>55</v>
      </c>
      <c r="D40" s="5" t="s">
        <v>20</v>
      </c>
      <c r="E40" s="5" t="s">
        <v>45</v>
      </c>
      <c r="F40" s="27" t="s">
        <v>32</v>
      </c>
      <c r="G40" s="6">
        <v>0.79069999999999996</v>
      </c>
      <c r="H40" s="7">
        <v>0.37119400000000002</v>
      </c>
      <c r="I40" s="8">
        <v>0</v>
      </c>
      <c r="J40" s="7">
        <v>-31.328119999999998</v>
      </c>
      <c r="K40" s="6">
        <v>0.7964</v>
      </c>
      <c r="L40" s="7">
        <v>0.393349</v>
      </c>
      <c r="M40" s="8">
        <v>0</v>
      </c>
      <c r="N40" s="7">
        <v>-14.44598</v>
      </c>
      <c r="O40" s="26">
        <v>-2.575968</v>
      </c>
      <c r="P40" s="26">
        <v>-1.9423379999999999</v>
      </c>
      <c r="Q40" s="26">
        <v>-1.6156980000000001</v>
      </c>
    </row>
    <row r="41" spans="2:17" ht="16.5" customHeight="1" x14ac:dyDescent="0.25">
      <c r="B41" s="29"/>
      <c r="C41" s="5" t="s">
        <v>55</v>
      </c>
      <c r="D41" s="5" t="s">
        <v>25</v>
      </c>
      <c r="E41" s="5" t="s">
        <v>46</v>
      </c>
      <c r="F41" s="27"/>
      <c r="G41" s="6">
        <v>0.82</v>
      </c>
      <c r="H41" s="7">
        <v>0.48874099999999998</v>
      </c>
      <c r="I41" s="8">
        <v>0</v>
      </c>
      <c r="J41">
        <f>H41</f>
        <v>0.48874099999999998</v>
      </c>
      <c r="K41" s="6">
        <v>0.67459499999999994</v>
      </c>
      <c r="L41" s="7">
        <v>0.86080000000000001</v>
      </c>
      <c r="M41" s="8">
        <v>0</v>
      </c>
      <c r="N41" s="7">
        <v>-16.227</v>
      </c>
      <c r="O41" s="26"/>
      <c r="P41" s="26"/>
      <c r="Q41" s="26"/>
    </row>
    <row r="42" spans="2:17" ht="16.5" customHeight="1" x14ac:dyDescent="0.25">
      <c r="B42" s="29" t="s">
        <v>13</v>
      </c>
      <c r="C42" s="5" t="s">
        <v>19</v>
      </c>
      <c r="D42" s="5" t="s">
        <v>20</v>
      </c>
      <c r="E42" s="5" t="s">
        <v>21</v>
      </c>
      <c r="F42" s="27" t="s">
        <v>27</v>
      </c>
      <c r="G42" s="6">
        <v>0.99990000000000001</v>
      </c>
      <c r="H42" s="7">
        <v>2.2110180000000001</v>
      </c>
      <c r="I42" s="8">
        <v>0</v>
      </c>
      <c r="J42" s="7">
        <v>-7.3125080000000002</v>
      </c>
      <c r="K42" s="6">
        <v>1</v>
      </c>
      <c r="L42" s="7">
        <v>4.5052570000000003</v>
      </c>
      <c r="M42" s="8">
        <v>0</v>
      </c>
      <c r="N42" s="7">
        <v>-7.3125080000000002</v>
      </c>
      <c r="O42" s="26">
        <v>-3.5460989999999999</v>
      </c>
      <c r="P42" s="26">
        <v>-2.9117299999999999</v>
      </c>
      <c r="Q42" s="26">
        <v>-2.5935510000000002</v>
      </c>
    </row>
    <row r="43" spans="2:17" ht="16.5" customHeight="1" x14ac:dyDescent="0.25">
      <c r="B43" s="29"/>
      <c r="C43" s="5" t="s">
        <v>19</v>
      </c>
      <c r="D43" s="5" t="s">
        <v>25</v>
      </c>
      <c r="E43" s="5" t="s">
        <v>26</v>
      </c>
      <c r="F43" s="27"/>
      <c r="G43" s="6">
        <v>1</v>
      </c>
      <c r="H43" s="7">
        <v>2.3444959999999999</v>
      </c>
      <c r="I43" s="8">
        <v>0</v>
      </c>
      <c r="J43" s="7">
        <v>-7.0356550000000002</v>
      </c>
      <c r="K43" s="6">
        <v>1</v>
      </c>
      <c r="L43" s="7">
        <v>4.7711589999999999</v>
      </c>
      <c r="M43" s="8">
        <v>0</v>
      </c>
      <c r="N43" s="7">
        <v>-7.0339679999999998</v>
      </c>
      <c r="O43" s="26"/>
      <c r="P43" s="26"/>
      <c r="Q43" s="26"/>
    </row>
    <row r="44" spans="2:17" ht="16.5" customHeight="1" x14ac:dyDescent="0.25">
      <c r="B44" s="29"/>
      <c r="C44" s="5" t="s">
        <v>19</v>
      </c>
      <c r="D44" s="5" t="s">
        <v>20</v>
      </c>
      <c r="E44" s="5" t="s">
        <v>21</v>
      </c>
      <c r="F44" s="27" t="s">
        <v>31</v>
      </c>
      <c r="G44" s="6">
        <v>0.96779999999999999</v>
      </c>
      <c r="H44" s="7">
        <v>-0.70535599999999998</v>
      </c>
      <c r="I44" s="8">
        <v>0</v>
      </c>
      <c r="J44" s="7">
        <v>-8.1029149999999994</v>
      </c>
      <c r="K44" s="6">
        <v>0.99429999999999996</v>
      </c>
      <c r="L44" s="7">
        <v>-7.1885000000000004E-2</v>
      </c>
      <c r="M44" s="8">
        <v>0</v>
      </c>
      <c r="N44" s="7">
        <v>-9.0931289999999994</v>
      </c>
      <c r="O44" s="26">
        <v>-4.1213030000000002</v>
      </c>
      <c r="P44" s="26">
        <v>-3.4878450000000001</v>
      </c>
      <c r="Q44" s="26">
        <v>-3.1723140000000001</v>
      </c>
    </row>
    <row r="45" spans="2:17" ht="16.5" customHeight="1" x14ac:dyDescent="0.25">
      <c r="B45" s="29"/>
      <c r="C45" s="5" t="s">
        <v>19</v>
      </c>
      <c r="D45" s="5" t="s">
        <v>25</v>
      </c>
      <c r="E45" s="5" t="s">
        <v>26</v>
      </c>
      <c r="F45" s="27"/>
      <c r="G45" s="6">
        <v>0.97330000000000005</v>
      </c>
      <c r="H45" s="7">
        <v>-0.62979600000000002</v>
      </c>
      <c r="I45" s="8">
        <v>0</v>
      </c>
      <c r="J45" s="7">
        <v>-7.796805</v>
      </c>
      <c r="K45" s="6">
        <v>0.99470000000000003</v>
      </c>
      <c r="L45" s="7">
        <v>-4.5498999999999998E-2</v>
      </c>
      <c r="M45" s="8">
        <v>0</v>
      </c>
      <c r="N45" s="7">
        <v>-8.3720580000000009</v>
      </c>
      <c r="O45" s="26"/>
      <c r="P45" s="26"/>
      <c r="Q45" s="26"/>
    </row>
    <row r="46" spans="2:17" ht="16.5" customHeight="1" x14ac:dyDescent="0.25">
      <c r="B46" s="29"/>
      <c r="C46" s="5" t="s">
        <v>19</v>
      </c>
      <c r="D46" s="5" t="s">
        <v>20</v>
      </c>
      <c r="E46" s="5" t="s">
        <v>21</v>
      </c>
      <c r="F46" s="27" t="s">
        <v>32</v>
      </c>
      <c r="G46" s="6">
        <v>0.99839999999999995</v>
      </c>
      <c r="H46" s="7">
        <v>2.7817820000000002</v>
      </c>
      <c r="I46" s="8">
        <v>0</v>
      </c>
      <c r="J46" s="7">
        <v>-6.4727059999999996</v>
      </c>
      <c r="K46" s="6">
        <v>0.99809999999999999</v>
      </c>
      <c r="L46" s="7">
        <v>2.716364</v>
      </c>
      <c r="M46" s="8">
        <v>0</v>
      </c>
      <c r="N46" s="7">
        <v>-6.536022</v>
      </c>
      <c r="O46" s="26">
        <v>-2.604746</v>
      </c>
      <c r="P46" s="26">
        <v>-1.946447</v>
      </c>
      <c r="Q46" s="26">
        <v>-1.6132379999999999</v>
      </c>
    </row>
    <row r="47" spans="2:17" ht="16.5" customHeight="1" x14ac:dyDescent="0.25">
      <c r="B47" s="29"/>
      <c r="C47" s="5" t="s">
        <v>19</v>
      </c>
      <c r="D47" s="5" t="s">
        <v>25</v>
      </c>
      <c r="E47" s="5" t="s">
        <v>26</v>
      </c>
      <c r="F47" s="27"/>
      <c r="G47" s="6">
        <v>0.99880000000000002</v>
      </c>
      <c r="H47" s="7">
        <v>2.8744399999999999</v>
      </c>
      <c r="I47" s="8">
        <v>0</v>
      </c>
      <c r="J47" s="7">
        <v>-6.1908719999999997</v>
      </c>
      <c r="K47" s="6">
        <v>0.99880000000000002</v>
      </c>
      <c r="L47" s="7">
        <v>2.8744399999999999</v>
      </c>
      <c r="M47" s="8">
        <v>0</v>
      </c>
      <c r="N47" s="7">
        <v>-6.2598549999999999</v>
      </c>
      <c r="O47" s="26"/>
      <c r="P47" s="26"/>
      <c r="Q47" s="26"/>
    </row>
    <row r="48" spans="2:17" ht="16.5" customHeight="1" x14ac:dyDescent="0.25">
      <c r="B48" s="29"/>
      <c r="C48" s="5" t="s">
        <v>28</v>
      </c>
      <c r="D48" s="5" t="s">
        <v>20</v>
      </c>
      <c r="E48" s="5" t="s">
        <v>29</v>
      </c>
      <c r="F48" s="27" t="s">
        <v>27</v>
      </c>
      <c r="G48" s="6">
        <v>0.73070000000000002</v>
      </c>
      <c r="H48" s="7">
        <v>-1.0469189999999999</v>
      </c>
      <c r="I48" s="8">
        <v>0</v>
      </c>
      <c r="J48" s="7">
        <v>-7.2905300000000004</v>
      </c>
      <c r="K48" s="6">
        <v>0.72230000000000005</v>
      </c>
      <c r="L48" s="7">
        <v>-1.0692699999999999</v>
      </c>
      <c r="M48" s="8">
        <v>0</v>
      </c>
      <c r="N48" s="7">
        <v>-7.3044760000000002</v>
      </c>
      <c r="O48" s="26">
        <v>-3.5460989999999999</v>
      </c>
      <c r="P48" s="26">
        <v>-2.9117299999999999</v>
      </c>
      <c r="Q48" s="26">
        <v>-2.5935510000000002</v>
      </c>
    </row>
    <row r="49" spans="2:17" ht="16.5" customHeight="1" x14ac:dyDescent="0.25">
      <c r="B49" s="29"/>
      <c r="C49" s="5" t="s">
        <v>28</v>
      </c>
      <c r="D49" s="5" t="s">
        <v>25</v>
      </c>
      <c r="E49" s="5" t="s">
        <v>30</v>
      </c>
      <c r="F49" s="27"/>
      <c r="G49" s="6">
        <v>0.75049999999999994</v>
      </c>
      <c r="H49" s="7">
        <v>-0.99252600000000002</v>
      </c>
      <c r="I49" s="8">
        <v>0</v>
      </c>
      <c r="J49" s="7">
        <v>-7.4219109999999997</v>
      </c>
      <c r="K49" s="6">
        <v>0.74750000000000005</v>
      </c>
      <c r="L49" s="7">
        <v>-1.001085</v>
      </c>
      <c r="M49" s="8">
        <v>0</v>
      </c>
      <c r="N49" s="7">
        <v>-7.4321539999999997</v>
      </c>
      <c r="O49" s="26"/>
      <c r="P49" s="26"/>
      <c r="Q49" s="26"/>
    </row>
    <row r="50" spans="2:17" ht="16.5" customHeight="1" x14ac:dyDescent="0.25">
      <c r="B50" s="29"/>
      <c r="C50" s="5" t="s">
        <v>28</v>
      </c>
      <c r="D50" s="5" t="s">
        <v>20</v>
      </c>
      <c r="E50" s="5" t="s">
        <v>29</v>
      </c>
      <c r="F50" s="27" t="s">
        <v>31</v>
      </c>
      <c r="G50" s="6">
        <v>0.77900000000000003</v>
      </c>
      <c r="H50" s="7">
        <v>-1.6054040000000001</v>
      </c>
      <c r="I50" s="8">
        <v>0</v>
      </c>
      <c r="J50" s="7">
        <v>-7.2888929999999998</v>
      </c>
      <c r="K50" s="6">
        <v>0.77359999999999995</v>
      </c>
      <c r="L50" s="7">
        <v>-1.6188640000000001</v>
      </c>
      <c r="M50" s="8">
        <v>0</v>
      </c>
      <c r="N50" s="7">
        <v>-7.3444719999999997</v>
      </c>
      <c r="O50" s="26">
        <v>-4.1213030000000002</v>
      </c>
      <c r="P50" s="26">
        <v>-3.4878450000000001</v>
      </c>
      <c r="Q50" s="26">
        <v>-3.1723140000000001</v>
      </c>
    </row>
    <row r="51" spans="2:17" ht="16.5" customHeight="1" x14ac:dyDescent="0.25">
      <c r="B51" s="29"/>
      <c r="C51" s="5" t="s">
        <v>28</v>
      </c>
      <c r="D51" s="5" t="s">
        <v>25</v>
      </c>
      <c r="E51" s="5" t="s">
        <v>30</v>
      </c>
      <c r="F51" s="27"/>
      <c r="G51" s="6">
        <v>0.75829999999999997</v>
      </c>
      <c r="H51" s="7">
        <v>-1.6556679999999999</v>
      </c>
      <c r="I51" s="8">
        <v>0</v>
      </c>
      <c r="J51" s="7">
        <v>-7.4328830000000004</v>
      </c>
      <c r="K51" s="6">
        <v>0.76790000000000003</v>
      </c>
      <c r="L51" s="7">
        <v>-1.6325860000000001</v>
      </c>
      <c r="M51" s="8">
        <v>0</v>
      </c>
      <c r="N51" s="7">
        <v>-7.4715350000000003</v>
      </c>
      <c r="O51" s="26"/>
      <c r="P51" s="26"/>
      <c r="Q51" s="26"/>
    </row>
    <row r="52" spans="2:17" ht="16.5" customHeight="1" x14ac:dyDescent="0.25">
      <c r="B52" s="29"/>
      <c r="C52" s="5" t="s">
        <v>28</v>
      </c>
      <c r="D52" s="5" t="s">
        <v>20</v>
      </c>
      <c r="E52" s="5" t="s">
        <v>29</v>
      </c>
      <c r="F52" s="27" t="s">
        <v>32</v>
      </c>
      <c r="G52" s="6">
        <v>0.85809999999999997</v>
      </c>
      <c r="H52" s="7">
        <v>0.67085600000000001</v>
      </c>
      <c r="I52" s="8">
        <v>0</v>
      </c>
      <c r="J52" s="7">
        <v>-7.3330609999999998</v>
      </c>
      <c r="K52" s="6">
        <v>0.86770000000000003</v>
      </c>
      <c r="L52" s="7">
        <v>0.71919599999999995</v>
      </c>
      <c r="M52" s="8">
        <v>0</v>
      </c>
      <c r="N52" s="7">
        <v>-7.3510989999999996</v>
      </c>
      <c r="O52" s="26">
        <v>-2.604746</v>
      </c>
      <c r="P52" s="26">
        <v>-1.946447</v>
      </c>
      <c r="Q52" s="26">
        <v>-1.6132379999999999</v>
      </c>
    </row>
    <row r="53" spans="2:17" ht="16.5" customHeight="1" x14ac:dyDescent="0.25">
      <c r="B53" s="29"/>
      <c r="C53" s="5" t="s">
        <v>28</v>
      </c>
      <c r="D53" s="5" t="s">
        <v>25</v>
      </c>
      <c r="E53" s="5" t="s">
        <v>30</v>
      </c>
      <c r="F53" s="27"/>
      <c r="G53" s="6">
        <v>0.8387</v>
      </c>
      <c r="H53" s="7">
        <v>0.57948500000000003</v>
      </c>
      <c r="I53" s="8">
        <v>0</v>
      </c>
      <c r="J53" s="7">
        <v>-7.4639899999999999</v>
      </c>
      <c r="K53" s="6">
        <v>0.84889999999999999</v>
      </c>
      <c r="L53" s="7">
        <v>0.62642100000000001</v>
      </c>
      <c r="M53" s="8">
        <v>0</v>
      </c>
      <c r="N53" s="7">
        <v>-7.4725159999999997</v>
      </c>
      <c r="O53" s="26"/>
      <c r="P53" s="26"/>
      <c r="Q53" s="26"/>
    </row>
    <row r="54" spans="2:17" ht="16.5" customHeight="1" x14ac:dyDescent="0.25">
      <c r="B54" s="29"/>
      <c r="C54" s="5" t="s">
        <v>55</v>
      </c>
      <c r="D54" s="5" t="s">
        <v>20</v>
      </c>
      <c r="E54" s="5" t="s">
        <v>45</v>
      </c>
      <c r="F54" s="27" t="s">
        <v>27</v>
      </c>
      <c r="G54" s="6">
        <v>0.91059999999999997</v>
      </c>
      <c r="H54" s="7">
        <v>-0.33871899999999999</v>
      </c>
      <c r="I54" s="8">
        <v>0</v>
      </c>
      <c r="J54" s="7">
        <v>-7.0554139999999999</v>
      </c>
      <c r="K54" s="6">
        <v>0.84830000000000005</v>
      </c>
      <c r="L54" s="7">
        <v>-0.65413399999999999</v>
      </c>
      <c r="M54" s="8">
        <v>0</v>
      </c>
      <c r="N54" s="7">
        <v>-7.0565749999999996</v>
      </c>
      <c r="O54" s="26">
        <v>-3.584743</v>
      </c>
      <c r="P54" s="26">
        <v>-2.9281419999999998</v>
      </c>
      <c r="Q54" s="26">
        <v>-2.6022249999999998</v>
      </c>
    </row>
    <row r="55" spans="2:17" ht="16.5" customHeight="1" x14ac:dyDescent="0.25">
      <c r="B55" s="29"/>
      <c r="C55" s="5" t="s">
        <v>55</v>
      </c>
      <c r="D55" s="5" t="s">
        <v>25</v>
      </c>
      <c r="E55" s="5" t="s">
        <v>46</v>
      </c>
      <c r="F55" s="27"/>
      <c r="G55" s="6">
        <v>0.89380000000000004</v>
      </c>
      <c r="H55" s="7">
        <v>-0.43865500000000002</v>
      </c>
      <c r="I55" s="8">
        <v>0</v>
      </c>
      <c r="J55" s="7">
        <v>-7.3908750000000003</v>
      </c>
      <c r="K55" s="6">
        <v>0.89380000000000004</v>
      </c>
      <c r="L55" s="7">
        <v>-0.43865500000000002</v>
      </c>
      <c r="M55" s="8">
        <v>0</v>
      </c>
      <c r="N55" s="7">
        <v>-7.3908750000000003</v>
      </c>
      <c r="O55" s="26"/>
      <c r="P55" s="26"/>
      <c r="Q55" s="26"/>
    </row>
    <row r="56" spans="2:17" ht="16.5" customHeight="1" x14ac:dyDescent="0.25">
      <c r="B56" s="29"/>
      <c r="C56" s="5" t="s">
        <v>55</v>
      </c>
      <c r="D56" s="5" t="s">
        <v>20</v>
      </c>
      <c r="E56" s="5" t="s">
        <v>45</v>
      </c>
      <c r="F56" s="27" t="s">
        <v>31</v>
      </c>
      <c r="G56" s="6">
        <v>0.40029999999999999</v>
      </c>
      <c r="H56" s="7">
        <v>-2.3495910000000002</v>
      </c>
      <c r="I56" s="8">
        <v>0</v>
      </c>
      <c r="J56" s="7">
        <v>-7.8421529999999997</v>
      </c>
      <c r="K56" s="6">
        <v>0.4597</v>
      </c>
      <c r="L56" s="7">
        <v>-2.2355849999999999</v>
      </c>
      <c r="M56" s="8">
        <v>0</v>
      </c>
      <c r="N56" s="7">
        <v>-8.2696000000000005</v>
      </c>
      <c r="O56" s="26">
        <v>-4.1611440000000002</v>
      </c>
      <c r="P56" s="26">
        <v>-3.5063740000000001</v>
      </c>
      <c r="Q56" s="26">
        <v>-3.1830020000000001</v>
      </c>
    </row>
    <row r="57" spans="2:17" ht="16.5" customHeight="1" x14ac:dyDescent="0.25">
      <c r="B57" s="29"/>
      <c r="C57" s="5" t="s">
        <v>55</v>
      </c>
      <c r="D57" s="5" t="s">
        <v>25</v>
      </c>
      <c r="E57" s="5" t="s">
        <v>46</v>
      </c>
      <c r="F57" s="27"/>
      <c r="G57" s="6">
        <v>0.51829999999999998</v>
      </c>
      <c r="H57" s="7">
        <v>-2.1265719999999999</v>
      </c>
      <c r="I57" s="8">
        <v>0</v>
      </c>
      <c r="J57" s="7">
        <v>-8.0454950000000007</v>
      </c>
      <c r="K57" s="6">
        <v>0.61439999999999995</v>
      </c>
      <c r="L57" s="7">
        <v>-1.9472830000000001</v>
      </c>
      <c r="M57" s="8">
        <v>0</v>
      </c>
      <c r="N57" s="7">
        <v>-8.5137529999999995</v>
      </c>
      <c r="O57" s="26"/>
      <c r="P57" s="26"/>
      <c r="Q57" s="26"/>
    </row>
    <row r="58" spans="2:17" ht="16.5" customHeight="1" x14ac:dyDescent="0.25">
      <c r="B58" s="29"/>
      <c r="C58" s="5" t="s">
        <v>55</v>
      </c>
      <c r="D58" s="5" t="s">
        <v>20</v>
      </c>
      <c r="E58" s="5" t="s">
        <v>45</v>
      </c>
      <c r="F58" s="27" t="s">
        <v>32</v>
      </c>
      <c r="G58" s="6">
        <v>0.79349999999999998</v>
      </c>
      <c r="H58" s="7">
        <v>0.39341100000000001</v>
      </c>
      <c r="I58" s="8">
        <v>0</v>
      </c>
      <c r="J58" s="7">
        <v>-7.1006309999999999</v>
      </c>
      <c r="K58" s="6">
        <v>0.79649999999999999</v>
      </c>
      <c r="L58" s="7">
        <v>0.405026</v>
      </c>
      <c r="M58" s="8">
        <v>0</v>
      </c>
      <c r="N58" s="7">
        <v>-7.101674</v>
      </c>
      <c r="O58" s="26">
        <v>-2.6150929999999999</v>
      </c>
      <c r="P58" s="26">
        <v>-1.947975</v>
      </c>
      <c r="Q58" s="26">
        <v>-1.6124080000000001</v>
      </c>
    </row>
    <row r="59" spans="2:17" ht="16.5" customHeight="1" x14ac:dyDescent="0.25">
      <c r="B59" s="30"/>
      <c r="C59" s="5" t="s">
        <v>55</v>
      </c>
      <c r="D59" s="5" t="s">
        <v>25</v>
      </c>
      <c r="E59" s="5" t="s">
        <v>46</v>
      </c>
      <c r="F59" s="27"/>
      <c r="G59" s="6">
        <v>0.84340000000000004</v>
      </c>
      <c r="H59" s="7">
        <v>0.60376200000000002</v>
      </c>
      <c r="I59" s="8">
        <v>0</v>
      </c>
      <c r="J59" s="7">
        <v>-7.4157539999999997</v>
      </c>
      <c r="K59" s="6">
        <v>0.85060000000000002</v>
      </c>
      <c r="L59" s="7">
        <v>0.63756400000000002</v>
      </c>
      <c r="M59" s="8">
        <v>0</v>
      </c>
      <c r="N59" s="7">
        <v>-7.4144030000000001</v>
      </c>
      <c r="O59" s="26"/>
      <c r="P59" s="26"/>
      <c r="Q59" s="26"/>
    </row>
  </sheetData>
  <mergeCells count="143">
    <mergeCell ref="B6:B23"/>
    <mergeCell ref="B42:B59"/>
    <mergeCell ref="B24:B41"/>
    <mergeCell ref="T4:T9"/>
    <mergeCell ref="T10:T15"/>
    <mergeCell ref="T16:T21"/>
    <mergeCell ref="AA10:AA11"/>
    <mergeCell ref="AA4:AA5"/>
    <mergeCell ref="AA6:AA7"/>
    <mergeCell ref="AA8:AA9"/>
    <mergeCell ref="AA12:AA13"/>
    <mergeCell ref="AA14:AA15"/>
    <mergeCell ref="AA16:AA17"/>
    <mergeCell ref="AA18:AA19"/>
    <mergeCell ref="AA20:AA21"/>
    <mergeCell ref="Y2:Z2"/>
    <mergeCell ref="F50:F51"/>
    <mergeCell ref="O50:O51"/>
    <mergeCell ref="P50:P51"/>
    <mergeCell ref="Q50:Q51"/>
    <mergeCell ref="F52:F53"/>
    <mergeCell ref="O52:O53"/>
    <mergeCell ref="P52:P53"/>
    <mergeCell ref="Q52:Q53"/>
    <mergeCell ref="O46:O47"/>
    <mergeCell ref="P46:P47"/>
    <mergeCell ref="Q46:Q47"/>
    <mergeCell ref="F48:F49"/>
    <mergeCell ref="O48:O49"/>
    <mergeCell ref="P48:P49"/>
    <mergeCell ref="Q48:Q49"/>
    <mergeCell ref="F42:F43"/>
    <mergeCell ref="O42:O43"/>
    <mergeCell ref="P42:P43"/>
    <mergeCell ref="Q42:Q43"/>
    <mergeCell ref="F44:F45"/>
    <mergeCell ref="O44:O45"/>
    <mergeCell ref="P44:P45"/>
    <mergeCell ref="Q44:Q45"/>
    <mergeCell ref="F46:F47"/>
    <mergeCell ref="F34:F35"/>
    <mergeCell ref="O34:O35"/>
    <mergeCell ref="P34:P35"/>
    <mergeCell ref="Q34:Q35"/>
    <mergeCell ref="F6:F7"/>
    <mergeCell ref="O6:O7"/>
    <mergeCell ref="P6:P7"/>
    <mergeCell ref="Q6:Q7"/>
    <mergeCell ref="F8:F9"/>
    <mergeCell ref="O8:O9"/>
    <mergeCell ref="P8:P9"/>
    <mergeCell ref="Q8:Q9"/>
    <mergeCell ref="F30:F31"/>
    <mergeCell ref="O30:O31"/>
    <mergeCell ref="P30:P31"/>
    <mergeCell ref="Q30:Q31"/>
    <mergeCell ref="O26:O27"/>
    <mergeCell ref="P26:P27"/>
    <mergeCell ref="Q26:Q27"/>
    <mergeCell ref="F28:F29"/>
    <mergeCell ref="O28:O29"/>
    <mergeCell ref="P28:P29"/>
    <mergeCell ref="Q28:Q29"/>
    <mergeCell ref="O14:O15"/>
    <mergeCell ref="P14:P15"/>
    <mergeCell ref="Q14:Q15"/>
    <mergeCell ref="F16:F17"/>
    <mergeCell ref="O16:O17"/>
    <mergeCell ref="P16:P17"/>
    <mergeCell ref="Q16:Q17"/>
    <mergeCell ref="C3:C5"/>
    <mergeCell ref="D3:D5"/>
    <mergeCell ref="E3:E5"/>
    <mergeCell ref="F3:F5"/>
    <mergeCell ref="G3:J3"/>
    <mergeCell ref="T2:T3"/>
    <mergeCell ref="U2:U3"/>
    <mergeCell ref="V2:V3"/>
    <mergeCell ref="K3:N3"/>
    <mergeCell ref="O3:Q3"/>
    <mergeCell ref="G4:H4"/>
    <mergeCell ref="I4:J4"/>
    <mergeCell ref="K4:L4"/>
    <mergeCell ref="M4:N4"/>
    <mergeCell ref="O4:O5"/>
    <mergeCell ref="P4:P5"/>
    <mergeCell ref="Q4:Q5"/>
    <mergeCell ref="W2:W3"/>
    <mergeCell ref="X2:X3"/>
    <mergeCell ref="F18:F19"/>
    <mergeCell ref="F20:F21"/>
    <mergeCell ref="F22:F23"/>
    <mergeCell ref="F36:F37"/>
    <mergeCell ref="F38:F39"/>
    <mergeCell ref="F40:F41"/>
    <mergeCell ref="F54:F55"/>
    <mergeCell ref="P54:P55"/>
    <mergeCell ref="Q54:Q55"/>
    <mergeCell ref="F10:F11"/>
    <mergeCell ref="O10:O11"/>
    <mergeCell ref="P10:P11"/>
    <mergeCell ref="Q10:Q11"/>
    <mergeCell ref="F12:F13"/>
    <mergeCell ref="O12:O13"/>
    <mergeCell ref="P12:P13"/>
    <mergeCell ref="Q12:Q13"/>
    <mergeCell ref="F14:F15"/>
    <mergeCell ref="O18:O19"/>
    <mergeCell ref="P18:P19"/>
    <mergeCell ref="Q18:Q19"/>
    <mergeCell ref="O20:O21"/>
    <mergeCell ref="P20:P21"/>
    <mergeCell ref="Q20:Q21"/>
    <mergeCell ref="O22:O23"/>
    <mergeCell ref="P22:P23"/>
    <mergeCell ref="Q22:Q23"/>
    <mergeCell ref="O36:O37"/>
    <mergeCell ref="P36:P37"/>
    <mergeCell ref="Q36:Q37"/>
    <mergeCell ref="O38:O39"/>
    <mergeCell ref="P38:P39"/>
    <mergeCell ref="Q38:Q39"/>
    <mergeCell ref="O40:O41"/>
    <mergeCell ref="P40:P41"/>
    <mergeCell ref="Q40:Q41"/>
    <mergeCell ref="O54:O55"/>
    <mergeCell ref="O56:O57"/>
    <mergeCell ref="P56:P57"/>
    <mergeCell ref="Q56:Q57"/>
    <mergeCell ref="O58:O59"/>
    <mergeCell ref="P58:P59"/>
    <mergeCell ref="Q58:Q59"/>
    <mergeCell ref="F56:F57"/>
    <mergeCell ref="F58:F59"/>
    <mergeCell ref="F24:F25"/>
    <mergeCell ref="O24:O25"/>
    <mergeCell ref="P24:P25"/>
    <mergeCell ref="Q24:Q25"/>
    <mergeCell ref="F26:F27"/>
    <mergeCell ref="F32:F33"/>
    <mergeCell ref="O32:O33"/>
    <mergeCell ref="P32:P33"/>
    <mergeCell ref="Q32:Q33"/>
  </mergeCells>
  <phoneticPr fontId="6" type="noConversion"/>
  <conditionalFormatting sqref="G6:G59 I6:I59 K6:K59 M6:M59">
    <cfRule type="cellIs" dxfId="2" priority="1" operator="lessThanOrEqual">
      <formula>0.05</formula>
    </cfRule>
    <cfRule type="cellIs" dxfId="1" priority="2" operator="greaterThanOrEqual">
      <formula>0.0499</formula>
    </cfRule>
    <cfRule type="cellIs" dxfId="0" priority="3" operator="equal">
      <formula>"≤0.05"</formula>
    </cfRule>
  </conditionalFormatting>
  <conditionalFormatting sqref="M6:M59 K6:K59 G6:G59 I6:I59">
    <cfRule type="colorScale" priority="4">
      <colorScale>
        <cfvo type="formula" val="&quot;&lt;0.05&quot;"/>
        <cfvo type="formula" val="&quot;&gt;0.049999&quot;"/>
        <color theme="9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0472-1390-461B-82F1-722A9FA55B67}">
  <dimension ref="A1:W19"/>
  <sheetViews>
    <sheetView workbookViewId="0">
      <selection activeCell="O16" sqref="O16"/>
    </sheetView>
  </sheetViews>
  <sheetFormatPr defaultRowHeight="15" x14ac:dyDescent="0.25"/>
  <cols>
    <col min="1" max="1" width="10.5703125" style="68" bestFit="1" customWidth="1"/>
    <col min="2" max="2" width="10.42578125" style="68" bestFit="1" customWidth="1"/>
    <col min="3" max="3" width="7.5703125" style="68" customWidth="1"/>
    <col min="4" max="4" width="8.85546875" style="68" customWidth="1"/>
    <col min="5" max="5" width="5" style="68" bestFit="1" customWidth="1"/>
    <col min="6" max="6" width="11.85546875" style="68" bestFit="1" customWidth="1"/>
    <col min="7" max="7" width="7" style="67" bestFit="1" customWidth="1"/>
    <col min="8" max="8" width="13.140625" style="68" bestFit="1" customWidth="1"/>
    <col min="9" max="9" width="11.42578125" style="68" bestFit="1" customWidth="1"/>
    <col min="10" max="10" width="7.42578125" style="11" bestFit="1" customWidth="1"/>
    <col min="11" max="11" width="11.7109375" style="68" bestFit="1" customWidth="1"/>
    <col min="12" max="12" width="9.5703125" style="68" bestFit="1" customWidth="1"/>
    <col min="13" max="13" width="10.140625" style="11" bestFit="1" customWidth="1"/>
    <col min="14" max="14" width="7" style="11" customWidth="1"/>
    <col min="15" max="15" width="11.7109375" style="68" bestFit="1" customWidth="1"/>
    <col min="16" max="16" width="8" style="11" bestFit="1" customWidth="1"/>
    <col min="17" max="17" width="6.7109375" style="68" bestFit="1" customWidth="1"/>
    <col min="18" max="20" width="9.7109375" style="68" bestFit="1" customWidth="1"/>
    <col min="21" max="21" width="13.42578125" style="11" customWidth="1"/>
    <col min="22" max="22" width="12.28515625" style="11" customWidth="1"/>
    <col min="23" max="23" width="44.7109375" style="68" bestFit="1" customWidth="1"/>
    <col min="24" max="16384" width="9.140625" style="68"/>
  </cols>
  <sheetData>
    <row r="1" spans="1:23" s="78" customFormat="1" ht="33.75" customHeight="1" x14ac:dyDescent="0.25">
      <c r="A1" s="64" t="s">
        <v>62</v>
      </c>
      <c r="B1" s="65" t="s">
        <v>0</v>
      </c>
      <c r="C1" s="65" t="s">
        <v>63</v>
      </c>
      <c r="D1" s="65" t="s">
        <v>64</v>
      </c>
      <c r="E1" s="65" t="s">
        <v>65</v>
      </c>
      <c r="F1" s="65" t="s">
        <v>66</v>
      </c>
      <c r="G1" s="65" t="s">
        <v>67</v>
      </c>
      <c r="H1" s="65" t="s">
        <v>68</v>
      </c>
      <c r="I1" s="65" t="s">
        <v>69</v>
      </c>
      <c r="J1" s="65" t="s">
        <v>70</v>
      </c>
      <c r="K1" s="65" t="s">
        <v>71</v>
      </c>
      <c r="L1" s="65" t="s">
        <v>72</v>
      </c>
      <c r="M1" s="65" t="s">
        <v>73</v>
      </c>
      <c r="N1" s="65" t="s">
        <v>74</v>
      </c>
      <c r="O1" s="65" t="s">
        <v>75</v>
      </c>
      <c r="P1" s="65" t="s">
        <v>76</v>
      </c>
      <c r="Q1" s="65" t="s">
        <v>77</v>
      </c>
      <c r="R1" s="65" t="s">
        <v>78</v>
      </c>
      <c r="S1" s="65" t="s">
        <v>79</v>
      </c>
      <c r="T1" s="65" t="s">
        <v>80</v>
      </c>
      <c r="U1" s="65" t="s">
        <v>81</v>
      </c>
      <c r="V1" s="65" t="s">
        <v>82</v>
      </c>
      <c r="W1" s="66" t="s">
        <v>56</v>
      </c>
    </row>
    <row r="2" spans="1:23" x14ac:dyDescent="0.25">
      <c r="A2" s="69" t="s">
        <v>19</v>
      </c>
      <c r="B2" s="70" t="s">
        <v>11</v>
      </c>
      <c r="C2" s="70" t="s">
        <v>36</v>
      </c>
      <c r="D2" s="70" t="s">
        <v>37</v>
      </c>
      <c r="E2" s="70">
        <v>1302</v>
      </c>
      <c r="F2" s="70" t="s">
        <v>83</v>
      </c>
      <c r="G2" s="7">
        <v>1</v>
      </c>
      <c r="H2" s="70">
        <v>260.73180000000002</v>
      </c>
      <c r="I2" s="70">
        <v>15.4947</v>
      </c>
      <c r="J2" s="7">
        <v>0</v>
      </c>
      <c r="K2" s="76" t="s">
        <v>84</v>
      </c>
      <c r="L2" s="70">
        <v>256.9194</v>
      </c>
      <c r="M2" s="7">
        <v>14.2646</v>
      </c>
      <c r="N2" s="79">
        <v>0</v>
      </c>
      <c r="O2" s="70" t="s">
        <v>84</v>
      </c>
      <c r="P2" s="7">
        <v>1</v>
      </c>
      <c r="Q2" s="70">
        <v>1</v>
      </c>
      <c r="R2" s="70">
        <v>-0.99859600000000004</v>
      </c>
      <c r="S2" s="70">
        <v>-9.0645000000000003E-2</v>
      </c>
      <c r="T2" s="70">
        <v>0.44719500000000001</v>
      </c>
      <c r="U2" s="7" t="s">
        <v>85</v>
      </c>
      <c r="V2" s="7" t="s">
        <v>86</v>
      </c>
      <c r="W2" s="71" t="s">
        <v>87</v>
      </c>
    </row>
    <row r="3" spans="1:23" x14ac:dyDescent="0.25">
      <c r="A3" s="69" t="s">
        <v>19</v>
      </c>
      <c r="B3" s="70" t="s">
        <v>12</v>
      </c>
      <c r="C3" s="70" t="s">
        <v>36</v>
      </c>
      <c r="D3" s="70" t="s">
        <v>37</v>
      </c>
      <c r="E3" s="70">
        <v>259</v>
      </c>
      <c r="F3" s="70" t="s">
        <v>83</v>
      </c>
      <c r="G3" s="7">
        <v>1</v>
      </c>
      <c r="H3" s="70">
        <v>92.132800000000003</v>
      </c>
      <c r="I3" s="70">
        <v>15.4947</v>
      </c>
      <c r="J3" s="7">
        <v>0</v>
      </c>
      <c r="K3" s="76" t="s">
        <v>84</v>
      </c>
      <c r="L3" s="70">
        <v>87.781599999999997</v>
      </c>
      <c r="M3" s="7">
        <v>14.2646</v>
      </c>
      <c r="N3" s="79">
        <v>0</v>
      </c>
      <c r="O3" s="70" t="s">
        <v>84</v>
      </c>
      <c r="P3" s="7" t="s">
        <v>88</v>
      </c>
      <c r="Q3" s="70">
        <v>1</v>
      </c>
      <c r="R3" s="70">
        <v>-0.99718499999999999</v>
      </c>
      <c r="S3" s="70">
        <v>-0.251386</v>
      </c>
      <c r="T3" s="70">
        <v>0.58432700000000004</v>
      </c>
      <c r="U3" s="7" t="s">
        <v>85</v>
      </c>
      <c r="V3" s="7" t="s">
        <v>86</v>
      </c>
      <c r="W3" s="71" t="s">
        <v>89</v>
      </c>
    </row>
    <row r="4" spans="1:23" x14ac:dyDescent="0.25">
      <c r="A4" s="69" t="s">
        <v>19</v>
      </c>
      <c r="B4" s="70" t="s">
        <v>13</v>
      </c>
      <c r="C4" s="70" t="s">
        <v>36</v>
      </c>
      <c r="D4" s="70" t="s">
        <v>37</v>
      </c>
      <c r="E4" s="70">
        <v>58</v>
      </c>
      <c r="F4" s="70" t="s">
        <v>83</v>
      </c>
      <c r="G4" s="7">
        <v>1</v>
      </c>
      <c r="H4" s="70">
        <v>33.195099999999996</v>
      </c>
      <c r="I4" s="70">
        <v>15.4947</v>
      </c>
      <c r="J4" s="7">
        <v>0</v>
      </c>
      <c r="K4" s="76" t="s">
        <v>84</v>
      </c>
      <c r="L4" s="70">
        <v>29.083100000000002</v>
      </c>
      <c r="M4" s="7">
        <v>14.2646</v>
      </c>
      <c r="N4" s="7">
        <v>1E-4</v>
      </c>
      <c r="O4" s="70" t="s">
        <v>84</v>
      </c>
      <c r="P4" s="7" t="s">
        <v>88</v>
      </c>
      <c r="Q4" s="70">
        <v>1</v>
      </c>
      <c r="R4" s="70">
        <v>-0.99639900000000003</v>
      </c>
      <c r="S4" s="70">
        <v>1.292322</v>
      </c>
      <c r="T4" s="70">
        <v>2.3943650000000001</v>
      </c>
      <c r="U4" s="7" t="s">
        <v>85</v>
      </c>
      <c r="V4" s="7" t="s">
        <v>86</v>
      </c>
      <c r="W4" s="71" t="s">
        <v>90</v>
      </c>
    </row>
    <row r="5" spans="1:23" x14ac:dyDescent="0.25">
      <c r="A5" s="69" t="s">
        <v>28</v>
      </c>
      <c r="B5" s="70" t="s">
        <v>11</v>
      </c>
      <c r="C5" s="70" t="s">
        <v>40</v>
      </c>
      <c r="D5" s="70" t="s">
        <v>41</v>
      </c>
      <c r="E5" s="70">
        <v>1302</v>
      </c>
      <c r="F5" s="70" t="s">
        <v>83</v>
      </c>
      <c r="G5" s="7">
        <v>1</v>
      </c>
      <c r="H5" s="70">
        <v>438.95159999999998</v>
      </c>
      <c r="I5" s="70">
        <v>15.4947</v>
      </c>
      <c r="J5" s="7">
        <v>0</v>
      </c>
      <c r="K5" s="76" t="s">
        <v>84</v>
      </c>
      <c r="L5" s="70">
        <v>437.92840000000001</v>
      </c>
      <c r="M5" s="7">
        <v>14.2646</v>
      </c>
      <c r="N5" s="79">
        <v>0</v>
      </c>
      <c r="O5" s="70" t="s">
        <v>84</v>
      </c>
      <c r="P5" s="7">
        <v>1</v>
      </c>
      <c r="Q5" s="70">
        <v>1</v>
      </c>
      <c r="R5" s="70">
        <v>-0.99758999999999998</v>
      </c>
      <c r="S5" s="70">
        <v>-0.56368499999999999</v>
      </c>
      <c r="T5" s="70">
        <v>0.29293000000000002</v>
      </c>
      <c r="U5" s="7" t="s">
        <v>85</v>
      </c>
      <c r="V5" s="7" t="s">
        <v>86</v>
      </c>
      <c r="W5" s="71" t="s">
        <v>91</v>
      </c>
    </row>
    <row r="6" spans="1:23" x14ac:dyDescent="0.25">
      <c r="A6" s="69" t="s">
        <v>28</v>
      </c>
      <c r="B6" s="70" t="s">
        <v>12</v>
      </c>
      <c r="C6" s="70" t="s">
        <v>40</v>
      </c>
      <c r="D6" s="70" t="s">
        <v>41</v>
      </c>
      <c r="E6" s="70">
        <v>259</v>
      </c>
      <c r="F6" s="70" t="s">
        <v>83</v>
      </c>
      <c r="G6" s="7">
        <v>1</v>
      </c>
      <c r="H6" s="70">
        <v>128.51689999999999</v>
      </c>
      <c r="I6" s="70">
        <v>15.4947</v>
      </c>
      <c r="J6" s="7">
        <v>0</v>
      </c>
      <c r="K6" s="76" t="s">
        <v>84</v>
      </c>
      <c r="L6" s="70">
        <v>127.6737</v>
      </c>
      <c r="M6" s="7">
        <v>14.2646</v>
      </c>
      <c r="N6" s="79">
        <v>0</v>
      </c>
      <c r="O6" s="70" t="s">
        <v>84</v>
      </c>
      <c r="P6" s="7">
        <v>1</v>
      </c>
      <c r="Q6" s="70">
        <v>1</v>
      </c>
      <c r="R6" s="70">
        <v>-0.99805200000000005</v>
      </c>
      <c r="S6" s="70">
        <v>-1.7023520000000001</v>
      </c>
      <c r="T6" s="70">
        <v>-0.63077899999999998</v>
      </c>
      <c r="U6" s="7" t="s">
        <v>85</v>
      </c>
      <c r="V6" s="7" t="s">
        <v>86</v>
      </c>
      <c r="W6" s="71" t="s">
        <v>92</v>
      </c>
    </row>
    <row r="7" spans="1:23" x14ac:dyDescent="0.25">
      <c r="A7" s="69" t="s">
        <v>28</v>
      </c>
      <c r="B7" s="70" t="s">
        <v>13</v>
      </c>
      <c r="C7" s="70" t="s">
        <v>40</v>
      </c>
      <c r="D7" s="70" t="s">
        <v>41</v>
      </c>
      <c r="E7" s="70">
        <v>58</v>
      </c>
      <c r="F7" s="70" t="s">
        <v>83</v>
      </c>
      <c r="G7" s="7">
        <v>1</v>
      </c>
      <c r="H7" s="70">
        <v>44.265300000000003</v>
      </c>
      <c r="I7" s="70">
        <v>15.4947</v>
      </c>
      <c r="J7" s="7">
        <v>0</v>
      </c>
      <c r="K7" s="76" t="s">
        <v>84</v>
      </c>
      <c r="L7" s="70">
        <v>43.289700000000003</v>
      </c>
      <c r="M7" s="7">
        <v>14.2646</v>
      </c>
      <c r="N7" s="79">
        <v>0</v>
      </c>
      <c r="O7" s="70" t="s">
        <v>84</v>
      </c>
      <c r="P7" s="7">
        <v>1</v>
      </c>
      <c r="Q7" s="70">
        <v>1</v>
      </c>
      <c r="R7" s="70">
        <v>-1.00319</v>
      </c>
      <c r="S7" s="70">
        <v>0.55923500000000004</v>
      </c>
      <c r="T7" s="70">
        <v>-0.51673800000000003</v>
      </c>
      <c r="U7" s="7" t="s">
        <v>85</v>
      </c>
      <c r="V7" s="7" t="s">
        <v>86</v>
      </c>
      <c r="W7" s="71" t="s">
        <v>93</v>
      </c>
    </row>
    <row r="8" spans="1:23" x14ac:dyDescent="0.25">
      <c r="A8" s="69" t="s">
        <v>47</v>
      </c>
      <c r="B8" s="70" t="s">
        <v>11</v>
      </c>
      <c r="C8" s="70" t="s">
        <v>51</v>
      </c>
      <c r="D8" s="70" t="s">
        <v>52</v>
      </c>
      <c r="E8" s="70">
        <v>1061</v>
      </c>
      <c r="F8" s="70" t="s">
        <v>83</v>
      </c>
      <c r="G8" s="7">
        <v>1</v>
      </c>
      <c r="H8" s="70">
        <v>40.5946</v>
      </c>
      <c r="I8" s="70">
        <v>15.4947</v>
      </c>
      <c r="J8" s="7">
        <v>0</v>
      </c>
      <c r="K8" s="76" t="s">
        <v>84</v>
      </c>
      <c r="L8" s="70">
        <v>39.604399999999998</v>
      </c>
      <c r="M8" s="7">
        <v>14.2646</v>
      </c>
      <c r="N8" s="79">
        <v>0</v>
      </c>
      <c r="O8" s="70" t="s">
        <v>84</v>
      </c>
      <c r="P8" s="7">
        <v>1</v>
      </c>
      <c r="Q8" s="70">
        <v>1</v>
      </c>
      <c r="R8" s="70">
        <v>-1.1877899999999999</v>
      </c>
      <c r="S8" s="70">
        <v>-4.6907999999999998E-2</v>
      </c>
      <c r="T8" s="70">
        <v>2.2128999999999999E-2</v>
      </c>
      <c r="U8" s="7" t="s">
        <v>85</v>
      </c>
      <c r="V8" s="7" t="s">
        <v>86</v>
      </c>
      <c r="W8" s="71" t="s">
        <v>94</v>
      </c>
    </row>
    <row r="9" spans="1:23" x14ac:dyDescent="0.25">
      <c r="A9" s="69" t="s">
        <v>47</v>
      </c>
      <c r="B9" s="70" t="s">
        <v>12</v>
      </c>
      <c r="C9" s="70" t="s">
        <v>51</v>
      </c>
      <c r="D9" s="70" t="s">
        <v>52</v>
      </c>
      <c r="E9" s="70">
        <v>210</v>
      </c>
      <c r="F9" s="70" t="s">
        <v>83</v>
      </c>
      <c r="G9" s="7">
        <v>1</v>
      </c>
      <c r="H9" s="70">
        <v>24.950099999999999</v>
      </c>
      <c r="I9" s="70">
        <v>15.4947</v>
      </c>
      <c r="J9" s="7">
        <v>1.4E-3</v>
      </c>
      <c r="K9" s="76" t="s">
        <v>84</v>
      </c>
      <c r="L9" s="70">
        <v>24.590900000000001</v>
      </c>
      <c r="M9" s="7">
        <v>14.2646</v>
      </c>
      <c r="N9" s="7">
        <v>8.9999999999999998E-4</v>
      </c>
      <c r="O9" s="70" t="s">
        <v>84</v>
      </c>
      <c r="P9" s="7">
        <v>1</v>
      </c>
      <c r="Q9" s="70">
        <v>1</v>
      </c>
      <c r="R9" s="70">
        <v>-1.188896</v>
      </c>
      <c r="S9" s="70">
        <v>-7.8095999999999999E-2</v>
      </c>
      <c r="T9" s="70">
        <v>0.106864</v>
      </c>
      <c r="U9" s="7" t="s">
        <v>85</v>
      </c>
      <c r="V9" s="7" t="s">
        <v>86</v>
      </c>
      <c r="W9" s="71" t="s">
        <v>95</v>
      </c>
    </row>
    <row r="10" spans="1:23" ht="15.75" thickBot="1" x14ac:dyDescent="0.3">
      <c r="A10" s="72" t="s">
        <v>47</v>
      </c>
      <c r="B10" s="73" t="s">
        <v>13</v>
      </c>
      <c r="C10" s="73" t="s">
        <v>51</v>
      </c>
      <c r="D10" s="73" t="s">
        <v>52</v>
      </c>
      <c r="E10" s="73">
        <v>47</v>
      </c>
      <c r="F10" s="73" t="s">
        <v>83</v>
      </c>
      <c r="G10" s="74">
        <v>1</v>
      </c>
      <c r="H10" s="73">
        <v>11.259</v>
      </c>
      <c r="I10" s="73">
        <v>15.4947</v>
      </c>
      <c r="J10" s="74">
        <v>0.1961</v>
      </c>
      <c r="K10" s="77" t="s">
        <v>96</v>
      </c>
      <c r="L10" s="73">
        <v>11.0426</v>
      </c>
      <c r="M10" s="74">
        <v>14.2646</v>
      </c>
      <c r="N10" s="74">
        <v>0.15210000000000001</v>
      </c>
      <c r="O10" s="73" t="s">
        <v>96</v>
      </c>
      <c r="P10" s="74">
        <v>0</v>
      </c>
      <c r="Q10" s="73">
        <v>1</v>
      </c>
      <c r="R10" s="73">
        <v>-1.1710069999999999</v>
      </c>
      <c r="S10" s="73">
        <v>-0.74775400000000003</v>
      </c>
      <c r="T10" s="73">
        <v>-0.42726799999999998</v>
      </c>
      <c r="U10" s="74" t="s">
        <v>97</v>
      </c>
      <c r="V10" s="74" t="s">
        <v>98</v>
      </c>
      <c r="W10" s="75" t="s">
        <v>99</v>
      </c>
    </row>
    <row r="16" spans="1:23" x14ac:dyDescent="0.25">
      <c r="G16" s="68"/>
    </row>
    <row r="17" spans="7:7" x14ac:dyDescent="0.25">
      <c r="G17" s="68"/>
    </row>
    <row r="18" spans="7:7" x14ac:dyDescent="0.25">
      <c r="G18" s="68"/>
    </row>
    <row r="19" spans="7:7" x14ac:dyDescent="0.25">
      <c r="G19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2D69-9002-4F3F-A26D-443693DC06C0}">
  <dimension ref="A1:G2766"/>
  <sheetViews>
    <sheetView tabSelected="1" workbookViewId="0">
      <selection activeCell="K30" sqref="K30"/>
    </sheetView>
  </sheetViews>
  <sheetFormatPr defaultRowHeight="15" x14ac:dyDescent="0.25"/>
  <cols>
    <col min="1" max="1" width="10.42578125" style="11" bestFit="1" customWidth="1"/>
    <col min="2" max="2" width="13.28515625" style="11" bestFit="1" customWidth="1"/>
    <col min="3" max="3" width="13.7109375" bestFit="1" customWidth="1"/>
  </cols>
  <sheetData>
    <row r="1" spans="1:7" s="11" customFormat="1" x14ac:dyDescent="0.25">
      <c r="A1" s="10" t="s">
        <v>35</v>
      </c>
      <c r="B1" s="10" t="s">
        <v>21</v>
      </c>
      <c r="C1" s="10" t="s">
        <v>26</v>
      </c>
      <c r="D1" s="10" t="s">
        <v>36</v>
      </c>
      <c r="E1" s="10" t="s">
        <v>37</v>
      </c>
      <c r="F1" s="10" t="s">
        <v>38</v>
      </c>
      <c r="G1" s="10" t="s">
        <v>39</v>
      </c>
    </row>
    <row r="2" spans="1:7" x14ac:dyDescent="0.25">
      <c r="A2" s="12">
        <v>44197</v>
      </c>
      <c r="B2" s="13">
        <v>1898.67</v>
      </c>
      <c r="C2" s="13">
        <v>1895.1</v>
      </c>
      <c r="D2" s="5">
        <v>7.5489089200401382</v>
      </c>
      <c r="E2" s="5">
        <v>7.5470268865727643</v>
      </c>
      <c r="F2" s="5">
        <v>1.6328551562061477E-4</v>
      </c>
      <c r="G2" s="5">
        <v>0</v>
      </c>
    </row>
    <row r="3" spans="1:7" x14ac:dyDescent="0.25">
      <c r="A3" s="12">
        <v>44200</v>
      </c>
      <c r="B3" s="13">
        <v>1942.9</v>
      </c>
      <c r="C3" s="13">
        <v>1946.6</v>
      </c>
      <c r="D3" s="5">
        <v>7.5719369812490669</v>
      </c>
      <c r="E3" s="5">
        <v>7.5738395399923935</v>
      </c>
      <c r="F3" s="5">
        <v>2.3028061208928641E-2</v>
      </c>
      <c r="G3" s="5">
        <v>2.6812653419629129E-2</v>
      </c>
    </row>
    <row r="4" spans="1:7" x14ac:dyDescent="0.25">
      <c r="A4" s="12">
        <v>44201</v>
      </c>
      <c r="B4" s="13">
        <v>1950.01</v>
      </c>
      <c r="C4" s="13">
        <v>1954.4</v>
      </c>
      <c r="D4" s="5">
        <v>7.5755897797497713</v>
      </c>
      <c r="E4" s="5">
        <v>7.5778385199435307</v>
      </c>
      <c r="F4" s="5">
        <v>3.652798500704435E-3</v>
      </c>
      <c r="G4" s="5">
        <v>3.9989799511372937E-3</v>
      </c>
    </row>
    <row r="5" spans="1:7" x14ac:dyDescent="0.25">
      <c r="A5" s="12">
        <v>44202</v>
      </c>
      <c r="B5" s="13">
        <v>1918.61</v>
      </c>
      <c r="C5" s="13">
        <v>1908.6</v>
      </c>
      <c r="D5" s="5">
        <v>7.5593562445041114</v>
      </c>
      <c r="E5" s="5">
        <v>7.554125267983153</v>
      </c>
      <c r="F5" s="5">
        <v>-1.6233535245659958E-2</v>
      </c>
      <c r="G5" s="5">
        <v>-2.3713251960377768E-2</v>
      </c>
    </row>
    <row r="6" spans="1:7" x14ac:dyDescent="0.25">
      <c r="A6" s="12">
        <v>44203</v>
      </c>
      <c r="B6" s="13">
        <v>1913.95</v>
      </c>
      <c r="C6" s="13">
        <v>1913.6</v>
      </c>
      <c r="D6" s="5">
        <v>7.5569244483696947</v>
      </c>
      <c r="E6" s="5">
        <v>7.5567415637563125</v>
      </c>
      <c r="F6" s="5">
        <v>-2.4317961344166861E-3</v>
      </c>
      <c r="G6" s="5">
        <v>2.6162957731594716E-3</v>
      </c>
    </row>
    <row r="7" spans="1:7" x14ac:dyDescent="0.25">
      <c r="A7" s="12">
        <v>44204</v>
      </c>
      <c r="B7" s="13">
        <v>1849.01</v>
      </c>
      <c r="C7" s="13">
        <v>1835.4</v>
      </c>
      <c r="D7" s="5">
        <v>7.5224056397013266</v>
      </c>
      <c r="E7" s="5">
        <v>7.5150177203849129</v>
      </c>
      <c r="F7" s="5">
        <v>-3.4518808668368095E-2</v>
      </c>
      <c r="G7" s="5">
        <v>-4.172384337139956E-2</v>
      </c>
    </row>
    <row r="8" spans="1:7" x14ac:dyDescent="0.25">
      <c r="A8" s="12">
        <v>44207</v>
      </c>
      <c r="B8" s="13">
        <v>1843.89</v>
      </c>
      <c r="C8" s="13">
        <v>1850.8</v>
      </c>
      <c r="D8" s="5">
        <v>7.5196327494088164</v>
      </c>
      <c r="E8" s="5">
        <v>7.5233732570328442</v>
      </c>
      <c r="F8" s="5">
        <v>-2.7728902925101551E-3</v>
      </c>
      <c r="G8" s="5">
        <v>8.3555366479313165E-3</v>
      </c>
    </row>
    <row r="9" spans="1:7" x14ac:dyDescent="0.25">
      <c r="A9" s="12">
        <v>44208</v>
      </c>
      <c r="B9" s="13">
        <v>1854.77</v>
      </c>
      <c r="C9" s="13">
        <v>1844.2</v>
      </c>
      <c r="D9" s="5">
        <v>7.5255159781359078</v>
      </c>
      <c r="E9" s="5">
        <v>7.5198008581050413</v>
      </c>
      <c r="F9" s="5">
        <v>5.8832287270913497E-3</v>
      </c>
      <c r="G9" s="5">
        <v>-3.5723989278029222E-3</v>
      </c>
    </row>
    <row r="10" spans="1:7" x14ac:dyDescent="0.25">
      <c r="A10" s="12">
        <v>44209</v>
      </c>
      <c r="B10" s="13">
        <v>1845.51</v>
      </c>
      <c r="C10" s="13">
        <v>1854.9</v>
      </c>
      <c r="D10" s="5">
        <v>7.5205109410411222</v>
      </c>
      <c r="E10" s="5">
        <v>7.5255860652326332</v>
      </c>
      <c r="F10" s="5">
        <v>-5.0050370947856138E-3</v>
      </c>
      <c r="G10" s="5">
        <v>5.7852071275918959E-3</v>
      </c>
    </row>
    <row r="11" spans="1:7" x14ac:dyDescent="0.25">
      <c r="A11" s="12">
        <v>44210</v>
      </c>
      <c r="B11" s="13">
        <v>1846.53</v>
      </c>
      <c r="C11" s="13">
        <v>1851.4</v>
      </c>
      <c r="D11" s="5">
        <v>7.521063481114334</v>
      </c>
      <c r="E11" s="5">
        <v>7.5236973886331109</v>
      </c>
      <c r="F11" s="5">
        <v>5.5254007321181575E-4</v>
      </c>
      <c r="G11" s="5">
        <v>-1.8886765995222987E-3</v>
      </c>
    </row>
    <row r="12" spans="1:7" x14ac:dyDescent="0.25">
      <c r="A12" s="12">
        <v>44211</v>
      </c>
      <c r="B12" s="13">
        <v>1828.45</v>
      </c>
      <c r="C12" s="13">
        <v>1829.9</v>
      </c>
      <c r="D12" s="5">
        <v>7.5112238923974024</v>
      </c>
      <c r="E12" s="5">
        <v>7.5120165995336414</v>
      </c>
      <c r="F12" s="5">
        <v>-9.8395887169315799E-3</v>
      </c>
      <c r="G12" s="5">
        <v>-1.1680789099469457E-2</v>
      </c>
    </row>
    <row r="13" spans="1:7" x14ac:dyDescent="0.25">
      <c r="A13" s="12">
        <v>44214</v>
      </c>
      <c r="B13" s="13">
        <v>1841.26</v>
      </c>
      <c r="C13" s="13">
        <v>1829.9</v>
      </c>
      <c r="D13" s="5">
        <v>7.5182053988550992</v>
      </c>
      <c r="E13" s="5">
        <v>7.5120165995336414</v>
      </c>
      <c r="F13" s="5">
        <v>6.9815064576967956E-3</v>
      </c>
      <c r="G13" s="5">
        <v>0</v>
      </c>
    </row>
    <row r="14" spans="1:7" x14ac:dyDescent="0.25">
      <c r="A14" s="12">
        <v>44215</v>
      </c>
      <c r="B14" s="13">
        <v>1840.28</v>
      </c>
      <c r="C14" s="13">
        <v>1840.2</v>
      </c>
      <c r="D14" s="5">
        <v>7.5176730129387996</v>
      </c>
      <c r="E14" s="5">
        <v>7.5176295403482607</v>
      </c>
      <c r="F14" s="5">
        <v>-5.3238591629956034E-4</v>
      </c>
      <c r="G14" s="5">
        <v>5.6129408146192716E-3</v>
      </c>
    </row>
    <row r="15" spans="1:7" x14ac:dyDescent="0.25">
      <c r="A15" s="12">
        <v>44216</v>
      </c>
      <c r="B15" s="13">
        <v>1871.84</v>
      </c>
      <c r="C15" s="13">
        <v>1866.5</v>
      </c>
      <c r="D15" s="5">
        <v>7.5346771832992916</v>
      </c>
      <c r="E15" s="5">
        <v>7.5318202983546385</v>
      </c>
      <c r="F15" s="5">
        <v>1.7004170360491955E-2</v>
      </c>
      <c r="G15" s="5">
        <v>1.4190758006377813E-2</v>
      </c>
    </row>
    <row r="16" spans="1:7" x14ac:dyDescent="0.25">
      <c r="A16" s="12">
        <v>44217</v>
      </c>
      <c r="B16" s="13">
        <v>1870.02</v>
      </c>
      <c r="C16" s="13">
        <v>1865.9</v>
      </c>
      <c r="D16" s="5">
        <v>7.5337044049786046</v>
      </c>
      <c r="E16" s="5">
        <v>7.5314987894032033</v>
      </c>
      <c r="F16" s="5">
        <v>-9.7277832068698444E-4</v>
      </c>
      <c r="G16" s="5">
        <v>-3.2150895143523428E-4</v>
      </c>
    </row>
    <row r="17" spans="1:7" x14ac:dyDescent="0.25">
      <c r="A17" s="12">
        <v>44218</v>
      </c>
      <c r="B17" s="13">
        <v>1855.61</v>
      </c>
      <c r="C17" s="13">
        <v>1856.2</v>
      </c>
      <c r="D17" s="5">
        <v>7.5259687619555447</v>
      </c>
      <c r="E17" s="5">
        <v>7.5262866661612922</v>
      </c>
      <c r="F17" s="5">
        <v>-7.7356430230599571E-3</v>
      </c>
      <c r="G17" s="5">
        <v>-5.2121232419111152E-3</v>
      </c>
    </row>
    <row r="18" spans="1:7" x14ac:dyDescent="0.25">
      <c r="A18" s="12">
        <v>44221</v>
      </c>
      <c r="B18" s="13">
        <v>1855.93</v>
      </c>
      <c r="C18" s="13">
        <v>1855.2</v>
      </c>
      <c r="D18" s="5">
        <v>7.5261411971176564</v>
      </c>
      <c r="E18" s="5">
        <v>7.5257477859413218</v>
      </c>
      <c r="F18" s="5">
        <v>1.7243516211173926E-4</v>
      </c>
      <c r="G18" s="5">
        <v>-5.3888021997039459E-4</v>
      </c>
    </row>
    <row r="19" spans="1:7" x14ac:dyDescent="0.25">
      <c r="A19" s="12">
        <v>44222</v>
      </c>
      <c r="B19" s="13">
        <v>1850.92</v>
      </c>
      <c r="C19" s="13">
        <v>1850.9</v>
      </c>
      <c r="D19" s="5">
        <v>7.5234380917583463</v>
      </c>
      <c r="E19" s="5">
        <v>7.5234272862626712</v>
      </c>
      <c r="F19" s="5">
        <v>-2.7031053593100651E-3</v>
      </c>
      <c r="G19" s="5">
        <v>-2.3204996786505561E-3</v>
      </c>
    </row>
    <row r="20" spans="1:7" x14ac:dyDescent="0.25">
      <c r="A20" s="12">
        <v>44223</v>
      </c>
      <c r="B20" s="13">
        <v>1843.98</v>
      </c>
      <c r="C20" s="13">
        <v>1844.9</v>
      </c>
      <c r="D20" s="5">
        <v>7.5196815580707366</v>
      </c>
      <c r="E20" s="5">
        <v>7.5201803544637196</v>
      </c>
      <c r="F20" s="5">
        <v>-3.7565336876097533E-3</v>
      </c>
      <c r="G20" s="5">
        <v>-3.2469317989516355E-3</v>
      </c>
    </row>
    <row r="21" spans="1:7" x14ac:dyDescent="0.25">
      <c r="A21" s="12">
        <v>44224</v>
      </c>
      <c r="B21" s="13">
        <v>1843.17</v>
      </c>
      <c r="C21" s="13">
        <v>1837.9</v>
      </c>
      <c r="D21" s="5">
        <v>7.5192421943274494</v>
      </c>
      <c r="E21" s="5">
        <v>7.516378894471428</v>
      </c>
      <c r="F21" s="5">
        <v>-4.3936374328712446E-4</v>
      </c>
      <c r="G21" s="5">
        <v>-3.8014599922915338E-3</v>
      </c>
    </row>
    <row r="22" spans="1:7" x14ac:dyDescent="0.25">
      <c r="A22" s="12">
        <v>44225</v>
      </c>
      <c r="B22" s="13">
        <v>1847.65</v>
      </c>
      <c r="C22" s="13">
        <v>1847.3</v>
      </c>
      <c r="D22" s="5">
        <v>7.5216698403249387</v>
      </c>
      <c r="E22" s="5">
        <v>7.5214803925645919</v>
      </c>
      <c r="F22" s="5">
        <v>2.4276459974892362E-3</v>
      </c>
      <c r="G22" s="5">
        <v>5.1014980931638476E-3</v>
      </c>
    </row>
    <row r="23" spans="1:7" x14ac:dyDescent="0.25">
      <c r="A23" s="12">
        <v>44228</v>
      </c>
      <c r="B23" s="13">
        <v>1860.78</v>
      </c>
      <c r="C23" s="13">
        <v>1860.8</v>
      </c>
      <c r="D23" s="5">
        <v>7.5287510336412913</v>
      </c>
      <c r="E23" s="5">
        <v>7.5287617817644001</v>
      </c>
      <c r="F23" s="5">
        <v>7.0811933163525964E-3</v>
      </c>
      <c r="G23" s="5">
        <v>7.2813891998082525E-3</v>
      </c>
    </row>
    <row r="24" spans="1:7" x14ac:dyDescent="0.25">
      <c r="A24" s="12">
        <v>44229</v>
      </c>
      <c r="B24" s="13">
        <v>1838.03</v>
      </c>
      <c r="C24" s="13">
        <v>1830.5</v>
      </c>
      <c r="D24" s="5">
        <v>7.5164496248716564</v>
      </c>
      <c r="E24" s="5">
        <v>7.5123444325602913</v>
      </c>
      <c r="F24" s="5">
        <v>-1.2301408769634925E-2</v>
      </c>
      <c r="G24" s="5">
        <v>-1.6417349204108866E-2</v>
      </c>
    </row>
    <row r="25" spans="1:7" x14ac:dyDescent="0.25">
      <c r="A25" s="12">
        <v>44230</v>
      </c>
      <c r="B25" s="13">
        <v>1834.04</v>
      </c>
      <c r="C25" s="13">
        <v>1832.2</v>
      </c>
      <c r="D25" s="5">
        <v>7.5142764628293879</v>
      </c>
      <c r="E25" s="5">
        <v>7.5132727095811083</v>
      </c>
      <c r="F25" s="5">
        <v>-2.1731620422684728E-3</v>
      </c>
      <c r="G25" s="5">
        <v>9.2827702081699215E-4</v>
      </c>
    </row>
    <row r="26" spans="1:7" x14ac:dyDescent="0.25">
      <c r="A26" s="12">
        <v>44231</v>
      </c>
      <c r="B26" s="13">
        <v>1794.03</v>
      </c>
      <c r="C26" s="13">
        <v>1788.9</v>
      </c>
      <c r="D26" s="5">
        <v>7.4922197648869506</v>
      </c>
      <c r="E26" s="5">
        <v>7.4893561847971704</v>
      </c>
      <c r="F26" s="5">
        <v>-2.2056697942437253E-2</v>
      </c>
      <c r="G26" s="5">
        <v>-2.3916524783937909E-2</v>
      </c>
    </row>
    <row r="27" spans="1:7" x14ac:dyDescent="0.25">
      <c r="A27" s="12">
        <v>44232</v>
      </c>
      <c r="B27" s="13">
        <v>1814.11</v>
      </c>
      <c r="C27" s="13">
        <v>1810.9</v>
      </c>
      <c r="D27" s="5">
        <v>7.5033502683073658</v>
      </c>
      <c r="E27" s="5">
        <v>7.501579238247297</v>
      </c>
      <c r="F27" s="5">
        <v>1.1130503420415216E-2</v>
      </c>
      <c r="G27" s="5">
        <v>1.2223053450126642E-2</v>
      </c>
    </row>
    <row r="28" spans="1:7" x14ac:dyDescent="0.25">
      <c r="A28" s="12">
        <v>44235</v>
      </c>
      <c r="B28" s="13">
        <v>1830.81</v>
      </c>
      <c r="C28" s="13">
        <v>1831.9</v>
      </c>
      <c r="D28" s="5">
        <v>7.5125137708576437</v>
      </c>
      <c r="E28" s="5">
        <v>7.5131089585914133</v>
      </c>
      <c r="F28" s="5">
        <v>9.1635025502778689E-3</v>
      </c>
      <c r="G28" s="5">
        <v>1.1529720344116257E-2</v>
      </c>
    </row>
    <row r="29" spans="1:7" x14ac:dyDescent="0.25">
      <c r="A29" s="12">
        <v>44236</v>
      </c>
      <c r="B29" s="13">
        <v>1838.32</v>
      </c>
      <c r="C29" s="13">
        <v>1835.3</v>
      </c>
      <c r="D29" s="5">
        <v>7.5166073900466808</v>
      </c>
      <c r="E29" s="5">
        <v>7.5149632348644264</v>
      </c>
      <c r="F29" s="5">
        <v>4.0936191890370566E-3</v>
      </c>
      <c r="G29" s="5">
        <v>1.8542762730131557E-3</v>
      </c>
    </row>
    <row r="30" spans="1:7" x14ac:dyDescent="0.25">
      <c r="A30" s="12">
        <v>44237</v>
      </c>
      <c r="B30" s="13">
        <v>1842.89</v>
      </c>
      <c r="C30" s="13">
        <v>1840.6</v>
      </c>
      <c r="D30" s="5">
        <v>7.5190902705928719</v>
      </c>
      <c r="E30" s="5">
        <v>7.5178468844047561</v>
      </c>
      <c r="F30" s="5">
        <v>2.4828805461911685E-3</v>
      </c>
      <c r="G30" s="5">
        <v>2.8836495403297135E-3</v>
      </c>
    </row>
    <row r="31" spans="1:7" x14ac:dyDescent="0.25">
      <c r="A31" s="12">
        <v>44238</v>
      </c>
      <c r="B31" s="13">
        <v>1825.51</v>
      </c>
      <c r="C31" s="13">
        <v>1824.9</v>
      </c>
      <c r="D31" s="5">
        <v>7.5096146790319338</v>
      </c>
      <c r="E31" s="5">
        <v>7.5092804699947697</v>
      </c>
      <c r="F31" s="5">
        <v>-9.4755915609381347E-3</v>
      </c>
      <c r="G31" s="5">
        <v>-8.5664144099864004E-3</v>
      </c>
    </row>
    <row r="32" spans="1:7" x14ac:dyDescent="0.25">
      <c r="A32" s="12">
        <v>44239</v>
      </c>
      <c r="B32" s="13">
        <v>1824.23</v>
      </c>
      <c r="C32" s="13">
        <v>1821.6</v>
      </c>
      <c r="D32" s="5">
        <v>7.5089132591760102</v>
      </c>
      <c r="E32" s="5">
        <v>7.5074705147495298</v>
      </c>
      <c r="F32" s="5">
        <v>-7.014198559236462E-4</v>
      </c>
      <c r="G32" s="5">
        <v>-1.8099552452399692E-3</v>
      </c>
    </row>
    <row r="33" spans="1:7" x14ac:dyDescent="0.25">
      <c r="A33" s="12">
        <v>44242</v>
      </c>
      <c r="B33" s="13">
        <v>1818.86</v>
      </c>
      <c r="C33" s="13">
        <v>1821.6</v>
      </c>
      <c r="D33" s="5">
        <v>7.505965210190551</v>
      </c>
      <c r="E33" s="5">
        <v>7.5074705147495298</v>
      </c>
      <c r="F33" s="5">
        <v>-2.9480489854591951E-3</v>
      </c>
      <c r="G33" s="5">
        <v>0</v>
      </c>
    </row>
    <row r="34" spans="1:7" x14ac:dyDescent="0.25">
      <c r="A34" s="12">
        <v>44243</v>
      </c>
      <c r="B34" s="13">
        <v>1794.47</v>
      </c>
      <c r="C34" s="13">
        <v>1797.2</v>
      </c>
      <c r="D34" s="5">
        <v>7.4924649926992419</v>
      </c>
      <c r="E34" s="5">
        <v>7.4939851771960049</v>
      </c>
      <c r="F34" s="5">
        <v>-1.350021749130903E-2</v>
      </c>
      <c r="G34" s="5">
        <v>-1.3485337553524879E-2</v>
      </c>
    </row>
    <row r="35" spans="1:7" x14ac:dyDescent="0.25">
      <c r="A35" s="12">
        <v>44244</v>
      </c>
      <c r="B35" s="13">
        <v>1776.13</v>
      </c>
      <c r="C35" s="13">
        <v>1771.1</v>
      </c>
      <c r="D35" s="5">
        <v>7.4821921190714562</v>
      </c>
      <c r="E35" s="5">
        <v>7.4793561014625869</v>
      </c>
      <c r="F35" s="5">
        <v>-1.0272873627785728E-2</v>
      </c>
      <c r="G35" s="5">
        <v>-1.4629075733417984E-2</v>
      </c>
    </row>
    <row r="36" spans="1:7" x14ac:dyDescent="0.25">
      <c r="A36" s="12">
        <v>44245</v>
      </c>
      <c r="B36" s="13">
        <v>1775.67</v>
      </c>
      <c r="C36" s="13">
        <v>1773.4</v>
      </c>
      <c r="D36" s="5">
        <v>7.4819330954763368</v>
      </c>
      <c r="E36" s="5">
        <v>7.4806538869459063</v>
      </c>
      <c r="F36" s="5">
        <v>-2.5902359511942308E-4</v>
      </c>
      <c r="G36" s="5">
        <v>1.2977854833193803E-3</v>
      </c>
    </row>
    <row r="37" spans="1:7" x14ac:dyDescent="0.25">
      <c r="A37" s="12">
        <v>44246</v>
      </c>
      <c r="B37" s="13">
        <v>1784.25</v>
      </c>
      <c r="C37" s="13">
        <v>1775.8</v>
      </c>
      <c r="D37" s="5">
        <v>7.4867534378511769</v>
      </c>
      <c r="E37" s="5">
        <v>7.4820063045982268</v>
      </c>
      <c r="F37" s="5">
        <v>4.8203423748400809E-3</v>
      </c>
      <c r="G37" s="5">
        <v>1.3524176523205256E-3</v>
      </c>
    </row>
    <row r="38" spans="1:7" x14ac:dyDescent="0.25">
      <c r="A38" s="12">
        <v>44249</v>
      </c>
      <c r="B38" s="13">
        <v>1809.67</v>
      </c>
      <c r="C38" s="13">
        <v>1806.7</v>
      </c>
      <c r="D38" s="5">
        <v>7.5008997871954906</v>
      </c>
      <c r="E38" s="5">
        <v>7.4992572557798818</v>
      </c>
      <c r="F38" s="5">
        <v>1.4146349344313691E-2</v>
      </c>
      <c r="G38" s="5">
        <v>1.7250951181654983E-2</v>
      </c>
    </row>
    <row r="39" spans="1:7" x14ac:dyDescent="0.25">
      <c r="A39" s="12">
        <v>44250</v>
      </c>
      <c r="B39" s="13">
        <v>1805.73</v>
      </c>
      <c r="C39" s="13">
        <v>1804.4</v>
      </c>
      <c r="D39" s="5">
        <v>7.4987202211393136</v>
      </c>
      <c r="E39" s="5">
        <v>7.4979834055342405</v>
      </c>
      <c r="F39" s="5">
        <v>-2.1795660561769736E-3</v>
      </c>
      <c r="G39" s="5">
        <v>-1.2738502456413059E-3</v>
      </c>
    </row>
    <row r="40" spans="1:7" x14ac:dyDescent="0.25">
      <c r="A40" s="12">
        <v>44251</v>
      </c>
      <c r="B40" s="13">
        <v>1805.06</v>
      </c>
      <c r="C40" s="13">
        <v>1796.4</v>
      </c>
      <c r="D40" s="5">
        <v>7.4983491112117413</v>
      </c>
      <c r="E40" s="5">
        <v>7.4935399412135828</v>
      </c>
      <c r="F40" s="5">
        <v>-3.7110992757227734E-4</v>
      </c>
      <c r="G40" s="5">
        <v>-4.4434643206576752E-3</v>
      </c>
    </row>
    <row r="41" spans="1:7" x14ac:dyDescent="0.25">
      <c r="A41" s="12">
        <v>44252</v>
      </c>
      <c r="B41" s="13">
        <v>1770.56</v>
      </c>
      <c r="C41" s="13">
        <v>1775.4</v>
      </c>
      <c r="D41" s="5">
        <v>7.4790511597097451</v>
      </c>
      <c r="E41" s="5">
        <v>7.4817810286342192</v>
      </c>
      <c r="F41" s="5">
        <v>-1.9297951501996202E-2</v>
      </c>
      <c r="G41" s="5">
        <v>-1.1758912579363567E-2</v>
      </c>
    </row>
    <row r="42" spans="1:7" x14ac:dyDescent="0.25">
      <c r="A42" s="12">
        <v>44253</v>
      </c>
      <c r="B42" s="13">
        <v>1734.04</v>
      </c>
      <c r="C42" s="13">
        <v>1728.8</v>
      </c>
      <c r="D42" s="5">
        <v>7.4582092251251737</v>
      </c>
      <c r="E42" s="5">
        <v>7.4551828051926758</v>
      </c>
      <c r="F42" s="5">
        <v>-2.0841934584571398E-2</v>
      </c>
      <c r="G42" s="5">
        <v>-2.6598223441543389E-2</v>
      </c>
    </row>
    <row r="43" spans="1:7" x14ac:dyDescent="0.25">
      <c r="A43" s="12">
        <v>44256</v>
      </c>
      <c r="B43" s="13">
        <v>1725.04</v>
      </c>
      <c r="C43" s="13">
        <v>1723</v>
      </c>
      <c r="D43" s="5">
        <v>7.4530055176024099</v>
      </c>
      <c r="E43" s="5">
        <v>7.4518222365279296</v>
      </c>
      <c r="F43" s="5">
        <v>-5.2037075227637786E-3</v>
      </c>
      <c r="G43" s="5">
        <v>-3.3605686647462107E-3</v>
      </c>
    </row>
    <row r="44" spans="1:7" x14ac:dyDescent="0.25">
      <c r="A44" s="12">
        <v>44257</v>
      </c>
      <c r="B44" s="13">
        <v>1738.36</v>
      </c>
      <c r="C44" s="13">
        <v>1733.6</v>
      </c>
      <c r="D44" s="5">
        <v>7.4606974190134343</v>
      </c>
      <c r="E44" s="5">
        <v>7.4579554502221495</v>
      </c>
      <c r="F44" s="5">
        <v>7.6919014110243822E-3</v>
      </c>
      <c r="G44" s="5">
        <v>6.133213694219819E-3</v>
      </c>
    </row>
    <row r="45" spans="1:7" x14ac:dyDescent="0.25">
      <c r="A45" s="12">
        <v>44258</v>
      </c>
      <c r="B45" s="13">
        <v>1711.23</v>
      </c>
      <c r="C45" s="13">
        <v>1715.8</v>
      </c>
      <c r="D45" s="5">
        <v>7.4449676891713219</v>
      </c>
      <c r="E45" s="5">
        <v>7.4476347231388651</v>
      </c>
      <c r="F45" s="5">
        <v>-1.5729729842112405E-2</v>
      </c>
      <c r="G45" s="5">
        <v>-1.0320727083284353E-2</v>
      </c>
    </row>
    <row r="46" spans="1:7" x14ac:dyDescent="0.25">
      <c r="A46" s="12">
        <v>44259</v>
      </c>
      <c r="B46" s="13">
        <v>1697.52</v>
      </c>
      <c r="C46" s="13">
        <v>1700.7</v>
      </c>
      <c r="D46" s="5">
        <v>7.4369236413958442</v>
      </c>
      <c r="E46" s="5">
        <v>7.4387952099983679</v>
      </c>
      <c r="F46" s="5">
        <v>-8.0440477754777362E-3</v>
      </c>
      <c r="G46" s="5">
        <v>-8.839513140497246E-3</v>
      </c>
    </row>
    <row r="47" spans="1:7" x14ac:dyDescent="0.25">
      <c r="A47" s="12">
        <v>44260</v>
      </c>
      <c r="B47" s="13">
        <v>1700.64</v>
      </c>
      <c r="C47" s="13">
        <v>1698.5</v>
      </c>
      <c r="D47" s="5">
        <v>7.438759929785272</v>
      </c>
      <c r="E47" s="5">
        <v>7.4375007876006389</v>
      </c>
      <c r="F47" s="5">
        <v>1.8362883894278426E-3</v>
      </c>
      <c r="G47" s="5">
        <v>-1.2944223977289226E-3</v>
      </c>
    </row>
    <row r="48" spans="1:7" x14ac:dyDescent="0.25">
      <c r="A48" s="12">
        <v>44263</v>
      </c>
      <c r="B48" s="13">
        <v>1683.54</v>
      </c>
      <c r="C48" s="13">
        <v>1678</v>
      </c>
      <c r="D48" s="5">
        <v>7.4286539983426243</v>
      </c>
      <c r="E48" s="5">
        <v>7.4253578870271513</v>
      </c>
      <c r="F48" s="5">
        <v>-1.0105931442647709E-2</v>
      </c>
      <c r="G48" s="5">
        <v>-1.2142900573487658E-2</v>
      </c>
    </row>
    <row r="49" spans="1:7" x14ac:dyDescent="0.25">
      <c r="A49" s="12">
        <v>44264</v>
      </c>
      <c r="B49" s="13">
        <v>1716.1</v>
      </c>
      <c r="C49" s="13">
        <v>1716.9</v>
      </c>
      <c r="D49" s="5">
        <v>7.4478095534082573</v>
      </c>
      <c r="E49" s="5">
        <v>7.4482756180831666</v>
      </c>
      <c r="F49" s="5">
        <v>1.9155555065633045E-2</v>
      </c>
      <c r="G49" s="5">
        <v>2.2917731056015356E-2</v>
      </c>
    </row>
    <row r="50" spans="1:7" x14ac:dyDescent="0.25">
      <c r="A50" s="12">
        <v>44265</v>
      </c>
      <c r="B50" s="13">
        <v>1726.71</v>
      </c>
      <c r="C50" s="13">
        <v>1721.8</v>
      </c>
      <c r="D50" s="5">
        <v>7.4539731427956033</v>
      </c>
      <c r="E50" s="5">
        <v>7.4511255342238538</v>
      </c>
      <c r="F50" s="5">
        <v>6.163589387345958E-3</v>
      </c>
      <c r="G50" s="5">
        <v>2.849916140687192E-3</v>
      </c>
    </row>
    <row r="51" spans="1:7" x14ac:dyDescent="0.25">
      <c r="A51" s="12">
        <v>44266</v>
      </c>
      <c r="B51" s="13">
        <v>1722.6</v>
      </c>
      <c r="C51" s="13">
        <v>1722.6</v>
      </c>
      <c r="D51" s="5">
        <v>7.451590056355073</v>
      </c>
      <c r="E51" s="5">
        <v>7.451590056355073</v>
      </c>
      <c r="F51" s="5">
        <v>-2.3830864405303132E-3</v>
      </c>
      <c r="G51" s="5">
        <v>4.6452213121916941E-4</v>
      </c>
    </row>
    <row r="52" spans="1:7" x14ac:dyDescent="0.25">
      <c r="A52" s="12">
        <v>44267</v>
      </c>
      <c r="B52" s="13">
        <v>1727.11</v>
      </c>
      <c r="C52" s="13">
        <v>1719.8</v>
      </c>
      <c r="D52" s="5">
        <v>7.4542047703858003</v>
      </c>
      <c r="E52" s="5">
        <v>7.4499632839767962</v>
      </c>
      <c r="F52" s="5">
        <v>2.6147140307273276E-3</v>
      </c>
      <c r="G52" s="5">
        <v>-1.6267723782767973E-3</v>
      </c>
    </row>
    <row r="53" spans="1:7" x14ac:dyDescent="0.25">
      <c r="A53" s="12">
        <v>44270</v>
      </c>
      <c r="B53" s="13">
        <v>1731.67</v>
      </c>
      <c r="C53" s="13">
        <v>1729.2</v>
      </c>
      <c r="D53" s="5">
        <v>7.4568415397911805</v>
      </c>
      <c r="E53" s="5">
        <v>7.4554141527934767</v>
      </c>
      <c r="F53" s="5">
        <v>2.6367694053801571E-3</v>
      </c>
      <c r="G53" s="5">
        <v>5.4508688166805541E-3</v>
      </c>
    </row>
    <row r="54" spans="1:7" x14ac:dyDescent="0.25">
      <c r="A54" s="12">
        <v>44271</v>
      </c>
      <c r="B54" s="13">
        <v>1731.4</v>
      </c>
      <c r="C54" s="13">
        <v>1730.9</v>
      </c>
      <c r="D54" s="5">
        <v>7.4566856087816733</v>
      </c>
      <c r="E54" s="5">
        <v>7.4563967834323535</v>
      </c>
      <c r="F54" s="5">
        <v>-1.5593100950717087E-4</v>
      </c>
      <c r="G54" s="5">
        <v>9.8263063887671365E-4</v>
      </c>
    </row>
    <row r="55" spans="1:7" x14ac:dyDescent="0.25">
      <c r="A55" s="12">
        <v>44272</v>
      </c>
      <c r="B55" s="13">
        <v>1745.33</v>
      </c>
      <c r="C55" s="13">
        <v>1727.1</v>
      </c>
      <c r="D55" s="5">
        <v>7.4646989285050056</v>
      </c>
      <c r="E55" s="5">
        <v>7.4541989803498732</v>
      </c>
      <c r="F55" s="5">
        <v>8.0133197233323017E-3</v>
      </c>
      <c r="G55" s="5">
        <v>-2.1978030824802985E-3</v>
      </c>
    </row>
    <row r="56" spans="1:7" x14ac:dyDescent="0.25">
      <c r="A56" s="12">
        <v>44273</v>
      </c>
      <c r="B56" s="13">
        <v>1736.42</v>
      </c>
      <c r="C56" s="13">
        <v>1732.5</v>
      </c>
      <c r="D56" s="5">
        <v>7.4595808014424971</v>
      </c>
      <c r="E56" s="5">
        <v>7.4573207310640584</v>
      </c>
      <c r="F56" s="5">
        <v>-5.1181270625084707E-3</v>
      </c>
      <c r="G56" s="5">
        <v>3.1217507141851897E-3</v>
      </c>
    </row>
    <row r="57" spans="1:7" x14ac:dyDescent="0.25">
      <c r="A57" s="12">
        <v>44274</v>
      </c>
      <c r="B57" s="13">
        <v>1745.23</v>
      </c>
      <c r="C57" s="13">
        <v>1741.7</v>
      </c>
      <c r="D57" s="5">
        <v>7.4646416311085844</v>
      </c>
      <c r="E57" s="5">
        <v>7.4626169267377396</v>
      </c>
      <c r="F57" s="5">
        <v>5.0608296660872298E-3</v>
      </c>
      <c r="G57" s="5">
        <v>5.2961956736812255E-3</v>
      </c>
    </row>
    <row r="58" spans="1:7" x14ac:dyDescent="0.25">
      <c r="A58" s="12">
        <v>44277</v>
      </c>
      <c r="B58" s="13">
        <v>1739.03</v>
      </c>
      <c r="C58" s="13">
        <v>1738.1</v>
      </c>
      <c r="D58" s="5">
        <v>7.4610827654993281</v>
      </c>
      <c r="E58" s="5">
        <v>7.4605478415694337</v>
      </c>
      <c r="F58" s="5">
        <v>-3.5588656092562232E-3</v>
      </c>
      <c r="G58" s="5">
        <v>-2.0690851683058398E-3</v>
      </c>
    </row>
    <row r="59" spans="1:7" x14ac:dyDescent="0.25">
      <c r="A59" s="12">
        <v>44278</v>
      </c>
      <c r="B59" s="13">
        <v>1727.07</v>
      </c>
      <c r="C59" s="13">
        <v>1725.1</v>
      </c>
      <c r="D59" s="5">
        <v>7.4541816100409424</v>
      </c>
      <c r="E59" s="5">
        <v>7.4530402987996984</v>
      </c>
      <c r="F59" s="5">
        <v>-6.9011554583857659E-3</v>
      </c>
      <c r="G59" s="5">
        <v>-7.5075427697353092E-3</v>
      </c>
    </row>
    <row r="60" spans="1:7" x14ac:dyDescent="0.25">
      <c r="A60" s="12">
        <v>44279</v>
      </c>
      <c r="B60" s="13">
        <v>1734.69</v>
      </c>
      <c r="C60" s="13">
        <v>1733.2</v>
      </c>
      <c r="D60" s="5">
        <v>7.4585840020652112</v>
      </c>
      <c r="E60" s="5">
        <v>7.4577246898657545</v>
      </c>
      <c r="F60" s="5">
        <v>4.4023920242688419E-3</v>
      </c>
      <c r="G60" s="5">
        <v>4.684391066056115E-3</v>
      </c>
    </row>
    <row r="61" spans="1:7" x14ac:dyDescent="0.25">
      <c r="A61" s="12">
        <v>44280</v>
      </c>
      <c r="B61" s="13">
        <v>1726.93</v>
      </c>
      <c r="C61" s="13">
        <v>1725.1</v>
      </c>
      <c r="D61" s="5">
        <v>7.4541005446095143</v>
      </c>
      <c r="E61" s="5">
        <v>7.4530402987996984</v>
      </c>
      <c r="F61" s="5">
        <v>-4.4834574556968931E-3</v>
      </c>
      <c r="G61" s="5">
        <v>-4.684391066056115E-3</v>
      </c>
    </row>
    <row r="62" spans="1:7" x14ac:dyDescent="0.25">
      <c r="A62" s="12">
        <v>44281</v>
      </c>
      <c r="B62" s="13">
        <v>1732.52</v>
      </c>
      <c r="C62" s="13">
        <v>1732.3</v>
      </c>
      <c r="D62" s="5">
        <v>7.4573322750089703</v>
      </c>
      <c r="E62" s="5">
        <v>7.4572052842848953</v>
      </c>
      <c r="F62" s="5">
        <v>3.231730399456012E-3</v>
      </c>
      <c r="G62" s="5">
        <v>4.1649854851968371E-3</v>
      </c>
    </row>
    <row r="63" spans="1:7" x14ac:dyDescent="0.25">
      <c r="A63" s="12">
        <v>44284</v>
      </c>
      <c r="B63" s="13">
        <v>1712.2</v>
      </c>
      <c r="C63" s="13">
        <v>1712.2</v>
      </c>
      <c r="D63" s="5">
        <v>7.4455343723083853</v>
      </c>
      <c r="E63" s="5">
        <v>7.4455343723083853</v>
      </c>
      <c r="F63" s="5">
        <v>-1.1797902700585006E-2</v>
      </c>
      <c r="G63" s="5">
        <v>-1.1670911976509935E-2</v>
      </c>
    </row>
    <row r="64" spans="1:7" x14ac:dyDescent="0.25">
      <c r="A64" s="12">
        <v>44285</v>
      </c>
      <c r="B64" s="13">
        <v>1685.2</v>
      </c>
      <c r="C64" s="13">
        <v>1683.9</v>
      </c>
      <c r="D64" s="5">
        <v>7.4296395301048612</v>
      </c>
      <c r="E64" s="5">
        <v>7.4288678106162633</v>
      </c>
      <c r="F64" s="5">
        <v>-1.5894842203524107E-2</v>
      </c>
      <c r="G64" s="5">
        <v>-1.6666561692121995E-2</v>
      </c>
    </row>
    <row r="65" spans="1:7" x14ac:dyDescent="0.25">
      <c r="A65" s="12">
        <v>44286</v>
      </c>
      <c r="B65" s="13">
        <v>1707.71</v>
      </c>
      <c r="C65" s="13">
        <v>1713.8</v>
      </c>
      <c r="D65" s="5">
        <v>7.4429085707055265</v>
      </c>
      <c r="E65" s="5">
        <v>7.4464684062350184</v>
      </c>
      <c r="F65" s="5">
        <v>1.3269040600665249E-2</v>
      </c>
      <c r="G65" s="5">
        <v>1.7600595618755044E-2</v>
      </c>
    </row>
    <row r="66" spans="1:7" x14ac:dyDescent="0.25">
      <c r="A66" s="12">
        <v>44287</v>
      </c>
      <c r="B66" s="13">
        <v>1729.31</v>
      </c>
      <c r="C66" s="13">
        <v>1726.5</v>
      </c>
      <c r="D66" s="5">
        <v>7.4554777640017926</v>
      </c>
      <c r="E66" s="5">
        <v>7.4538515168300474</v>
      </c>
      <c r="F66" s="5">
        <v>1.2569193296266157E-2</v>
      </c>
      <c r="G66" s="5">
        <v>7.3831105950290521E-3</v>
      </c>
    </row>
    <row r="67" spans="1:7" x14ac:dyDescent="0.25">
      <c r="A67" s="12">
        <v>44288</v>
      </c>
      <c r="B67" s="13">
        <v>1728.87</v>
      </c>
      <c r="C67" s="13">
        <v>1726.5</v>
      </c>
      <c r="D67" s="5">
        <v>7.4552232948866086</v>
      </c>
      <c r="E67" s="5">
        <v>7.4538515168300474</v>
      </c>
      <c r="F67" s="5">
        <v>-2.5446911518400839E-4</v>
      </c>
      <c r="G67" s="5">
        <v>0</v>
      </c>
    </row>
    <row r="68" spans="1:7" x14ac:dyDescent="0.25">
      <c r="A68" s="12">
        <v>44291</v>
      </c>
      <c r="B68" s="13">
        <v>1728.27</v>
      </c>
      <c r="C68" s="13">
        <v>1727</v>
      </c>
      <c r="D68" s="5">
        <v>7.4548761871582414</v>
      </c>
      <c r="E68" s="5">
        <v>7.4541410781466784</v>
      </c>
      <c r="F68" s="5">
        <v>-3.4710772836721304E-4</v>
      </c>
      <c r="G68" s="5">
        <v>2.8956131663093743E-4</v>
      </c>
    </row>
    <row r="69" spans="1:7" x14ac:dyDescent="0.25">
      <c r="A69" s="12">
        <v>44292</v>
      </c>
      <c r="B69" s="13">
        <v>1743.27</v>
      </c>
      <c r="C69" s="13">
        <v>1741.5</v>
      </c>
      <c r="D69" s="5">
        <v>7.4635179388590567</v>
      </c>
      <c r="E69" s="5">
        <v>7.4625020898060557</v>
      </c>
      <c r="F69" s="5">
        <v>8.64175170081527E-3</v>
      </c>
      <c r="G69" s="5">
        <v>8.3610116593773043E-3</v>
      </c>
    </row>
    <row r="70" spans="1:7" x14ac:dyDescent="0.25">
      <c r="A70" s="12">
        <v>44293</v>
      </c>
      <c r="B70" s="13">
        <v>1737.72</v>
      </c>
      <c r="C70" s="13">
        <v>1740.1</v>
      </c>
      <c r="D70" s="5">
        <v>7.4603291881285116</v>
      </c>
      <c r="E70" s="5">
        <v>7.4616978618215324</v>
      </c>
      <c r="F70" s="5">
        <v>-3.1887507305450313E-3</v>
      </c>
      <c r="G70" s="5">
        <v>-8.0422798452328692E-4</v>
      </c>
    </row>
    <row r="71" spans="1:7" x14ac:dyDescent="0.25">
      <c r="A71" s="12">
        <v>44294</v>
      </c>
      <c r="B71" s="13">
        <v>1755.84</v>
      </c>
      <c r="C71" s="13">
        <v>1756.8</v>
      </c>
      <c r="D71" s="5">
        <v>7.4707026538706103</v>
      </c>
      <c r="E71" s="5">
        <v>7.4712492513152116</v>
      </c>
      <c r="F71" s="5">
        <v>1.0373465742098631E-2</v>
      </c>
      <c r="G71" s="5">
        <v>9.5513894936791743E-3</v>
      </c>
    </row>
    <row r="72" spans="1:7" x14ac:dyDescent="0.25">
      <c r="A72" s="12">
        <v>44295</v>
      </c>
      <c r="B72" s="13">
        <v>1743.88</v>
      </c>
      <c r="C72" s="13">
        <v>1743.3</v>
      </c>
      <c r="D72" s="5">
        <v>7.4638677947621419</v>
      </c>
      <c r="E72" s="5">
        <v>7.4635351477491696</v>
      </c>
      <c r="F72" s="5">
        <v>-6.8348591084683719E-3</v>
      </c>
      <c r="G72" s="5">
        <v>-7.7141035660419632E-3</v>
      </c>
    </row>
    <row r="73" spans="1:7" x14ac:dyDescent="0.25">
      <c r="A73" s="12">
        <v>44298</v>
      </c>
      <c r="B73" s="13">
        <v>1732.76</v>
      </c>
      <c r="C73" s="13">
        <v>1731.2</v>
      </c>
      <c r="D73" s="5">
        <v>7.4574707919544316</v>
      </c>
      <c r="E73" s="5">
        <v>7.4565700886521622</v>
      </c>
      <c r="F73" s="5">
        <v>-6.3970028077102725E-3</v>
      </c>
      <c r="G73" s="5">
        <v>-6.9650590970073978E-3</v>
      </c>
    </row>
    <row r="74" spans="1:7" x14ac:dyDescent="0.25">
      <c r="A74" s="12">
        <v>44299</v>
      </c>
      <c r="B74" s="13">
        <v>1745.51</v>
      </c>
      <c r="C74" s="13">
        <v>1746.2</v>
      </c>
      <c r="D74" s="5">
        <v>7.4648020555461532</v>
      </c>
      <c r="E74" s="5">
        <v>7.4651972773767072</v>
      </c>
      <c r="F74" s="5">
        <v>7.3312635917215374E-3</v>
      </c>
      <c r="G74" s="5">
        <v>8.6271887245450429E-3</v>
      </c>
    </row>
    <row r="75" spans="1:7" x14ac:dyDescent="0.25">
      <c r="A75" s="12">
        <v>44300</v>
      </c>
      <c r="B75" s="13">
        <v>1736.43</v>
      </c>
      <c r="C75" s="13">
        <v>1734.9</v>
      </c>
      <c r="D75" s="5">
        <v>7.4595865604012772</v>
      </c>
      <c r="E75" s="5">
        <v>7.4587050538322819</v>
      </c>
      <c r="F75" s="5">
        <v>-5.215495144875959E-3</v>
      </c>
      <c r="G75" s="5">
        <v>-6.4922235444253573E-3</v>
      </c>
    </row>
    <row r="76" spans="1:7" x14ac:dyDescent="0.25">
      <c r="A76" s="12">
        <v>44301</v>
      </c>
      <c r="B76" s="13">
        <v>1763.95</v>
      </c>
      <c r="C76" s="13">
        <v>1765.4</v>
      </c>
      <c r="D76" s="5">
        <v>7.4753108914938169</v>
      </c>
      <c r="E76" s="5">
        <v>7.476132572586133</v>
      </c>
      <c r="F76" s="5">
        <v>1.5724331092539678E-2</v>
      </c>
      <c r="G76" s="5">
        <v>1.7427518753851068E-2</v>
      </c>
    </row>
    <row r="77" spans="1:7" x14ac:dyDescent="0.25">
      <c r="A77" s="12">
        <v>44302</v>
      </c>
      <c r="B77" s="13">
        <v>1776.51</v>
      </c>
      <c r="C77" s="13">
        <v>1779</v>
      </c>
      <c r="D77" s="5">
        <v>7.4824060444911158</v>
      </c>
      <c r="E77" s="5">
        <v>7.4838066876658349</v>
      </c>
      <c r="F77" s="5">
        <v>7.0951529972989036E-3</v>
      </c>
      <c r="G77" s="5">
        <v>7.6741150797019486E-3</v>
      </c>
    </row>
    <row r="78" spans="1:7" x14ac:dyDescent="0.25">
      <c r="A78" s="12">
        <v>44305</v>
      </c>
      <c r="B78" s="13">
        <v>1771.43</v>
      </c>
      <c r="C78" s="13">
        <v>1769.4</v>
      </c>
      <c r="D78" s="5">
        <v>7.4795424089891025</v>
      </c>
      <c r="E78" s="5">
        <v>7.4783957850492859</v>
      </c>
      <c r="F78" s="5">
        <v>-2.8636355020132953E-3</v>
      </c>
      <c r="G78" s="5">
        <v>-5.4109026165489738E-3</v>
      </c>
    </row>
    <row r="79" spans="1:7" x14ac:dyDescent="0.25">
      <c r="A79" s="12">
        <v>44306</v>
      </c>
      <c r="B79" s="13">
        <v>1778.75</v>
      </c>
      <c r="C79" s="13">
        <v>1777.3</v>
      </c>
      <c r="D79" s="5">
        <v>7.4836661494040619</v>
      </c>
      <c r="E79" s="5">
        <v>7.4828506377659458</v>
      </c>
      <c r="F79" s="5">
        <v>4.1237404149594425E-3</v>
      </c>
      <c r="G79" s="5">
        <v>4.4548527166599072E-3</v>
      </c>
    </row>
    <row r="80" spans="1:7" x14ac:dyDescent="0.25">
      <c r="A80" s="12">
        <v>44307</v>
      </c>
      <c r="B80" s="13">
        <v>1793.79</v>
      </c>
      <c r="C80" s="13">
        <v>1792.3</v>
      </c>
      <c r="D80" s="5">
        <v>7.4920859789108656</v>
      </c>
      <c r="E80" s="5">
        <v>7.491254990237552</v>
      </c>
      <c r="F80" s="5">
        <v>8.4198295068036444E-3</v>
      </c>
      <c r="G80" s="5">
        <v>8.4043524716062024E-3</v>
      </c>
    </row>
    <row r="81" spans="1:7" x14ac:dyDescent="0.25">
      <c r="A81" s="12">
        <v>44308</v>
      </c>
      <c r="B81" s="13">
        <v>1783.94</v>
      </c>
      <c r="C81" s="13">
        <v>1781.2</v>
      </c>
      <c r="D81" s="5">
        <v>7.486579680287381</v>
      </c>
      <c r="E81" s="5">
        <v>7.4850425734475472</v>
      </c>
      <c r="F81" s="5">
        <v>-5.5062986234846178E-3</v>
      </c>
      <c r="G81" s="5">
        <v>-6.2124167900048377E-3</v>
      </c>
    </row>
    <row r="82" spans="1:7" x14ac:dyDescent="0.25">
      <c r="A82" s="12">
        <v>44309</v>
      </c>
      <c r="B82" s="13">
        <v>1777.2</v>
      </c>
      <c r="C82" s="13">
        <v>1777</v>
      </c>
      <c r="D82" s="5">
        <v>7.482794371061753</v>
      </c>
      <c r="E82" s="5">
        <v>7.482681828154651</v>
      </c>
      <c r="F82" s="5">
        <v>-3.7853092256279197E-3</v>
      </c>
      <c r="G82" s="5">
        <v>-2.3607452928962047E-3</v>
      </c>
    </row>
    <row r="83" spans="1:7" x14ac:dyDescent="0.25">
      <c r="A83" s="12">
        <v>44312</v>
      </c>
      <c r="B83" s="13">
        <v>1781.38</v>
      </c>
      <c r="C83" s="13">
        <v>1779.2</v>
      </c>
      <c r="D83" s="5">
        <v>7.4851436238100115</v>
      </c>
      <c r="E83" s="5">
        <v>7.4839191040562634</v>
      </c>
      <c r="F83" s="5">
        <v>2.3492527482584791E-3</v>
      </c>
      <c r="G83" s="5">
        <v>1.237275901612378E-3</v>
      </c>
    </row>
    <row r="84" spans="1:7" x14ac:dyDescent="0.25">
      <c r="A84" s="12">
        <v>44313</v>
      </c>
      <c r="B84" s="13">
        <v>1776.6</v>
      </c>
      <c r="C84" s="13">
        <v>1778</v>
      </c>
      <c r="D84" s="5">
        <v>7.4824567043356005</v>
      </c>
      <c r="E84" s="5">
        <v>7.48324441607385</v>
      </c>
      <c r="F84" s="5">
        <v>-2.6869194744110203E-3</v>
      </c>
      <c r="G84" s="5">
        <v>-6.7468798241332451E-4</v>
      </c>
    </row>
    <row r="85" spans="1:7" x14ac:dyDescent="0.25">
      <c r="A85" s="12">
        <v>44314</v>
      </c>
      <c r="B85" s="13">
        <v>1781.68</v>
      </c>
      <c r="C85" s="13">
        <v>1773.2</v>
      </c>
      <c r="D85" s="5">
        <v>7.4853120183925936</v>
      </c>
      <c r="E85" s="5">
        <v>7.4805411028708981</v>
      </c>
      <c r="F85" s="5">
        <v>2.8553140569931301E-3</v>
      </c>
      <c r="G85" s="5">
        <v>-2.703313202951918E-3</v>
      </c>
    </row>
    <row r="86" spans="1:7" x14ac:dyDescent="0.25">
      <c r="A86" s="12">
        <v>44315</v>
      </c>
      <c r="B86" s="13">
        <v>1772.18</v>
      </c>
      <c r="C86" s="13">
        <v>1768.3</v>
      </c>
      <c r="D86" s="5">
        <v>7.4799657061415541</v>
      </c>
      <c r="E86" s="5">
        <v>7.4777739120609317</v>
      </c>
      <c r="F86" s="5">
        <v>-5.3463122510395422E-3</v>
      </c>
      <c r="G86" s="5">
        <v>-2.7671908099664577E-3</v>
      </c>
    </row>
    <row r="87" spans="1:7" x14ac:dyDescent="0.25">
      <c r="A87" s="12">
        <v>44316</v>
      </c>
      <c r="B87" s="13">
        <v>1769.13</v>
      </c>
      <c r="C87" s="13">
        <v>1767.7</v>
      </c>
      <c r="D87" s="5">
        <v>7.4782431793059265</v>
      </c>
      <c r="E87" s="5">
        <v>7.4774345455418372</v>
      </c>
      <c r="F87" s="5">
        <v>-1.7225268356275691E-3</v>
      </c>
      <c r="G87" s="5">
        <v>-3.3936651909449722E-4</v>
      </c>
    </row>
    <row r="88" spans="1:7" x14ac:dyDescent="0.25">
      <c r="A88" s="12">
        <v>44319</v>
      </c>
      <c r="B88" s="13">
        <v>1792.88</v>
      </c>
      <c r="C88" s="13">
        <v>1791.8</v>
      </c>
      <c r="D88" s="5">
        <v>7.4915785444273331</v>
      </c>
      <c r="E88" s="5">
        <v>7.4909759801634781</v>
      </c>
      <c r="F88" s="5">
        <v>1.3335365121406539E-2</v>
      </c>
      <c r="G88" s="5">
        <v>1.3541434621640924E-2</v>
      </c>
    </row>
    <row r="89" spans="1:7" x14ac:dyDescent="0.25">
      <c r="A89" s="12">
        <v>44320</v>
      </c>
      <c r="B89" s="13">
        <v>1779.06</v>
      </c>
      <c r="C89" s="13">
        <v>1776</v>
      </c>
      <c r="D89" s="5">
        <v>7.4838404139099151</v>
      </c>
      <c r="E89" s="5">
        <v>7.4821189235521155</v>
      </c>
      <c r="F89" s="5">
        <v>-7.7381305174180071E-3</v>
      </c>
      <c r="G89" s="5">
        <v>-8.8570566113626015E-3</v>
      </c>
    </row>
    <row r="90" spans="1:7" x14ac:dyDescent="0.25">
      <c r="A90" s="12">
        <v>44321</v>
      </c>
      <c r="B90" s="13">
        <v>1786.87</v>
      </c>
      <c r="C90" s="13">
        <v>1784.3</v>
      </c>
      <c r="D90" s="5">
        <v>7.4882207648914791</v>
      </c>
      <c r="E90" s="5">
        <v>7.486781460437383</v>
      </c>
      <c r="F90" s="5">
        <v>4.3803509815640851E-3</v>
      </c>
      <c r="G90" s="5">
        <v>4.6625368852675209E-3</v>
      </c>
    </row>
    <row r="91" spans="1:7" x14ac:dyDescent="0.25">
      <c r="A91" s="12">
        <v>44322</v>
      </c>
      <c r="B91" s="13">
        <v>1815.22</v>
      </c>
      <c r="C91" s="13">
        <v>1815.7</v>
      </c>
      <c r="D91" s="5">
        <v>7.5039619514745679</v>
      </c>
      <c r="E91" s="5">
        <v>7.5042263472766217</v>
      </c>
      <c r="F91" s="5">
        <v>1.5741186583088762E-2</v>
      </c>
      <c r="G91" s="5">
        <v>1.7444886839238727E-2</v>
      </c>
    </row>
    <row r="92" spans="1:7" x14ac:dyDescent="0.25">
      <c r="A92" s="12">
        <v>44323</v>
      </c>
      <c r="B92" s="13">
        <v>1831.24</v>
      </c>
      <c r="C92" s="13">
        <v>1831.3</v>
      </c>
      <c r="D92" s="5">
        <v>7.5127486119996139</v>
      </c>
      <c r="E92" s="5">
        <v>7.5127813761469033</v>
      </c>
      <c r="F92" s="5">
        <v>8.7866605250459529E-3</v>
      </c>
      <c r="G92" s="5">
        <v>8.5550288702815891E-3</v>
      </c>
    </row>
    <row r="93" spans="1:7" x14ac:dyDescent="0.25">
      <c r="A93" s="12">
        <v>44326</v>
      </c>
      <c r="B93" s="13">
        <v>1836.07</v>
      </c>
      <c r="C93" s="13">
        <v>1837.6</v>
      </c>
      <c r="D93" s="5">
        <v>7.5153826968153004</v>
      </c>
      <c r="E93" s="5">
        <v>7.5162156513748881</v>
      </c>
      <c r="F93" s="5">
        <v>2.6340848156864993E-3</v>
      </c>
      <c r="G93" s="5">
        <v>3.4342752279847844E-3</v>
      </c>
    </row>
    <row r="94" spans="1:7" x14ac:dyDescent="0.25">
      <c r="A94" s="12">
        <v>44327</v>
      </c>
      <c r="B94" s="13">
        <v>1837.47</v>
      </c>
      <c r="C94" s="13">
        <v>1836.1</v>
      </c>
      <c r="D94" s="5">
        <v>7.5161449044231006</v>
      </c>
      <c r="E94" s="5">
        <v>7.5153990359281408</v>
      </c>
      <c r="F94" s="5">
        <v>7.6220760780021379E-4</v>
      </c>
      <c r="G94" s="5">
        <v>-8.1661544674727082E-4</v>
      </c>
    </row>
    <row r="95" spans="1:7" x14ac:dyDescent="0.25">
      <c r="A95" s="12">
        <v>44328</v>
      </c>
      <c r="B95" s="13">
        <v>1815.69</v>
      </c>
      <c r="C95" s="13">
        <v>1822.8</v>
      </c>
      <c r="D95" s="5">
        <v>7.5042208397436934</v>
      </c>
      <c r="E95" s="5">
        <v>7.5081290593897272</v>
      </c>
      <c r="F95" s="5">
        <v>-1.1924064679407209E-2</v>
      </c>
      <c r="G95" s="5">
        <v>-7.2699765384136583E-3</v>
      </c>
    </row>
    <row r="96" spans="1:7" x14ac:dyDescent="0.25">
      <c r="A96" s="12">
        <v>44329</v>
      </c>
      <c r="B96" s="13">
        <v>1826.72</v>
      </c>
      <c r="C96" s="13">
        <v>1824</v>
      </c>
      <c r="D96" s="5">
        <v>7.5102772879280169</v>
      </c>
      <c r="E96" s="5">
        <v>7.5087871706342764</v>
      </c>
      <c r="F96" s="5">
        <v>6.056448184323493E-3</v>
      </c>
      <c r="G96" s="5">
        <v>6.5811124454917547E-4</v>
      </c>
    </row>
    <row r="97" spans="1:7" x14ac:dyDescent="0.25">
      <c r="A97" s="12">
        <v>44330</v>
      </c>
      <c r="B97" s="13">
        <v>1843.43</v>
      </c>
      <c r="C97" s="13">
        <v>1838.1</v>
      </c>
      <c r="D97" s="5">
        <v>7.5193832457029339</v>
      </c>
      <c r="E97" s="5">
        <v>7.5164877083997181</v>
      </c>
      <c r="F97" s="5">
        <v>9.1059577749170728E-3</v>
      </c>
      <c r="G97" s="5">
        <v>7.7005377654417728E-3</v>
      </c>
    </row>
    <row r="98" spans="1:7" x14ac:dyDescent="0.25">
      <c r="A98" s="12">
        <v>44333</v>
      </c>
      <c r="B98" s="13">
        <v>1866.9</v>
      </c>
      <c r="C98" s="13">
        <v>1867.6</v>
      </c>
      <c r="D98" s="5">
        <v>7.5320345802432822</v>
      </c>
      <c r="E98" s="5">
        <v>7.5324094630967817</v>
      </c>
      <c r="F98" s="5">
        <v>1.265133454034828E-2</v>
      </c>
      <c r="G98" s="5">
        <v>1.5921754697063584E-2</v>
      </c>
    </row>
    <row r="99" spans="1:7" x14ac:dyDescent="0.25">
      <c r="A99" s="12">
        <v>44334</v>
      </c>
      <c r="B99" s="13">
        <v>1869.44</v>
      </c>
      <c r="C99" s="13">
        <v>1868</v>
      </c>
      <c r="D99" s="5">
        <v>7.5333941997593215</v>
      </c>
      <c r="E99" s="5">
        <v>7.5326236187887883</v>
      </c>
      <c r="F99" s="5">
        <v>1.3596195160392455E-3</v>
      </c>
      <c r="G99" s="5">
        <v>2.1415569200655682E-4</v>
      </c>
    </row>
    <row r="100" spans="1:7" x14ac:dyDescent="0.25">
      <c r="A100" s="12">
        <v>44335</v>
      </c>
      <c r="B100" s="13">
        <v>1869.62</v>
      </c>
      <c r="C100" s="13">
        <v>1881.5</v>
      </c>
      <c r="D100" s="5">
        <v>7.5334904806428264</v>
      </c>
      <c r="E100" s="5">
        <v>7.5398246100334916</v>
      </c>
      <c r="F100" s="5">
        <v>9.6280883504995529E-5</v>
      </c>
      <c r="G100" s="5">
        <v>7.2009912447033031E-3</v>
      </c>
    </row>
    <row r="101" spans="1:7" x14ac:dyDescent="0.25">
      <c r="A101" s="12">
        <v>44336</v>
      </c>
      <c r="B101" s="13">
        <v>1877.21</v>
      </c>
      <c r="C101" s="13">
        <v>1881.9</v>
      </c>
      <c r="D101" s="5">
        <v>7.5375419109889634</v>
      </c>
      <c r="E101" s="5">
        <v>7.5400371837708073</v>
      </c>
      <c r="F101" s="5">
        <v>4.0514303461369749E-3</v>
      </c>
      <c r="G101" s="5">
        <v>2.1257373731575768E-4</v>
      </c>
    </row>
    <row r="102" spans="1:7" x14ac:dyDescent="0.25">
      <c r="A102" s="12">
        <v>44337</v>
      </c>
      <c r="B102" s="13">
        <v>1881.25</v>
      </c>
      <c r="C102" s="13">
        <v>1876.7</v>
      </c>
      <c r="D102" s="5">
        <v>7.5396917284971856</v>
      </c>
      <c r="E102" s="5">
        <v>7.5372701942972267</v>
      </c>
      <c r="F102" s="5">
        <v>2.1498175082221849E-3</v>
      </c>
      <c r="G102" s="5">
        <v>-2.7669894735806722E-3</v>
      </c>
    </row>
    <row r="103" spans="1:7" x14ac:dyDescent="0.25">
      <c r="A103" s="12">
        <v>44340</v>
      </c>
      <c r="B103" s="13">
        <v>1881.02</v>
      </c>
      <c r="C103" s="13">
        <v>1884.5</v>
      </c>
      <c r="D103" s="5">
        <v>7.5395694618867157</v>
      </c>
      <c r="E103" s="5">
        <v>7.5414178127071905</v>
      </c>
      <c r="F103" s="5">
        <v>-1.2226661046987886E-4</v>
      </c>
      <c r="G103" s="5">
        <v>4.1476184099638047E-3</v>
      </c>
    </row>
    <row r="104" spans="1:7" x14ac:dyDescent="0.25">
      <c r="A104" s="12">
        <v>44341</v>
      </c>
      <c r="B104" s="13">
        <v>1899.25</v>
      </c>
      <c r="C104" s="13">
        <v>1898</v>
      </c>
      <c r="D104" s="5">
        <v>7.5492143503833313</v>
      </c>
      <c r="E104" s="5">
        <v>7.5485559791698735</v>
      </c>
      <c r="F104" s="5">
        <v>9.6448884966156001E-3</v>
      </c>
      <c r="G104" s="5">
        <v>7.1381664626830599E-3</v>
      </c>
    </row>
    <row r="105" spans="1:7" x14ac:dyDescent="0.25">
      <c r="A105" s="12">
        <v>44342</v>
      </c>
      <c r="B105" s="13">
        <v>1896.67</v>
      </c>
      <c r="C105" s="13">
        <v>1901.2</v>
      </c>
      <c r="D105" s="5">
        <v>7.547854995919967</v>
      </c>
      <c r="E105" s="5">
        <v>7.5502405447398546</v>
      </c>
      <c r="F105" s="5">
        <v>-1.3593544633643262E-3</v>
      </c>
      <c r="G105" s="5">
        <v>1.6845655699810891E-3</v>
      </c>
    </row>
    <row r="106" spans="1:7" x14ac:dyDescent="0.25">
      <c r="A106" s="12">
        <v>44343</v>
      </c>
      <c r="B106" s="13">
        <v>1896.54</v>
      </c>
      <c r="C106" s="13">
        <v>1895.7</v>
      </c>
      <c r="D106" s="5">
        <v>7.5477864523908442</v>
      </c>
      <c r="E106" s="5">
        <v>7.5473434424475192</v>
      </c>
      <c r="F106" s="5">
        <v>-6.8543529122777613E-5</v>
      </c>
      <c r="G106" s="5">
        <v>-2.8971022923354184E-3</v>
      </c>
    </row>
    <row r="107" spans="1:7" x14ac:dyDescent="0.25">
      <c r="A107" s="12">
        <v>44344</v>
      </c>
      <c r="B107" s="13">
        <v>1903.77</v>
      </c>
      <c r="C107" s="13">
        <v>1902.5</v>
      </c>
      <c r="D107" s="5">
        <v>7.5515914097352779</v>
      </c>
      <c r="E107" s="5">
        <v>7.5509240897358412</v>
      </c>
      <c r="F107" s="5">
        <v>3.804957344433646E-3</v>
      </c>
      <c r="G107" s="5">
        <v>3.5806472883219698E-3</v>
      </c>
    </row>
    <row r="108" spans="1:7" x14ac:dyDescent="0.25">
      <c r="A108" s="12">
        <v>44347</v>
      </c>
      <c r="B108" s="13">
        <v>1906.87</v>
      </c>
      <c r="C108" s="13">
        <v>1902.5</v>
      </c>
      <c r="D108" s="5">
        <v>7.5532184333763785</v>
      </c>
      <c r="E108" s="5">
        <v>7.5509240897358412</v>
      </c>
      <c r="F108" s="5">
        <v>1.6270236411006778E-3</v>
      </c>
      <c r="G108" s="5">
        <v>0</v>
      </c>
    </row>
    <row r="109" spans="1:7" x14ac:dyDescent="0.25">
      <c r="A109" s="12">
        <v>44348</v>
      </c>
      <c r="B109" s="13">
        <v>1900.44</v>
      </c>
      <c r="C109" s="13">
        <v>1902.9</v>
      </c>
      <c r="D109" s="5">
        <v>7.5498407172916346</v>
      </c>
      <c r="E109" s="5">
        <v>7.5511343173079615</v>
      </c>
      <c r="F109" s="5">
        <v>-3.3777160847439092E-3</v>
      </c>
      <c r="G109" s="5">
        <v>2.1022757212030285E-4</v>
      </c>
    </row>
    <row r="110" spans="1:7" x14ac:dyDescent="0.25">
      <c r="A110" s="12">
        <v>44349</v>
      </c>
      <c r="B110" s="13">
        <v>1908.38</v>
      </c>
      <c r="C110" s="13">
        <v>1907.5</v>
      </c>
      <c r="D110" s="5">
        <v>7.5540099936038043</v>
      </c>
      <c r="E110" s="5">
        <v>7.553548763158612</v>
      </c>
      <c r="F110" s="5">
        <v>4.1692763121696785E-3</v>
      </c>
      <c r="G110" s="5">
        <v>2.4144458506505373E-3</v>
      </c>
    </row>
    <row r="111" spans="1:7" x14ac:dyDescent="0.25">
      <c r="A111" s="12">
        <v>44350</v>
      </c>
      <c r="B111" s="13">
        <v>1870.76</v>
      </c>
      <c r="C111" s="13">
        <v>1871.2</v>
      </c>
      <c r="D111" s="5">
        <v>7.534100044395867</v>
      </c>
      <c r="E111" s="5">
        <v>7.5343352152699694</v>
      </c>
      <c r="F111" s="5">
        <v>-1.9909949207937316E-2</v>
      </c>
      <c r="G111" s="5">
        <v>-1.9213547888642601E-2</v>
      </c>
    </row>
    <row r="112" spans="1:7" x14ac:dyDescent="0.25">
      <c r="A112" s="12">
        <v>44351</v>
      </c>
      <c r="B112" s="13">
        <v>1891.59</v>
      </c>
      <c r="C112" s="13">
        <v>1889.8</v>
      </c>
      <c r="D112" s="5">
        <v>7.545173024225825</v>
      </c>
      <c r="E112" s="5">
        <v>7.5442262823485251</v>
      </c>
      <c r="F112" s="5">
        <v>1.107297982995803E-2</v>
      </c>
      <c r="G112" s="5">
        <v>9.8910670785556931E-3</v>
      </c>
    </row>
    <row r="113" spans="1:7" x14ac:dyDescent="0.25">
      <c r="A113" s="12">
        <v>44354</v>
      </c>
      <c r="B113" s="13">
        <v>1899.21</v>
      </c>
      <c r="C113" s="13">
        <v>1896.8</v>
      </c>
      <c r="D113" s="5">
        <v>7.5491932892164364</v>
      </c>
      <c r="E113" s="5">
        <v>7.5479235347511953</v>
      </c>
      <c r="F113" s="5">
        <v>4.0202649906113663E-3</v>
      </c>
      <c r="G113" s="5">
        <v>3.6972524026701592E-3</v>
      </c>
    </row>
    <row r="114" spans="1:7" x14ac:dyDescent="0.25">
      <c r="A114" s="12">
        <v>44355</v>
      </c>
      <c r="B114" s="13">
        <v>1892.89</v>
      </c>
      <c r="C114" s="13">
        <v>1892.2</v>
      </c>
      <c r="D114" s="5">
        <v>7.5458600406989644</v>
      </c>
      <c r="E114" s="5">
        <v>7.5454954522703437</v>
      </c>
      <c r="F114" s="5">
        <v>-3.333248517471965E-3</v>
      </c>
      <c r="G114" s="5">
        <v>-2.4280824808515789E-3</v>
      </c>
    </row>
    <row r="115" spans="1:7" x14ac:dyDescent="0.25">
      <c r="A115" s="12">
        <v>44356</v>
      </c>
      <c r="B115" s="13">
        <v>1888.57</v>
      </c>
      <c r="C115" s="13">
        <v>1893.2</v>
      </c>
      <c r="D115" s="5">
        <v>7.5435752079204255</v>
      </c>
      <c r="E115" s="5">
        <v>7.5460237980320928</v>
      </c>
      <c r="F115" s="5">
        <v>-2.2848327785389699E-3</v>
      </c>
      <c r="G115" s="5">
        <v>5.2834576174909387E-4</v>
      </c>
    </row>
    <row r="116" spans="1:7" x14ac:dyDescent="0.25">
      <c r="A116" s="12">
        <v>44357</v>
      </c>
      <c r="B116" s="13">
        <v>1898.51</v>
      </c>
      <c r="C116" s="13">
        <v>1894.2</v>
      </c>
      <c r="D116" s="5">
        <v>7.5488246469742872</v>
      </c>
      <c r="E116" s="5">
        <v>7.5465518647920007</v>
      </c>
      <c r="F116" s="5">
        <v>5.2494390538617708E-3</v>
      </c>
      <c r="G116" s="5">
        <v>5.2806675990790808E-4</v>
      </c>
    </row>
    <row r="117" spans="1:7" x14ac:dyDescent="0.25">
      <c r="A117" s="12">
        <v>44358</v>
      </c>
      <c r="B117" s="13">
        <v>1877.53</v>
      </c>
      <c r="C117" s="13">
        <v>1877.4</v>
      </c>
      <c r="D117" s="5">
        <v>7.5377123622057054</v>
      </c>
      <c r="E117" s="5">
        <v>7.5376431199028913</v>
      </c>
      <c r="F117" s="5">
        <v>-1.1112284768581837E-2</v>
      </c>
      <c r="G117" s="5">
        <v>-8.9087448891094212E-3</v>
      </c>
    </row>
    <row r="118" spans="1:7" x14ac:dyDescent="0.25">
      <c r="A118" s="12">
        <v>44361</v>
      </c>
      <c r="B118" s="13">
        <v>1866.18</v>
      </c>
      <c r="C118" s="13">
        <v>1864</v>
      </c>
      <c r="D118" s="5">
        <v>7.5316488397775387</v>
      </c>
      <c r="E118" s="5">
        <v>7.5304799952455364</v>
      </c>
      <c r="F118" s="5">
        <v>-6.0635224281666567E-3</v>
      </c>
      <c r="G118" s="5">
        <v>-7.1631246573549134E-3</v>
      </c>
    </row>
    <row r="119" spans="1:7" x14ac:dyDescent="0.25">
      <c r="A119" s="12">
        <v>44362</v>
      </c>
      <c r="B119" s="13">
        <v>1859.02</v>
      </c>
      <c r="C119" s="13">
        <v>1854.5</v>
      </c>
      <c r="D119" s="5">
        <v>7.5278047461358693</v>
      </c>
      <c r="E119" s="5">
        <v>7.5253703969296453</v>
      </c>
      <c r="F119" s="5">
        <v>-3.8440936416694882E-3</v>
      </c>
      <c r="G119" s="5">
        <v>-5.109598315891084E-3</v>
      </c>
    </row>
    <row r="120" spans="1:7" x14ac:dyDescent="0.25">
      <c r="A120" s="12">
        <v>44363</v>
      </c>
      <c r="B120" s="13">
        <v>1811.47</v>
      </c>
      <c r="C120" s="13">
        <v>1859.5</v>
      </c>
      <c r="D120" s="5">
        <v>7.5018939493368348</v>
      </c>
      <c r="E120" s="5">
        <v>7.5280629133651251</v>
      </c>
      <c r="F120" s="5">
        <v>-2.5910796799034408E-2</v>
      </c>
      <c r="G120" s="5">
        <v>2.6925164354798525E-3</v>
      </c>
    </row>
    <row r="121" spans="1:7" x14ac:dyDescent="0.25">
      <c r="A121" s="12">
        <v>44364</v>
      </c>
      <c r="B121" s="13">
        <v>1773.5</v>
      </c>
      <c r="C121" s="13">
        <v>1773.8</v>
      </c>
      <c r="D121" s="5">
        <v>7.4807102742136768</v>
      </c>
      <c r="E121" s="5">
        <v>7.4808794169423516</v>
      </c>
      <c r="F121" s="5">
        <v>-2.1183675123157997E-2</v>
      </c>
      <c r="G121" s="5">
        <v>-4.718349642277353E-2</v>
      </c>
    </row>
    <row r="122" spans="1:7" x14ac:dyDescent="0.25">
      <c r="A122" s="12">
        <v>44365</v>
      </c>
      <c r="B122" s="13">
        <v>1764.16</v>
      </c>
      <c r="C122" s="13">
        <v>1767.9</v>
      </c>
      <c r="D122" s="5">
        <v>7.4754299354013192</v>
      </c>
      <c r="E122" s="5">
        <v>7.4775476805119778</v>
      </c>
      <c r="F122" s="5">
        <v>-5.2803388123576767E-3</v>
      </c>
      <c r="G122" s="5">
        <v>-3.3317364303737662E-3</v>
      </c>
    </row>
    <row r="123" spans="1:7" x14ac:dyDescent="0.25">
      <c r="A123" s="12">
        <v>44368</v>
      </c>
      <c r="B123" s="13">
        <v>1783.27</v>
      </c>
      <c r="C123" s="13">
        <v>1781.8</v>
      </c>
      <c r="D123" s="5">
        <v>7.4862040365726132</v>
      </c>
      <c r="E123" s="5">
        <v>7.4853793682865435</v>
      </c>
      <c r="F123" s="5">
        <v>1.077410117129407E-2</v>
      </c>
      <c r="G123" s="5">
        <v>7.8316877745656654E-3</v>
      </c>
    </row>
    <row r="124" spans="1:7" x14ac:dyDescent="0.25">
      <c r="A124" s="12">
        <v>44369</v>
      </c>
      <c r="B124" s="13">
        <v>1778.74</v>
      </c>
      <c r="C124" s="13">
        <v>1776.3</v>
      </c>
      <c r="D124" s="5">
        <v>7.4836605274627495</v>
      </c>
      <c r="E124" s="5">
        <v>7.4822878282058403</v>
      </c>
      <c r="F124" s="5">
        <v>-2.5435091098637841E-3</v>
      </c>
      <c r="G124" s="5">
        <v>-3.0915400807032256E-3</v>
      </c>
    </row>
    <row r="125" spans="1:7" x14ac:dyDescent="0.25">
      <c r="A125" s="12">
        <v>44370</v>
      </c>
      <c r="B125" s="13">
        <v>1778.68</v>
      </c>
      <c r="C125" s="13">
        <v>1782.3</v>
      </c>
      <c r="D125" s="5">
        <v>7.4836267951511273</v>
      </c>
      <c r="E125" s="5">
        <v>7.4856599440298055</v>
      </c>
      <c r="F125" s="5">
        <v>-3.3732311622181044E-5</v>
      </c>
      <c r="G125" s="5">
        <v>3.3721158239652382E-3</v>
      </c>
    </row>
    <row r="126" spans="1:7" x14ac:dyDescent="0.25">
      <c r="A126" s="12">
        <v>44371</v>
      </c>
      <c r="B126" s="13">
        <v>1775.17</v>
      </c>
      <c r="C126" s="13">
        <v>1775.6</v>
      </c>
      <c r="D126" s="5">
        <v>7.481651471971305</v>
      </c>
      <c r="E126" s="5">
        <v>7.4818936729598802</v>
      </c>
      <c r="F126" s="5">
        <v>-1.975323179822297E-3</v>
      </c>
      <c r="G126" s="5">
        <v>-3.766271069925331E-3</v>
      </c>
    </row>
    <row r="127" spans="1:7" x14ac:dyDescent="0.25">
      <c r="A127" s="12">
        <v>44372</v>
      </c>
      <c r="B127" s="13">
        <v>1781.44</v>
      </c>
      <c r="C127" s="13">
        <v>1776.6</v>
      </c>
      <c r="D127" s="5">
        <v>7.4851773049951431</v>
      </c>
      <c r="E127" s="5">
        <v>7.4824567043356005</v>
      </c>
      <c r="F127" s="5">
        <v>3.5258330238381319E-3</v>
      </c>
      <c r="G127" s="5">
        <v>5.6303137572033535E-4</v>
      </c>
    </row>
    <row r="128" spans="1:7" x14ac:dyDescent="0.25">
      <c r="A128" s="12">
        <v>44375</v>
      </c>
      <c r="B128" s="13">
        <v>1778.48</v>
      </c>
      <c r="C128" s="13">
        <v>1779.6</v>
      </c>
      <c r="D128" s="5">
        <v>7.4835143458937363</v>
      </c>
      <c r="E128" s="5">
        <v>7.4841438989318867</v>
      </c>
      <c r="F128" s="5">
        <v>-1.6629591014067913E-3</v>
      </c>
      <c r="G128" s="5">
        <v>1.6871945962861901E-3</v>
      </c>
    </row>
    <row r="129" spans="1:7" x14ac:dyDescent="0.25">
      <c r="A129" s="12">
        <v>44376</v>
      </c>
      <c r="B129" s="13">
        <v>1761.24</v>
      </c>
      <c r="C129" s="13">
        <v>1763.6</v>
      </c>
      <c r="D129" s="5">
        <v>7.4737733854111079</v>
      </c>
      <c r="E129" s="5">
        <v>7.4751124534837823</v>
      </c>
      <c r="F129" s="5">
        <v>-9.7409604826284024E-3</v>
      </c>
      <c r="G129" s="5">
        <v>-9.0314454481044137E-3</v>
      </c>
    </row>
    <row r="130" spans="1:7" x14ac:dyDescent="0.25">
      <c r="A130" s="12">
        <v>44377</v>
      </c>
      <c r="B130" s="13">
        <v>1770.11</v>
      </c>
      <c r="C130" s="13">
        <v>1771.6</v>
      </c>
      <c r="D130" s="5">
        <v>7.4787969705294923</v>
      </c>
      <c r="E130" s="5">
        <v>7.4796383720490427</v>
      </c>
      <c r="F130" s="5">
        <v>5.0235851183844105E-3</v>
      </c>
      <c r="G130" s="5">
        <v>4.5259185652604117E-3</v>
      </c>
    </row>
    <row r="131" spans="1:7" x14ac:dyDescent="0.25">
      <c r="A131" s="12">
        <v>44378</v>
      </c>
      <c r="B131" s="13">
        <v>1776.84</v>
      </c>
      <c r="C131" s="13">
        <v>1776.8</v>
      </c>
      <c r="D131" s="5">
        <v>7.4825917847086281</v>
      </c>
      <c r="E131" s="5">
        <v>7.4825692725802178</v>
      </c>
      <c r="F131" s="5">
        <v>3.7948141791357415E-3</v>
      </c>
      <c r="G131" s="5">
        <v>2.9309005311750624E-3</v>
      </c>
    </row>
    <row r="132" spans="1:7" x14ac:dyDescent="0.25">
      <c r="A132" s="12">
        <v>44379</v>
      </c>
      <c r="B132" s="13">
        <v>1787.3</v>
      </c>
      <c r="C132" s="13">
        <v>1783.3</v>
      </c>
      <c r="D132" s="5">
        <v>7.4884613801963331</v>
      </c>
      <c r="E132" s="5">
        <v>7.4862208594584674</v>
      </c>
      <c r="F132" s="5">
        <v>5.8695954877050482E-3</v>
      </c>
      <c r="G132" s="5">
        <v>3.6515868782496241E-3</v>
      </c>
    </row>
    <row r="133" spans="1:7" x14ac:dyDescent="0.25">
      <c r="A133" s="12">
        <v>44382</v>
      </c>
      <c r="B133" s="13">
        <v>1791.77</v>
      </c>
      <c r="C133" s="13">
        <v>1783.3</v>
      </c>
      <c r="D133" s="5">
        <v>7.4909592370832527</v>
      </c>
      <c r="E133" s="5">
        <v>7.4862208594584674</v>
      </c>
      <c r="F133" s="5">
        <v>2.4978568869196138E-3</v>
      </c>
      <c r="G133" s="5">
        <v>0</v>
      </c>
    </row>
    <row r="134" spans="1:7" x14ac:dyDescent="0.25">
      <c r="A134" s="12">
        <v>44383</v>
      </c>
      <c r="B134" s="13">
        <v>1797.08</v>
      </c>
      <c r="C134" s="13">
        <v>1794.2</v>
      </c>
      <c r="D134" s="5">
        <v>7.4939184044348153</v>
      </c>
      <c r="E134" s="5">
        <v>7.4923145191251832</v>
      </c>
      <c r="F134" s="5">
        <v>2.9591673515625416E-3</v>
      </c>
      <c r="G134" s="5">
        <v>6.0936596667158227E-3</v>
      </c>
    </row>
    <row r="135" spans="1:7" x14ac:dyDescent="0.25">
      <c r="A135" s="12">
        <v>44384</v>
      </c>
      <c r="B135" s="13">
        <v>1803.63</v>
      </c>
      <c r="C135" s="13">
        <v>1802.1</v>
      </c>
      <c r="D135" s="5">
        <v>7.4975565798084629</v>
      </c>
      <c r="E135" s="5">
        <v>7.4967079305242255</v>
      </c>
      <c r="F135" s="5">
        <v>3.6381753736476341E-3</v>
      </c>
      <c r="G135" s="5">
        <v>4.3934113990422574E-3</v>
      </c>
    </row>
    <row r="136" spans="1:7" x14ac:dyDescent="0.25">
      <c r="A136" s="12">
        <v>44385</v>
      </c>
      <c r="B136" s="13">
        <v>1802.83</v>
      </c>
      <c r="C136" s="13">
        <v>1800.2</v>
      </c>
      <c r="D136" s="5">
        <v>7.4971129314590446</v>
      </c>
      <c r="E136" s="5">
        <v>7.4956530488229847</v>
      </c>
      <c r="F136" s="5">
        <v>-4.436483494183463E-4</v>
      </c>
      <c r="G136" s="5">
        <v>-1.0548817012407952E-3</v>
      </c>
    </row>
    <row r="137" spans="1:7" x14ac:dyDescent="0.25">
      <c r="A137" s="12">
        <v>44386</v>
      </c>
      <c r="B137" s="13">
        <v>1808.32</v>
      </c>
      <c r="C137" s="13">
        <v>1810.6</v>
      </c>
      <c r="D137" s="5">
        <v>7.5001535164414781</v>
      </c>
      <c r="E137" s="5">
        <v>7.5014135610413399</v>
      </c>
      <c r="F137" s="5">
        <v>3.0405849824335363E-3</v>
      </c>
      <c r="G137" s="5">
        <v>5.7605122183552737E-3</v>
      </c>
    </row>
    <row r="138" spans="1:7" x14ac:dyDescent="0.25">
      <c r="A138" s="12">
        <v>44389</v>
      </c>
      <c r="B138" s="13">
        <v>1806.28</v>
      </c>
      <c r="C138" s="13">
        <v>1805.9</v>
      </c>
      <c r="D138" s="5">
        <v>7.4990247607193545</v>
      </c>
      <c r="E138" s="5">
        <v>7.4988143614582974</v>
      </c>
      <c r="F138" s="5">
        <v>-1.1287557221235645E-3</v>
      </c>
      <c r="G138" s="5">
        <v>-2.5991995830425552E-3</v>
      </c>
    </row>
    <row r="139" spans="1:7" x14ac:dyDescent="0.25">
      <c r="A139" s="12">
        <v>44390</v>
      </c>
      <c r="B139" s="13">
        <v>1807.76</v>
      </c>
      <c r="C139" s="13">
        <v>1809.9</v>
      </c>
      <c r="D139" s="5">
        <v>7.4998437887781098</v>
      </c>
      <c r="E139" s="5">
        <v>7.5010268741148254</v>
      </c>
      <c r="F139" s="5">
        <v>8.1902805875522233E-4</v>
      </c>
      <c r="G139" s="5">
        <v>2.2125126565279984E-3</v>
      </c>
    </row>
    <row r="140" spans="1:7" x14ac:dyDescent="0.25">
      <c r="A140" s="12">
        <v>44391</v>
      </c>
      <c r="B140" s="13">
        <v>1827.53</v>
      </c>
      <c r="C140" s="13">
        <v>1825</v>
      </c>
      <c r="D140" s="5">
        <v>7.5107206073578681</v>
      </c>
      <c r="E140" s="5">
        <v>7.509335266016592</v>
      </c>
      <c r="F140" s="5">
        <v>1.0876818579758307E-2</v>
      </c>
      <c r="G140" s="5">
        <v>8.3083919017665764E-3</v>
      </c>
    </row>
    <row r="141" spans="1:7" x14ac:dyDescent="0.25">
      <c r="A141" s="12">
        <v>44392</v>
      </c>
      <c r="B141" s="13">
        <v>1829.47</v>
      </c>
      <c r="C141" s="13">
        <v>1829</v>
      </c>
      <c r="D141" s="5">
        <v>7.5117815864018844</v>
      </c>
      <c r="E141" s="5">
        <v>7.511524648390866</v>
      </c>
      <c r="F141" s="5">
        <v>1.0609790440163636E-3</v>
      </c>
      <c r="G141" s="5">
        <v>2.1893823742740182E-3</v>
      </c>
    </row>
    <row r="142" spans="1:7" x14ac:dyDescent="0.25">
      <c r="A142" s="12">
        <v>44393</v>
      </c>
      <c r="B142" s="13">
        <v>1812.05</v>
      </c>
      <c r="C142" s="13">
        <v>1815</v>
      </c>
      <c r="D142" s="5">
        <v>7.5022140800412069</v>
      </c>
      <c r="E142" s="5">
        <v>7.503840746698951</v>
      </c>
      <c r="F142" s="5">
        <v>-9.5675063606774913E-3</v>
      </c>
      <c r="G142" s="5">
        <v>-7.6839016919150183E-3</v>
      </c>
    </row>
    <row r="143" spans="1:7" x14ac:dyDescent="0.25">
      <c r="A143" s="12">
        <v>44396</v>
      </c>
      <c r="B143" s="13">
        <v>1812.64</v>
      </c>
      <c r="C143" s="13">
        <v>1809.2</v>
      </c>
      <c r="D143" s="5">
        <v>7.5025396251251788</v>
      </c>
      <c r="E143" s="5">
        <v>7.5006400376036879</v>
      </c>
      <c r="F143" s="5">
        <v>3.2554508397186765E-4</v>
      </c>
      <c r="G143" s="5">
        <v>-3.2007090952630435E-3</v>
      </c>
    </row>
    <row r="144" spans="1:7" x14ac:dyDescent="0.25">
      <c r="A144" s="12">
        <v>44397</v>
      </c>
      <c r="B144" s="13">
        <v>1810.36</v>
      </c>
      <c r="C144" s="13">
        <v>1811.4</v>
      </c>
      <c r="D144" s="5">
        <v>7.5012809995105023</v>
      </c>
      <c r="E144" s="5">
        <v>7.5018553059408486</v>
      </c>
      <c r="F144" s="5">
        <v>-1.2586256146764896E-3</v>
      </c>
      <c r="G144" s="5">
        <v>1.2152683371606798E-3</v>
      </c>
    </row>
    <row r="145" spans="1:7" x14ac:dyDescent="0.25">
      <c r="A145" s="12">
        <v>44398</v>
      </c>
      <c r="B145" s="13">
        <v>1803.66</v>
      </c>
      <c r="C145" s="13">
        <v>1803.4</v>
      </c>
      <c r="D145" s="5">
        <v>7.497573212793335</v>
      </c>
      <c r="E145" s="5">
        <v>7.4974290510658061</v>
      </c>
      <c r="F145" s="5">
        <v>-3.7077867171673162E-3</v>
      </c>
      <c r="G145" s="5">
        <v>-4.4262548750424457E-3</v>
      </c>
    </row>
    <row r="146" spans="1:7" x14ac:dyDescent="0.25">
      <c r="A146" s="12">
        <v>44399</v>
      </c>
      <c r="B146" s="13">
        <v>1806.92</v>
      </c>
      <c r="C146" s="13">
        <v>1805.4</v>
      </c>
      <c r="D146" s="5">
        <v>7.4993790173376942</v>
      </c>
      <c r="E146" s="5">
        <v>7.4985374528640545</v>
      </c>
      <c r="F146" s="5">
        <v>1.8058045443591908E-3</v>
      </c>
      <c r="G146" s="5">
        <v>1.1084017982483374E-3</v>
      </c>
    </row>
    <row r="147" spans="1:7" x14ac:dyDescent="0.25">
      <c r="A147" s="12">
        <v>44400</v>
      </c>
      <c r="B147" s="13">
        <v>1802.15</v>
      </c>
      <c r="C147" s="13">
        <v>1801.8</v>
      </c>
      <c r="D147" s="5">
        <v>7.4967356755474635</v>
      </c>
      <c r="E147" s="5">
        <v>7.4965414442173399</v>
      </c>
      <c r="F147" s="5">
        <v>-2.6433417902307355E-3</v>
      </c>
      <c r="G147" s="5">
        <v>-1.9960086467145643E-3</v>
      </c>
    </row>
    <row r="148" spans="1:7" x14ac:dyDescent="0.25">
      <c r="A148" s="12">
        <v>44403</v>
      </c>
      <c r="B148" s="13">
        <v>1797.63</v>
      </c>
      <c r="C148" s="13">
        <v>1799.2</v>
      </c>
      <c r="D148" s="5">
        <v>7.4942244096504194</v>
      </c>
      <c r="E148" s="5">
        <v>7.4950974006451059</v>
      </c>
      <c r="F148" s="5">
        <v>-2.5112658970440904E-3</v>
      </c>
      <c r="G148" s="5">
        <v>-1.4440435722340439E-3</v>
      </c>
    </row>
    <row r="149" spans="1:7" x14ac:dyDescent="0.25">
      <c r="A149" s="12">
        <v>44404</v>
      </c>
      <c r="B149" s="13">
        <v>1799.09</v>
      </c>
      <c r="C149" s="13">
        <v>1799.8</v>
      </c>
      <c r="D149" s="5">
        <v>7.4950362604924035</v>
      </c>
      <c r="E149" s="5">
        <v>7.4954308265998479</v>
      </c>
      <c r="F149" s="5">
        <v>8.1185084198409641E-4</v>
      </c>
      <c r="G149" s="5">
        <v>3.3342595474206149E-4</v>
      </c>
    </row>
    <row r="150" spans="1:7" x14ac:dyDescent="0.25">
      <c r="A150" s="12">
        <v>44405</v>
      </c>
      <c r="B150" s="13">
        <v>1807.11</v>
      </c>
      <c r="C150" s="13">
        <v>1799.7</v>
      </c>
      <c r="D150" s="5">
        <v>7.4994841631168798</v>
      </c>
      <c r="E150" s="5">
        <v>7.4953752633271575</v>
      </c>
      <c r="F150" s="5">
        <v>4.4479026244763631E-3</v>
      </c>
      <c r="G150" s="5">
        <v>-5.5563272690406507E-5</v>
      </c>
    </row>
    <row r="151" spans="1:7" x14ac:dyDescent="0.25">
      <c r="A151" s="12">
        <v>44406</v>
      </c>
      <c r="B151" s="13">
        <v>1828.17</v>
      </c>
      <c r="C151" s="13">
        <v>1831.2</v>
      </c>
      <c r="D151" s="5">
        <v>7.5110707455018835</v>
      </c>
      <c r="E151" s="5">
        <v>7.5127267686383572</v>
      </c>
      <c r="F151" s="5">
        <v>1.1586582385003652E-2</v>
      </c>
      <c r="G151" s="5">
        <v>1.7351505311199666E-2</v>
      </c>
    </row>
    <row r="152" spans="1:7" x14ac:dyDescent="0.25">
      <c r="A152" s="12">
        <v>44407</v>
      </c>
      <c r="B152" s="13">
        <v>1814.19</v>
      </c>
      <c r="C152" s="13">
        <v>1812.6</v>
      </c>
      <c r="D152" s="5">
        <v>7.5033943660942155</v>
      </c>
      <c r="E152" s="5">
        <v>7.5025175576206813</v>
      </c>
      <c r="F152" s="5">
        <v>-7.6763794076679659E-3</v>
      </c>
      <c r="G152" s="5">
        <v>-1.0209211017675912E-2</v>
      </c>
    </row>
    <row r="153" spans="1:7" x14ac:dyDescent="0.25">
      <c r="A153" s="12">
        <v>44410</v>
      </c>
      <c r="B153" s="13">
        <v>1813.47</v>
      </c>
      <c r="C153" s="13">
        <v>1818.1</v>
      </c>
      <c r="D153" s="5">
        <v>7.502997415988939</v>
      </c>
      <c r="E153" s="5">
        <v>7.5055472787252269</v>
      </c>
      <c r="F153" s="5">
        <v>-3.9695010527651675E-4</v>
      </c>
      <c r="G153" s="5">
        <v>3.0297211045455796E-3</v>
      </c>
    </row>
    <row r="154" spans="1:7" x14ac:dyDescent="0.25">
      <c r="A154" s="12">
        <v>44411</v>
      </c>
      <c r="B154" s="13">
        <v>1810.44</v>
      </c>
      <c r="C154" s="13">
        <v>1810.1</v>
      </c>
      <c r="D154" s="5">
        <v>7.5013251886399832</v>
      </c>
      <c r="E154" s="5">
        <v>7.5011373713525069</v>
      </c>
      <c r="F154" s="5">
        <v>-1.6722273489557793E-3</v>
      </c>
      <c r="G154" s="5">
        <v>-4.4099073727199567E-3</v>
      </c>
    </row>
    <row r="155" spans="1:7" x14ac:dyDescent="0.25">
      <c r="A155" s="12">
        <v>44412</v>
      </c>
      <c r="B155" s="13">
        <v>1811.74</v>
      </c>
      <c r="C155" s="13">
        <v>1810.5</v>
      </c>
      <c r="D155" s="5">
        <v>7.5020429884488378</v>
      </c>
      <c r="E155" s="5">
        <v>7.5013583292056962</v>
      </c>
      <c r="F155" s="5">
        <v>7.1779980885455785E-4</v>
      </c>
      <c r="G155" s="5">
        <v>2.209578531893186E-4</v>
      </c>
    </row>
    <row r="156" spans="1:7" x14ac:dyDescent="0.25">
      <c r="A156" s="12">
        <v>44413</v>
      </c>
      <c r="B156" s="13">
        <v>1804.41</v>
      </c>
      <c r="C156" s="13">
        <v>1805.1</v>
      </c>
      <c r="D156" s="5">
        <v>7.4979889475273076</v>
      </c>
      <c r="E156" s="5">
        <v>7.4983712708944159</v>
      </c>
      <c r="F156" s="5">
        <v>-4.0540409215301665E-3</v>
      </c>
      <c r="G156" s="5">
        <v>-2.9870583112803217E-3</v>
      </c>
    </row>
    <row r="157" spans="1:7" x14ac:dyDescent="0.25">
      <c r="A157" s="12">
        <v>44414</v>
      </c>
      <c r="B157" s="13">
        <v>1763.03</v>
      </c>
      <c r="C157" s="13">
        <v>1760</v>
      </c>
      <c r="D157" s="5">
        <v>7.4747891987023261</v>
      </c>
      <c r="E157" s="5">
        <v>7.4730690880321973</v>
      </c>
      <c r="F157" s="5">
        <v>-2.3199748824981548E-2</v>
      </c>
      <c r="G157" s="5">
        <v>-2.5302182862218636E-2</v>
      </c>
    </row>
    <row r="158" spans="1:7" x14ac:dyDescent="0.25">
      <c r="A158" s="12">
        <v>44417</v>
      </c>
      <c r="B158" s="13">
        <v>1729.94</v>
      </c>
      <c r="C158" s="13">
        <v>1723.4</v>
      </c>
      <c r="D158" s="5">
        <v>7.4558420048094627</v>
      </c>
      <c r="E158" s="5">
        <v>7.4520543628056668</v>
      </c>
      <c r="F158" s="5">
        <v>-1.8947193892863368E-2</v>
      </c>
      <c r="G158" s="5">
        <v>-2.1014725226530473E-2</v>
      </c>
    </row>
    <row r="159" spans="1:7" x14ac:dyDescent="0.25">
      <c r="A159" s="12">
        <v>44418</v>
      </c>
      <c r="B159" s="13">
        <v>1728.93</v>
      </c>
      <c r="C159" s="13">
        <v>1728.8</v>
      </c>
      <c r="D159" s="5">
        <v>7.4552579990337575</v>
      </c>
      <c r="E159" s="5">
        <v>7.4551828051926758</v>
      </c>
      <c r="F159" s="5">
        <v>-5.8400577570516532E-4</v>
      </c>
      <c r="G159" s="5">
        <v>3.128442387009045E-3</v>
      </c>
    </row>
    <row r="160" spans="1:7" x14ac:dyDescent="0.25">
      <c r="A160" s="12">
        <v>44419</v>
      </c>
      <c r="B160" s="13">
        <v>1751.7</v>
      </c>
      <c r="C160" s="13">
        <v>1750.4</v>
      </c>
      <c r="D160" s="5">
        <v>7.4683420239576019</v>
      </c>
      <c r="E160" s="5">
        <v>7.4675996122276622</v>
      </c>
      <c r="F160" s="5">
        <v>1.3084024923844417E-2</v>
      </c>
      <c r="G160" s="5">
        <v>1.2416807034986377E-2</v>
      </c>
    </row>
    <row r="161" spans="1:7" x14ac:dyDescent="0.25">
      <c r="A161" s="12">
        <v>44420</v>
      </c>
      <c r="B161" s="13">
        <v>1752.9</v>
      </c>
      <c r="C161" s="13">
        <v>1749</v>
      </c>
      <c r="D161" s="5">
        <v>7.4690268382285012</v>
      </c>
      <c r="E161" s="5">
        <v>7.4667994750186022</v>
      </c>
      <c r="F161" s="5">
        <v>6.8481427089928104E-4</v>
      </c>
      <c r="G161" s="5">
        <v>-8.0013720906002561E-4</v>
      </c>
    </row>
    <row r="162" spans="1:7" x14ac:dyDescent="0.25">
      <c r="A162" s="12">
        <v>44421</v>
      </c>
      <c r="B162" s="13">
        <v>1779.74</v>
      </c>
      <c r="C162" s="13">
        <v>1775.2</v>
      </c>
      <c r="D162" s="5">
        <v>7.4842225652015166</v>
      </c>
      <c r="E162" s="5">
        <v>7.4816683716183841</v>
      </c>
      <c r="F162" s="5">
        <v>1.5195726973015411E-2</v>
      </c>
      <c r="G162" s="5">
        <v>1.4868896599781856E-2</v>
      </c>
    </row>
    <row r="163" spans="1:7" x14ac:dyDescent="0.25">
      <c r="A163" s="12">
        <v>44424</v>
      </c>
      <c r="B163" s="13">
        <v>1787.45</v>
      </c>
      <c r="C163" s="13">
        <v>1786.9</v>
      </c>
      <c r="D163" s="5">
        <v>7.4885453021489665</v>
      </c>
      <c r="E163" s="5">
        <v>7.4882375538846153</v>
      </c>
      <c r="F163" s="5">
        <v>4.32273694744989E-3</v>
      </c>
      <c r="G163" s="5">
        <v>6.569182266231266E-3</v>
      </c>
    </row>
    <row r="164" spans="1:7" x14ac:dyDescent="0.25">
      <c r="A164" s="12">
        <v>44425</v>
      </c>
      <c r="B164" s="13">
        <v>1786.19</v>
      </c>
      <c r="C164" s="13">
        <v>1785</v>
      </c>
      <c r="D164" s="5">
        <v>7.4878401387568996</v>
      </c>
      <c r="E164" s="5">
        <v>7.4871736942137392</v>
      </c>
      <c r="F164" s="5">
        <v>-7.0516339206694312E-4</v>
      </c>
      <c r="G164" s="5">
        <v>-1.0638596708760772E-3</v>
      </c>
    </row>
    <row r="165" spans="1:7" x14ac:dyDescent="0.25">
      <c r="A165" s="12">
        <v>44426</v>
      </c>
      <c r="B165" s="13">
        <v>1787.82</v>
      </c>
      <c r="C165" s="13">
        <v>1781.6</v>
      </c>
      <c r="D165" s="5">
        <v>7.4887522795248405</v>
      </c>
      <c r="E165" s="5">
        <v>7.4852671159431576</v>
      </c>
      <c r="F165" s="5">
        <v>9.1214076794088328E-4</v>
      </c>
      <c r="G165" s="5">
        <v>-1.9065782705816048E-3</v>
      </c>
    </row>
    <row r="166" spans="1:7" x14ac:dyDescent="0.25">
      <c r="A166" s="12">
        <v>44427</v>
      </c>
      <c r="B166" s="13">
        <v>1780.38</v>
      </c>
      <c r="C166" s="13">
        <v>1780.2</v>
      </c>
      <c r="D166" s="5">
        <v>7.4845821036479139</v>
      </c>
      <c r="E166" s="5">
        <v>7.4844809965248311</v>
      </c>
      <c r="F166" s="5">
        <v>-4.1701758769265851E-3</v>
      </c>
      <c r="G166" s="5">
        <v>-7.8611941832651411E-4</v>
      </c>
    </row>
    <row r="167" spans="1:7" x14ac:dyDescent="0.25">
      <c r="A167" s="12">
        <v>44428</v>
      </c>
      <c r="B167" s="13">
        <v>1781.11</v>
      </c>
      <c r="C167" s="13">
        <v>1781</v>
      </c>
      <c r="D167" s="5">
        <v>7.4849920444368667</v>
      </c>
      <c r="E167" s="5">
        <v>7.4849302832896614</v>
      </c>
      <c r="F167" s="5">
        <v>4.0994078895284503E-4</v>
      </c>
      <c r="G167" s="5">
        <v>4.4928676483024788E-4</v>
      </c>
    </row>
    <row r="168" spans="1:7" x14ac:dyDescent="0.25">
      <c r="A168" s="12">
        <v>44431</v>
      </c>
      <c r="B168" s="13">
        <v>1805.43</v>
      </c>
      <c r="C168" s="13">
        <v>1803.2</v>
      </c>
      <c r="D168" s="5">
        <v>7.498554069542215</v>
      </c>
      <c r="E168" s="5">
        <v>7.4973181432855123</v>
      </c>
      <c r="F168" s="5">
        <v>1.3562025105348319E-2</v>
      </c>
      <c r="G168" s="5">
        <v>1.2387859995850903E-2</v>
      </c>
    </row>
    <row r="169" spans="1:7" x14ac:dyDescent="0.25">
      <c r="A169" s="12">
        <v>44432</v>
      </c>
      <c r="B169" s="13">
        <v>1802.9</v>
      </c>
      <c r="C169" s="13">
        <v>1805.6</v>
      </c>
      <c r="D169" s="5">
        <v>7.4971517585481546</v>
      </c>
      <c r="E169" s="5">
        <v>7.4986482255033255</v>
      </c>
      <c r="F169" s="5">
        <v>-1.4023109940604073E-3</v>
      </c>
      <c r="G169" s="5">
        <v>1.3300822178132776E-3</v>
      </c>
    </row>
    <row r="170" spans="1:7" x14ac:dyDescent="0.25">
      <c r="A170" s="12">
        <v>44433</v>
      </c>
      <c r="B170" s="13">
        <v>1791</v>
      </c>
      <c r="C170" s="13">
        <v>1788.2</v>
      </c>
      <c r="D170" s="5">
        <v>7.4905294020607114</v>
      </c>
      <c r="E170" s="5">
        <v>7.488964806301218</v>
      </c>
      <c r="F170" s="5">
        <v>-6.6223564874432483E-3</v>
      </c>
      <c r="G170" s="5">
        <v>-9.6834192021075793E-3</v>
      </c>
    </row>
    <row r="171" spans="1:7" x14ac:dyDescent="0.25">
      <c r="A171" s="12">
        <v>44434</v>
      </c>
      <c r="B171" s="13">
        <v>1792.43</v>
      </c>
      <c r="C171" s="13">
        <v>1792.2</v>
      </c>
      <c r="D171" s="5">
        <v>7.4913275201073368</v>
      </c>
      <c r="E171" s="5">
        <v>7.4911991944501191</v>
      </c>
      <c r="F171" s="5">
        <v>7.9811804662544006E-4</v>
      </c>
      <c r="G171" s="5">
        <v>2.2343881489010897E-3</v>
      </c>
    </row>
    <row r="172" spans="1:7" x14ac:dyDescent="0.25">
      <c r="A172" s="12">
        <v>44435</v>
      </c>
      <c r="B172" s="13">
        <v>1817.57</v>
      </c>
      <c r="C172" s="13">
        <v>1816.6</v>
      </c>
      <c r="D172" s="5">
        <v>7.5052557231089283</v>
      </c>
      <c r="E172" s="5">
        <v>7.5047219010681134</v>
      </c>
      <c r="F172" s="5">
        <v>1.3928203001591477E-2</v>
      </c>
      <c r="G172" s="5">
        <v>1.3522706617994373E-2</v>
      </c>
    </row>
    <row r="173" spans="1:7" x14ac:dyDescent="0.25">
      <c r="A173" s="12">
        <v>44438</v>
      </c>
      <c r="B173" s="13">
        <v>1810.34</v>
      </c>
      <c r="C173" s="13">
        <v>1809.8</v>
      </c>
      <c r="D173" s="5">
        <v>7.5012699519230184</v>
      </c>
      <c r="E173" s="5">
        <v>7.5009716209170332</v>
      </c>
      <c r="F173" s="5">
        <v>-3.9857711859099254E-3</v>
      </c>
      <c r="G173" s="5">
        <v>-3.7502801510802541E-3</v>
      </c>
    </row>
    <row r="174" spans="1:7" x14ac:dyDescent="0.25">
      <c r="A174" s="12">
        <v>44439</v>
      </c>
      <c r="B174" s="13">
        <v>1813.62</v>
      </c>
      <c r="C174" s="13">
        <v>1815.8</v>
      </c>
      <c r="D174" s="5">
        <v>7.5030801269225442</v>
      </c>
      <c r="E174" s="5">
        <v>7.5042814209376569</v>
      </c>
      <c r="F174" s="5">
        <v>1.8101749995258487E-3</v>
      </c>
      <c r="G174" s="5">
        <v>3.3098000206237543E-3</v>
      </c>
    </row>
    <row r="175" spans="1:7" x14ac:dyDescent="0.25">
      <c r="A175" s="12">
        <v>44440</v>
      </c>
      <c r="B175" s="13">
        <v>1813.9</v>
      </c>
      <c r="C175" s="13">
        <v>1813.8</v>
      </c>
      <c r="D175" s="5">
        <v>7.5032345023639238</v>
      </c>
      <c r="E175" s="5">
        <v>7.5031793710134673</v>
      </c>
      <c r="F175" s="5">
        <v>1.5437544137952841E-4</v>
      </c>
      <c r="G175" s="5">
        <v>-1.1020499241896076E-3</v>
      </c>
    </row>
    <row r="176" spans="1:7" x14ac:dyDescent="0.25">
      <c r="A176" s="12">
        <v>44441</v>
      </c>
      <c r="B176" s="13">
        <v>1809.66</v>
      </c>
      <c r="C176" s="13">
        <v>1809.4</v>
      </c>
      <c r="D176" s="5">
        <v>7.5008942613108651</v>
      </c>
      <c r="E176" s="5">
        <v>7.5007505775916412</v>
      </c>
      <c r="F176" s="5">
        <v>-2.3402410530586337E-3</v>
      </c>
      <c r="G176" s="5">
        <v>-2.4287934218261142E-3</v>
      </c>
    </row>
    <row r="177" spans="1:7" x14ac:dyDescent="0.25">
      <c r="A177" s="12">
        <v>44442</v>
      </c>
      <c r="B177" s="13">
        <v>1827.73</v>
      </c>
      <c r="C177" s="13">
        <v>1831.5</v>
      </c>
      <c r="D177" s="5">
        <v>7.5108300386980185</v>
      </c>
      <c r="E177" s="5">
        <v>7.5128905822188692</v>
      </c>
      <c r="F177" s="5">
        <v>9.9357773871533439E-3</v>
      </c>
      <c r="G177" s="5">
        <v>1.2140004627227974E-2</v>
      </c>
    </row>
    <row r="178" spans="1:7" x14ac:dyDescent="0.25">
      <c r="A178" s="12">
        <v>44445</v>
      </c>
      <c r="B178" s="13">
        <v>1823.29</v>
      </c>
      <c r="C178" s="13">
        <v>1831.5</v>
      </c>
      <c r="D178" s="5">
        <v>7.5083978404691578</v>
      </c>
      <c r="E178" s="5">
        <v>7.5128905822188692</v>
      </c>
      <c r="F178" s="5">
        <v>-2.4321982288606492E-3</v>
      </c>
      <c r="G178" s="5">
        <v>0</v>
      </c>
    </row>
    <row r="179" spans="1:7" x14ac:dyDescent="0.25">
      <c r="A179" s="12">
        <v>44446</v>
      </c>
      <c r="B179" s="13">
        <v>1794.36</v>
      </c>
      <c r="C179" s="13">
        <v>1796.3</v>
      </c>
      <c r="D179" s="5">
        <v>7.4924036913837524</v>
      </c>
      <c r="E179" s="5">
        <v>7.4934842727747899</v>
      </c>
      <c r="F179" s="5">
        <v>-1.5994149085405418E-2</v>
      </c>
      <c r="G179" s="5">
        <v>-1.9406309444079284E-2</v>
      </c>
    </row>
    <row r="180" spans="1:7" x14ac:dyDescent="0.25">
      <c r="A180" s="12">
        <v>44447</v>
      </c>
      <c r="B180" s="13">
        <v>1789.26</v>
      </c>
      <c r="C180" s="13">
        <v>1791.2</v>
      </c>
      <c r="D180" s="5">
        <v>7.489557405537</v>
      </c>
      <c r="E180" s="5">
        <v>7.490641065284545</v>
      </c>
      <c r="F180" s="5">
        <v>-2.8462858467523944E-3</v>
      </c>
      <c r="G180" s="5">
        <v>-2.8432074902449145E-3</v>
      </c>
    </row>
    <row r="181" spans="1:7" x14ac:dyDescent="0.25">
      <c r="A181" s="12">
        <v>44448</v>
      </c>
      <c r="B181" s="13">
        <v>1794.58</v>
      </c>
      <c r="C181" s="13">
        <v>1797.8</v>
      </c>
      <c r="D181" s="5">
        <v>7.4925262902571115</v>
      </c>
      <c r="E181" s="5">
        <v>7.4943189741392988</v>
      </c>
      <c r="F181" s="5">
        <v>2.9688847201114754E-3</v>
      </c>
      <c r="G181" s="5">
        <v>3.6779088547538308E-3</v>
      </c>
    </row>
    <row r="182" spans="1:7" x14ac:dyDescent="0.25">
      <c r="A182" s="12">
        <v>44449</v>
      </c>
      <c r="B182" s="13">
        <v>1787.58</v>
      </c>
      <c r="C182" s="13">
        <v>1789.9</v>
      </c>
      <c r="D182" s="5">
        <v>7.4886180288114321</v>
      </c>
      <c r="E182" s="5">
        <v>7.4899150313524547</v>
      </c>
      <c r="F182" s="5">
        <v>-3.9082614456793507E-3</v>
      </c>
      <c r="G182" s="5">
        <v>-4.4039427868440839E-3</v>
      </c>
    </row>
    <row r="183" spans="1:7" x14ac:dyDescent="0.25">
      <c r="A183" s="12">
        <v>44452</v>
      </c>
      <c r="B183" s="13">
        <v>1793.75</v>
      </c>
      <c r="C183" s="13">
        <v>1792.3</v>
      </c>
      <c r="D183" s="5">
        <v>7.4920636795079316</v>
      </c>
      <c r="E183" s="5">
        <v>7.491254990237552</v>
      </c>
      <c r="F183" s="5">
        <v>3.4456506964994915E-3</v>
      </c>
      <c r="G183" s="5">
        <v>1.3399588850973032E-3</v>
      </c>
    </row>
    <row r="184" spans="1:7" x14ac:dyDescent="0.25">
      <c r="A184" s="12">
        <v>44453</v>
      </c>
      <c r="B184" s="13">
        <v>1804.51</v>
      </c>
      <c r="C184" s="13">
        <v>1805</v>
      </c>
      <c r="D184" s="5">
        <v>7.4980443657687905</v>
      </c>
      <c r="E184" s="5">
        <v>7.498315870766981</v>
      </c>
      <c r="F184" s="5">
        <v>5.9806862608589029E-3</v>
      </c>
      <c r="G184" s="5">
        <v>7.0608805294289922E-3</v>
      </c>
    </row>
    <row r="185" spans="1:7" x14ac:dyDescent="0.25">
      <c r="A185" s="12">
        <v>44454</v>
      </c>
      <c r="B185" s="13">
        <v>1794.06</v>
      </c>
      <c r="C185" s="13">
        <v>1792.6</v>
      </c>
      <c r="D185" s="5">
        <v>7.4922364868755293</v>
      </c>
      <c r="E185" s="5">
        <v>7.4914223589232609</v>
      </c>
      <c r="F185" s="5">
        <v>-5.8078788932611758E-3</v>
      </c>
      <c r="G185" s="5">
        <v>-6.8935118437201126E-3</v>
      </c>
    </row>
    <row r="186" spans="1:7" x14ac:dyDescent="0.25">
      <c r="A186" s="12">
        <v>44455</v>
      </c>
      <c r="B186" s="13">
        <v>1753.77</v>
      </c>
      <c r="C186" s="13">
        <v>1754.6</v>
      </c>
      <c r="D186" s="5">
        <v>7.4695230354856426</v>
      </c>
      <c r="E186" s="5">
        <v>7.4699961896942835</v>
      </c>
      <c r="F186" s="5">
        <v>-2.2713451389886785E-2</v>
      </c>
      <c r="G186" s="5">
        <v>-2.1426169228977443E-2</v>
      </c>
    </row>
    <row r="187" spans="1:7" x14ac:dyDescent="0.25">
      <c r="A187" s="12">
        <v>44456</v>
      </c>
      <c r="B187" s="13">
        <v>1754.34</v>
      </c>
      <c r="C187" s="13">
        <v>1749.4</v>
      </c>
      <c r="D187" s="5">
        <v>7.4698479967924518</v>
      </c>
      <c r="E187" s="5">
        <v>7.4670281509857546</v>
      </c>
      <c r="F187" s="5">
        <v>3.2496130680925717E-4</v>
      </c>
      <c r="G187" s="5">
        <v>-2.9680387085289084E-3</v>
      </c>
    </row>
    <row r="188" spans="1:7" x14ac:dyDescent="0.25">
      <c r="A188" s="12">
        <v>44459</v>
      </c>
      <c r="B188" s="13">
        <v>1764.16</v>
      </c>
      <c r="C188" s="13">
        <v>1761.8</v>
      </c>
      <c r="D188" s="5">
        <v>7.4754299354013192</v>
      </c>
      <c r="E188" s="5">
        <v>7.4740912926756957</v>
      </c>
      <c r="F188" s="5">
        <v>5.5819386088673539E-3</v>
      </c>
      <c r="G188" s="5">
        <v>7.0631416899411548E-3</v>
      </c>
    </row>
    <row r="189" spans="1:7" x14ac:dyDescent="0.25">
      <c r="A189" s="12">
        <v>44460</v>
      </c>
      <c r="B189" s="13">
        <v>1774.51</v>
      </c>
      <c r="C189" s="13">
        <v>1776.1</v>
      </c>
      <c r="D189" s="5">
        <v>7.4812796074609231</v>
      </c>
      <c r="E189" s="5">
        <v>7.482175228273281</v>
      </c>
      <c r="F189" s="5">
        <v>5.8496720596039609E-3</v>
      </c>
      <c r="G189" s="5">
        <v>8.0839355975852456E-3</v>
      </c>
    </row>
    <row r="190" spans="1:7" x14ac:dyDescent="0.25">
      <c r="A190" s="12">
        <v>44461</v>
      </c>
      <c r="B190" s="13">
        <v>1768.16</v>
      </c>
      <c r="C190" s="13">
        <v>1776.7</v>
      </c>
      <c r="D190" s="5">
        <v>7.4776947368404718</v>
      </c>
      <c r="E190" s="5">
        <v>7.4825129900418608</v>
      </c>
      <c r="F190" s="5">
        <v>-3.5848706204513192E-3</v>
      </c>
      <c r="G190" s="5">
        <v>3.3776176857980289E-4</v>
      </c>
    </row>
    <row r="191" spans="1:7" x14ac:dyDescent="0.25">
      <c r="A191" s="12">
        <v>44462</v>
      </c>
      <c r="B191" s="13">
        <v>1742.76</v>
      </c>
      <c r="C191" s="13">
        <v>1747.7</v>
      </c>
      <c r="D191" s="5">
        <v>7.4632253424077133</v>
      </c>
      <c r="E191" s="5">
        <v>7.4660559167723157</v>
      </c>
      <c r="F191" s="5">
        <v>-1.446939443275852E-2</v>
      </c>
      <c r="G191" s="5">
        <v>-1.6457073269545042E-2</v>
      </c>
    </row>
    <row r="192" spans="1:7" x14ac:dyDescent="0.25">
      <c r="A192" s="12">
        <v>44463</v>
      </c>
      <c r="B192" s="13">
        <v>1750.42</v>
      </c>
      <c r="C192" s="13">
        <v>1749.7</v>
      </c>
      <c r="D192" s="5">
        <v>7.4676110381221665</v>
      </c>
      <c r="E192" s="5">
        <v>7.4671996236505738</v>
      </c>
      <c r="F192" s="5">
        <v>4.3856957144532416E-3</v>
      </c>
      <c r="G192" s="5">
        <v>1.143706878258044E-3</v>
      </c>
    </row>
    <row r="193" spans="1:7" x14ac:dyDescent="0.25">
      <c r="A193" s="12">
        <v>44466</v>
      </c>
      <c r="B193" s="13">
        <v>1750.16</v>
      </c>
      <c r="C193" s="13">
        <v>1750</v>
      </c>
      <c r="D193" s="5">
        <v>7.467462491309651</v>
      </c>
      <c r="E193" s="5">
        <v>7.4673710669175595</v>
      </c>
      <c r="F193" s="5">
        <v>-1.4854681251552648E-4</v>
      </c>
      <c r="G193" s="5">
        <v>1.7144326698570467E-4</v>
      </c>
    </row>
    <row r="194" spans="1:7" x14ac:dyDescent="0.25">
      <c r="A194" s="12">
        <v>44467</v>
      </c>
      <c r="B194" s="13">
        <v>1734.01</v>
      </c>
      <c r="C194" s="13">
        <v>1735.9</v>
      </c>
      <c r="D194" s="5">
        <v>7.4581919243365453</v>
      </c>
      <c r="E194" s="5">
        <v>7.4592812898745038</v>
      </c>
      <c r="F194" s="5">
        <v>-9.2705669731056872E-3</v>
      </c>
      <c r="G194" s="5">
        <v>-8.0897770430556903E-3</v>
      </c>
    </row>
    <row r="195" spans="1:7" x14ac:dyDescent="0.25">
      <c r="A195" s="12">
        <v>44468</v>
      </c>
      <c r="B195" s="13">
        <v>1726.37</v>
      </c>
      <c r="C195" s="13">
        <v>1721.5</v>
      </c>
      <c r="D195" s="5">
        <v>7.4537762171517725</v>
      </c>
      <c r="E195" s="5">
        <v>7.4509512827785782</v>
      </c>
      <c r="F195" s="5">
        <v>-4.4157071847727991E-3</v>
      </c>
      <c r="G195" s="5">
        <v>-8.3300070959255734E-3</v>
      </c>
    </row>
    <row r="196" spans="1:7" x14ac:dyDescent="0.25">
      <c r="A196" s="12">
        <v>44469</v>
      </c>
      <c r="B196" s="13">
        <v>1756.95</v>
      </c>
      <c r="C196" s="13">
        <v>1755.3</v>
      </c>
      <c r="D196" s="5">
        <v>7.4713346301839936</v>
      </c>
      <c r="E196" s="5">
        <v>7.4703950614623</v>
      </c>
      <c r="F196" s="5">
        <v>1.7558413032221054E-2</v>
      </c>
      <c r="G196" s="5">
        <v>1.9443778683721824E-2</v>
      </c>
    </row>
    <row r="197" spans="1:7" x14ac:dyDescent="0.25">
      <c r="A197" s="12">
        <v>44470</v>
      </c>
      <c r="B197" s="13">
        <v>1760.98</v>
      </c>
      <c r="C197" s="13">
        <v>1757</v>
      </c>
      <c r="D197" s="5">
        <v>7.473625751248294</v>
      </c>
      <c r="E197" s="5">
        <v>7.4713630881870969</v>
      </c>
      <c r="F197" s="5">
        <v>2.2911210643004054E-3</v>
      </c>
      <c r="G197" s="5">
        <v>9.6802672479689988E-4</v>
      </c>
    </row>
    <row r="198" spans="1:7" x14ac:dyDescent="0.25">
      <c r="A198" s="12">
        <v>44473</v>
      </c>
      <c r="B198" s="13">
        <v>1769.57</v>
      </c>
      <c r="C198" s="13">
        <v>1766.2</v>
      </c>
      <c r="D198" s="5">
        <v>7.478491858200587</v>
      </c>
      <c r="E198" s="5">
        <v>7.4765856250347023</v>
      </c>
      <c r="F198" s="5">
        <v>4.8661069522930589E-3</v>
      </c>
      <c r="G198" s="5">
        <v>5.2225368476053191E-3</v>
      </c>
    </row>
    <row r="199" spans="1:7" x14ac:dyDescent="0.25">
      <c r="A199" s="12">
        <v>44474</v>
      </c>
      <c r="B199" s="13">
        <v>1760.18</v>
      </c>
      <c r="C199" s="13">
        <v>1759.6</v>
      </c>
      <c r="D199" s="5">
        <v>7.4731713555299715</v>
      </c>
      <c r="E199" s="5">
        <v>7.4728417894745647</v>
      </c>
      <c r="F199" s="5">
        <v>-5.3205026706155678E-3</v>
      </c>
      <c r="G199" s="5">
        <v>-3.7438355601375761E-3</v>
      </c>
    </row>
    <row r="200" spans="1:7" x14ac:dyDescent="0.25">
      <c r="A200" s="12">
        <v>44475</v>
      </c>
      <c r="B200" s="13">
        <v>1762.74</v>
      </c>
      <c r="C200" s="13">
        <v>1760.5</v>
      </c>
      <c r="D200" s="5">
        <v>7.4746246956288678</v>
      </c>
      <c r="E200" s="5">
        <v>7.4733531385951073</v>
      </c>
      <c r="F200" s="5">
        <v>1.4533400988963052E-3</v>
      </c>
      <c r="G200" s="5">
        <v>5.1134912054262571E-4</v>
      </c>
    </row>
    <row r="201" spans="1:7" x14ac:dyDescent="0.25">
      <c r="A201" s="12">
        <v>44476</v>
      </c>
      <c r="B201" s="13">
        <v>1755.78</v>
      </c>
      <c r="C201" s="13">
        <v>1757.9</v>
      </c>
      <c r="D201" s="5">
        <v>7.4706684816082323</v>
      </c>
      <c r="E201" s="5">
        <v>7.471875193805845</v>
      </c>
      <c r="F201" s="5">
        <v>-3.9562140206355068E-3</v>
      </c>
      <c r="G201" s="5">
        <v>-1.477944789262331E-3</v>
      </c>
    </row>
    <row r="202" spans="1:7" x14ac:dyDescent="0.25">
      <c r="A202" s="12">
        <v>44477</v>
      </c>
      <c r="B202" s="13">
        <v>1757.13</v>
      </c>
      <c r="C202" s="13">
        <v>1756.3</v>
      </c>
      <c r="D202" s="5">
        <v>7.4714370752052552</v>
      </c>
      <c r="E202" s="5">
        <v>7.4709646024276894</v>
      </c>
      <c r="F202" s="5">
        <v>7.685935970229707E-4</v>
      </c>
      <c r="G202" s="5">
        <v>-9.1059137815552305E-4</v>
      </c>
    </row>
    <row r="203" spans="1:7" x14ac:dyDescent="0.25">
      <c r="A203" s="12">
        <v>44480</v>
      </c>
      <c r="B203" s="13">
        <v>1754.15</v>
      </c>
      <c r="C203" s="13">
        <v>1754.6</v>
      </c>
      <c r="D203" s="5">
        <v>7.4697396880897422</v>
      </c>
      <c r="E203" s="5">
        <v>7.4699961896942835</v>
      </c>
      <c r="F203" s="5">
        <v>-1.6973871155130382E-3</v>
      </c>
      <c r="G203" s="5">
        <v>-9.6841273340597667E-4</v>
      </c>
    </row>
    <row r="204" spans="1:7" x14ac:dyDescent="0.25">
      <c r="A204" s="12">
        <v>44481</v>
      </c>
      <c r="B204" s="13">
        <v>1760.18</v>
      </c>
      <c r="C204" s="13">
        <v>1758.3</v>
      </c>
      <c r="D204" s="5">
        <v>7.4731713555299715</v>
      </c>
      <c r="E204" s="5">
        <v>7.4721027121504928</v>
      </c>
      <c r="F204" s="5">
        <v>3.4316674402292691E-3</v>
      </c>
      <c r="G204" s="5">
        <v>2.1065224562093476E-3</v>
      </c>
    </row>
    <row r="205" spans="1:7" x14ac:dyDescent="0.25">
      <c r="A205" s="12">
        <v>44482</v>
      </c>
      <c r="B205" s="13">
        <v>1792.97</v>
      </c>
      <c r="C205" s="13">
        <v>1793.7</v>
      </c>
      <c r="D205" s="5">
        <v>7.4916287417306329</v>
      </c>
      <c r="E205" s="5">
        <v>7.4920358045549689</v>
      </c>
      <c r="F205" s="5">
        <v>1.8457386200661396E-2</v>
      </c>
      <c r="G205" s="5">
        <v>1.9933092404476049E-2</v>
      </c>
    </row>
    <row r="206" spans="1:7" x14ac:dyDescent="0.25">
      <c r="A206" s="12">
        <v>44483</v>
      </c>
      <c r="B206" s="13">
        <v>1795.87</v>
      </c>
      <c r="C206" s="13">
        <v>1796.7</v>
      </c>
      <c r="D206" s="5">
        <v>7.4932448631688668</v>
      </c>
      <c r="E206" s="5">
        <v>7.4937069279385264</v>
      </c>
      <c r="F206" s="5">
        <v>1.616121438233975E-3</v>
      </c>
      <c r="G206" s="5">
        <v>1.6711233835575712E-3</v>
      </c>
    </row>
    <row r="207" spans="1:7" x14ac:dyDescent="0.25">
      <c r="A207" s="12">
        <v>44484</v>
      </c>
      <c r="B207" s="13">
        <v>1767.62</v>
      </c>
      <c r="C207" s="13">
        <v>1767.2</v>
      </c>
      <c r="D207" s="5">
        <v>7.4773892879696717</v>
      </c>
      <c r="E207" s="5">
        <v>7.4771516521059072</v>
      </c>
      <c r="F207" s="5">
        <v>-1.5855575199195115E-2</v>
      </c>
      <c r="G207" s="5">
        <v>-1.6555275832619287E-2</v>
      </c>
    </row>
    <row r="208" spans="1:7" x14ac:dyDescent="0.25">
      <c r="A208" s="12">
        <v>44487</v>
      </c>
      <c r="B208" s="13">
        <v>1764.86</v>
      </c>
      <c r="C208" s="13">
        <v>1764.8</v>
      </c>
      <c r="D208" s="5">
        <v>7.475826646108076</v>
      </c>
      <c r="E208" s="5">
        <v>7.4757926484992376</v>
      </c>
      <c r="F208" s="5">
        <v>-1.5626418615957149E-3</v>
      </c>
      <c r="G208" s="5">
        <v>-1.3590036066695177E-3</v>
      </c>
    </row>
    <row r="209" spans="1:7" x14ac:dyDescent="0.25">
      <c r="A209" s="12">
        <v>44488</v>
      </c>
      <c r="B209" s="13">
        <v>1769.29</v>
      </c>
      <c r="C209" s="13">
        <v>1769.7</v>
      </c>
      <c r="D209" s="5">
        <v>7.4783336151502349</v>
      </c>
      <c r="E209" s="5">
        <v>7.4785653196771396</v>
      </c>
      <c r="F209" s="5">
        <v>2.5069690421588575E-3</v>
      </c>
      <c r="G209" s="5">
        <v>2.7726711779019197E-3</v>
      </c>
    </row>
    <row r="210" spans="1:7" x14ac:dyDescent="0.25">
      <c r="A210" s="12">
        <v>44489</v>
      </c>
      <c r="B210" s="13">
        <v>1782.08</v>
      </c>
      <c r="C210" s="13">
        <v>1784.1</v>
      </c>
      <c r="D210" s="5">
        <v>7.4855365004013041</v>
      </c>
      <c r="E210" s="5">
        <v>7.4866693653806573</v>
      </c>
      <c r="F210" s="5">
        <v>7.2028852510692687E-3</v>
      </c>
      <c r="G210" s="5">
        <v>8.1040457035177482E-3</v>
      </c>
    </row>
    <row r="211" spans="1:7" x14ac:dyDescent="0.25">
      <c r="A211" s="12">
        <v>44490</v>
      </c>
      <c r="B211" s="13">
        <v>1782.9</v>
      </c>
      <c r="C211" s="13">
        <v>1781.2</v>
      </c>
      <c r="D211" s="5">
        <v>7.4859965310407244</v>
      </c>
      <c r="E211" s="5">
        <v>7.4850425734475472</v>
      </c>
      <c r="F211" s="5">
        <v>4.6003063942023914E-4</v>
      </c>
      <c r="G211" s="5">
        <v>-1.6267919331101055E-3</v>
      </c>
    </row>
    <row r="212" spans="1:7" x14ac:dyDescent="0.25">
      <c r="A212" s="12">
        <v>44491</v>
      </c>
      <c r="B212" s="13">
        <v>1792.65</v>
      </c>
      <c r="C212" s="13">
        <v>1795.5</v>
      </c>
      <c r="D212" s="5">
        <v>7.4914502509809999</v>
      </c>
      <c r="E212" s="5">
        <v>7.4930388136661374</v>
      </c>
      <c r="F212" s="5">
        <v>5.4537199402755476E-3</v>
      </c>
      <c r="G212" s="5">
        <v>7.9962402185902448E-3</v>
      </c>
    </row>
    <row r="213" spans="1:7" x14ac:dyDescent="0.25">
      <c r="A213" s="12">
        <v>44494</v>
      </c>
      <c r="B213" s="13">
        <v>1807.73</v>
      </c>
      <c r="C213" s="13">
        <v>1806</v>
      </c>
      <c r="D213" s="5">
        <v>7.499827193517163</v>
      </c>
      <c r="E213" s="5">
        <v>7.4988697339769308</v>
      </c>
      <c r="F213" s="5">
        <v>8.3769425361630567E-3</v>
      </c>
      <c r="G213" s="5">
        <v>5.8309203107933527E-3</v>
      </c>
    </row>
    <row r="214" spans="1:7" x14ac:dyDescent="0.25">
      <c r="A214" s="12">
        <v>44495</v>
      </c>
      <c r="B214" s="13">
        <v>1792.91</v>
      </c>
      <c r="C214" s="13">
        <v>1792.7</v>
      </c>
      <c r="D214" s="5">
        <v>7.4915952771417418</v>
      </c>
      <c r="E214" s="5">
        <v>7.4914781422607932</v>
      </c>
      <c r="F214" s="5">
        <v>-8.2319163754211999E-3</v>
      </c>
      <c r="G214" s="5">
        <v>-7.3915917161375688E-3</v>
      </c>
    </row>
    <row r="215" spans="1:7" x14ac:dyDescent="0.25">
      <c r="A215" s="12">
        <v>44496</v>
      </c>
      <c r="B215" s="13">
        <v>1796.81</v>
      </c>
      <c r="C215" s="13">
        <v>1797.9</v>
      </c>
      <c r="D215" s="5">
        <v>7.4937681494183801</v>
      </c>
      <c r="E215" s="5">
        <v>7.494374596132249</v>
      </c>
      <c r="F215" s="5">
        <v>2.1728722766383157E-3</v>
      </c>
      <c r="G215" s="5">
        <v>2.8964538714557619E-3</v>
      </c>
    </row>
    <row r="216" spans="1:7" x14ac:dyDescent="0.25">
      <c r="A216" s="12">
        <v>44497</v>
      </c>
      <c r="B216" s="13">
        <v>1798.91</v>
      </c>
      <c r="C216" s="13">
        <v>1802.6</v>
      </c>
      <c r="D216" s="5">
        <v>7.4949362049058825</v>
      </c>
      <c r="E216" s="5">
        <v>7.496985346122309</v>
      </c>
      <c r="F216" s="5">
        <v>1.1680554875024285E-3</v>
      </c>
      <c r="G216" s="5">
        <v>2.6107499900600573E-3</v>
      </c>
    </row>
    <row r="217" spans="1:7" x14ac:dyDescent="0.25">
      <c r="A217" s="12">
        <v>44498</v>
      </c>
      <c r="B217" s="13">
        <v>1783.38</v>
      </c>
      <c r="C217" s="13">
        <v>1783.9</v>
      </c>
      <c r="D217" s="5">
        <v>7.4862657191038595</v>
      </c>
      <c r="E217" s="5">
        <v>7.4865572577572221</v>
      </c>
      <c r="F217" s="5">
        <v>-8.6704858020230091E-3</v>
      </c>
      <c r="G217" s="5">
        <v>-1.0428088365086907E-2</v>
      </c>
    </row>
    <row r="218" spans="1:7" x14ac:dyDescent="0.25">
      <c r="A218" s="12">
        <v>44501</v>
      </c>
      <c r="B218" s="13">
        <v>1793.28</v>
      </c>
      <c r="C218" s="13">
        <v>1795.8</v>
      </c>
      <c r="D218" s="5">
        <v>7.4918016242685326</v>
      </c>
      <c r="E218" s="5">
        <v>7.4932058840867084</v>
      </c>
      <c r="F218" s="5">
        <v>5.5359051646730606E-3</v>
      </c>
      <c r="G218" s="5">
        <v>6.6486263294862624E-3</v>
      </c>
    </row>
    <row r="219" spans="1:7" x14ac:dyDescent="0.25">
      <c r="A219" s="12">
        <v>44502</v>
      </c>
      <c r="B219" s="13">
        <v>1787.76</v>
      </c>
      <c r="C219" s="13">
        <v>1789.4</v>
      </c>
      <c r="D219" s="5">
        <v>7.4887187185361306</v>
      </c>
      <c r="E219" s="5">
        <v>7.4896356471134959</v>
      </c>
      <c r="F219" s="5">
        <v>-3.0829057324019971E-3</v>
      </c>
      <c r="G219" s="5">
        <v>-3.5702369732124595E-3</v>
      </c>
    </row>
    <row r="220" spans="1:7" x14ac:dyDescent="0.25">
      <c r="A220" s="12">
        <v>44503</v>
      </c>
      <c r="B220" s="13">
        <v>1769.84</v>
      </c>
      <c r="C220" s="13">
        <v>1763.9</v>
      </c>
      <c r="D220" s="5">
        <v>7.4786444260017308</v>
      </c>
      <c r="E220" s="5">
        <v>7.4752825456174312</v>
      </c>
      <c r="F220" s="5">
        <v>-1.0074292534399731E-2</v>
      </c>
      <c r="G220" s="5">
        <v>-1.4353101496064724E-2</v>
      </c>
    </row>
    <row r="221" spans="1:7" x14ac:dyDescent="0.25">
      <c r="A221" s="12">
        <v>44504</v>
      </c>
      <c r="B221" s="13">
        <v>1792.04</v>
      </c>
      <c r="C221" s="13">
        <v>1793.5</v>
      </c>
      <c r="D221" s="5">
        <v>7.4911099147143281</v>
      </c>
      <c r="E221" s="5">
        <v>7.4919242969723374</v>
      </c>
      <c r="F221" s="5">
        <v>1.2465488712597228E-2</v>
      </c>
      <c r="G221" s="5">
        <v>1.6641751354906198E-2</v>
      </c>
    </row>
    <row r="222" spans="1:7" x14ac:dyDescent="0.25">
      <c r="A222" s="12">
        <v>44505</v>
      </c>
      <c r="B222" s="13">
        <v>1818.36</v>
      </c>
      <c r="C222" s="13">
        <v>1816.8</v>
      </c>
      <c r="D222" s="5">
        <v>7.5056902749360708</v>
      </c>
      <c r="E222" s="5">
        <v>7.5048319907913488</v>
      </c>
      <c r="F222" s="5">
        <v>1.4580360221742694E-2</v>
      </c>
      <c r="G222" s="5">
        <v>1.2907693819011357E-2</v>
      </c>
    </row>
    <row r="223" spans="1:7" x14ac:dyDescent="0.25">
      <c r="A223" s="12">
        <v>44508</v>
      </c>
      <c r="B223" s="13">
        <v>1824.18</v>
      </c>
      <c r="C223" s="13">
        <v>1828</v>
      </c>
      <c r="D223" s="5">
        <v>7.5088858499758366</v>
      </c>
      <c r="E223" s="5">
        <v>7.510977752014095</v>
      </c>
      <c r="F223" s="5">
        <v>3.1955750397658633E-3</v>
      </c>
      <c r="G223" s="5">
        <v>6.1457612227462377E-3</v>
      </c>
    </row>
    <row r="224" spans="1:7" x14ac:dyDescent="0.25">
      <c r="A224" s="12">
        <v>44509</v>
      </c>
      <c r="B224" s="13">
        <v>1831.92</v>
      </c>
      <c r="C224" s="13">
        <v>1830.8</v>
      </c>
      <c r="D224" s="5">
        <v>7.5131198761583251</v>
      </c>
      <c r="E224" s="5">
        <v>7.5125083087794868</v>
      </c>
      <c r="F224" s="5">
        <v>4.2340261824884706E-3</v>
      </c>
      <c r="G224" s="5">
        <v>1.5305567653918217E-3</v>
      </c>
    </row>
    <row r="225" spans="1:7" x14ac:dyDescent="0.25">
      <c r="A225" s="12">
        <v>44510</v>
      </c>
      <c r="B225" s="13">
        <v>1849.6</v>
      </c>
      <c r="C225" s="13">
        <v>1848.3</v>
      </c>
      <c r="D225" s="5">
        <v>7.5227246784780579</v>
      </c>
      <c r="E225" s="5">
        <v>7.5220215766886342</v>
      </c>
      <c r="F225" s="5">
        <v>9.6048023197328192E-3</v>
      </c>
      <c r="G225" s="5">
        <v>9.5132679091474159E-3</v>
      </c>
    </row>
    <row r="226" spans="1:7" x14ac:dyDescent="0.25">
      <c r="A226" s="12">
        <v>44511</v>
      </c>
      <c r="B226" s="13">
        <v>1862.11</v>
      </c>
      <c r="C226" s="13">
        <v>1863.9</v>
      </c>
      <c r="D226" s="5">
        <v>7.5294655323541626</v>
      </c>
      <c r="E226" s="5">
        <v>7.5304263457377578</v>
      </c>
      <c r="F226" s="5">
        <v>6.7408538761046799E-3</v>
      </c>
      <c r="G226" s="5">
        <v>8.4047690491235727E-3</v>
      </c>
    </row>
    <row r="227" spans="1:7" x14ac:dyDescent="0.25">
      <c r="A227" s="12">
        <v>44512</v>
      </c>
      <c r="B227" s="13">
        <v>1864.9</v>
      </c>
      <c r="C227" s="13">
        <v>1868.5</v>
      </c>
      <c r="D227" s="5">
        <v>7.5309627113374003</v>
      </c>
      <c r="E227" s="5">
        <v>7.5328912489255382</v>
      </c>
      <c r="F227" s="5">
        <v>1.4971789832376459E-3</v>
      </c>
      <c r="G227" s="5">
        <v>2.4649031877803651E-3</v>
      </c>
    </row>
    <row r="228" spans="1:7" x14ac:dyDescent="0.25">
      <c r="A228" s="12">
        <v>44515</v>
      </c>
      <c r="B228" s="13">
        <v>1862.84</v>
      </c>
      <c r="C228" s="13">
        <v>1866.6</v>
      </c>
      <c r="D228" s="5">
        <v>7.5298574839289998</v>
      </c>
      <c r="E228" s="5">
        <v>7.5318738731316461</v>
      </c>
      <c r="F228" s="5">
        <v>-1.1052274084004665E-3</v>
      </c>
      <c r="G228" s="5">
        <v>-1.0173757938920502E-3</v>
      </c>
    </row>
    <row r="229" spans="1:7" x14ac:dyDescent="0.25">
      <c r="A229" s="12">
        <v>44516</v>
      </c>
      <c r="B229" s="13">
        <v>1850.63</v>
      </c>
      <c r="C229" s="13">
        <v>1854.1</v>
      </c>
      <c r="D229" s="5">
        <v>7.5232814006421416</v>
      </c>
      <c r="E229" s="5">
        <v>7.5251546821038078</v>
      </c>
      <c r="F229" s="5">
        <v>-6.5760832868582142E-3</v>
      </c>
      <c r="G229" s="5">
        <v>-6.719191027838356E-3</v>
      </c>
    </row>
    <row r="230" spans="1:7" x14ac:dyDescent="0.25">
      <c r="A230" s="12">
        <v>44517</v>
      </c>
      <c r="B230" s="13">
        <v>1867.48</v>
      </c>
      <c r="C230" s="13">
        <v>1870.2</v>
      </c>
      <c r="D230" s="5">
        <v>7.5323452074449397</v>
      </c>
      <c r="E230" s="5">
        <v>7.5338006560013469</v>
      </c>
      <c r="F230" s="5">
        <v>9.0638068027981689E-3</v>
      </c>
      <c r="G230" s="5">
        <v>8.6459738975390721E-3</v>
      </c>
    </row>
    <row r="231" spans="1:7" x14ac:dyDescent="0.25">
      <c r="A231" s="12">
        <v>44518</v>
      </c>
      <c r="B231" s="13">
        <v>1858.94</v>
      </c>
      <c r="C231" s="13">
        <v>1861.4</v>
      </c>
      <c r="D231" s="5">
        <v>7.5277617117836906</v>
      </c>
      <c r="E231" s="5">
        <v>7.5290841717516104</v>
      </c>
      <c r="F231" s="5">
        <v>-4.5834956612491595E-3</v>
      </c>
      <c r="G231" s="5">
        <v>-4.7164842497364745E-3</v>
      </c>
    </row>
    <row r="232" spans="1:7" x14ac:dyDescent="0.25">
      <c r="A232" s="12">
        <v>44519</v>
      </c>
      <c r="B232" s="13">
        <v>1845.73</v>
      </c>
      <c r="C232" s="13">
        <v>1851.6</v>
      </c>
      <c r="D232" s="5">
        <v>7.520630142176925</v>
      </c>
      <c r="E232" s="5">
        <v>7.5238054091571156</v>
      </c>
      <c r="F232" s="5">
        <v>-7.131569606765531E-3</v>
      </c>
      <c r="G232" s="5">
        <v>-5.2787625944947791E-3</v>
      </c>
    </row>
    <row r="233" spans="1:7" x14ac:dyDescent="0.25">
      <c r="A233" s="12">
        <v>44522</v>
      </c>
      <c r="B233" s="13">
        <v>1804.65</v>
      </c>
      <c r="C233" s="13">
        <v>1806.3</v>
      </c>
      <c r="D233" s="5">
        <v>7.4981219461476432</v>
      </c>
      <c r="E233" s="5">
        <v>7.4990358331385121</v>
      </c>
      <c r="F233" s="5">
        <v>-2.2508196029281891E-2</v>
      </c>
      <c r="G233" s="5">
        <v>-2.4769576018603523E-2</v>
      </c>
    </row>
    <row r="234" spans="1:7" x14ac:dyDescent="0.25">
      <c r="A234" s="12">
        <v>44523</v>
      </c>
      <c r="B234" s="13">
        <v>1789.16</v>
      </c>
      <c r="C234" s="13">
        <v>1783.8</v>
      </c>
      <c r="D234" s="5">
        <v>7.489501514948401</v>
      </c>
      <c r="E234" s="5">
        <v>7.4865011992321069</v>
      </c>
      <c r="F234" s="5">
        <v>-8.6204311992421623E-3</v>
      </c>
      <c r="G234" s="5">
        <v>-1.253463390640519E-2</v>
      </c>
    </row>
    <row r="235" spans="1:7" x14ac:dyDescent="0.25">
      <c r="A235" s="12">
        <v>44524</v>
      </c>
      <c r="B235" s="13">
        <v>1788.61</v>
      </c>
      <c r="C235" s="13">
        <v>1784.3</v>
      </c>
      <c r="D235" s="5">
        <v>7.4891940608614522</v>
      </c>
      <c r="E235" s="5">
        <v>7.486781460437383</v>
      </c>
      <c r="F235" s="5">
        <v>-3.074540869487663E-4</v>
      </c>
      <c r="G235" s="5">
        <v>2.802612052761333E-4</v>
      </c>
    </row>
    <row r="236" spans="1:7" x14ac:dyDescent="0.25">
      <c r="A236" s="12">
        <v>44525</v>
      </c>
      <c r="B236" s="13">
        <v>1788.85</v>
      </c>
      <c r="C236" s="13">
        <v>1784.3</v>
      </c>
      <c r="D236" s="5">
        <v>7.4893282342696015</v>
      </c>
      <c r="E236" s="5">
        <v>7.486781460437383</v>
      </c>
      <c r="F236" s="5">
        <v>1.3417340814925183E-4</v>
      </c>
      <c r="G236" s="5">
        <v>0</v>
      </c>
    </row>
    <row r="237" spans="1:7" x14ac:dyDescent="0.25">
      <c r="A237" s="12">
        <v>44526</v>
      </c>
      <c r="B237" s="13">
        <v>1802.59</v>
      </c>
      <c r="C237" s="13">
        <v>1785.5</v>
      </c>
      <c r="D237" s="5">
        <v>7.4969797985644826</v>
      </c>
      <c r="E237" s="5">
        <v>7.4874537670345029</v>
      </c>
      <c r="F237" s="5">
        <v>7.6515642948811191E-3</v>
      </c>
      <c r="G237" s="5">
        <v>6.7230659711992047E-4</v>
      </c>
    </row>
    <row r="238" spans="1:7" x14ac:dyDescent="0.25">
      <c r="A238" s="12">
        <v>44529</v>
      </c>
      <c r="B238" s="13">
        <v>1784.6</v>
      </c>
      <c r="C238" s="13">
        <v>1782.3</v>
      </c>
      <c r="D238" s="5">
        <v>7.4869495794660512</v>
      </c>
      <c r="E238" s="5">
        <v>7.4856599440298055</v>
      </c>
      <c r="F238" s="5">
        <v>-1.0030219098431381E-2</v>
      </c>
      <c r="G238" s="5">
        <v>-1.7938230046974368E-3</v>
      </c>
    </row>
    <row r="239" spans="1:7" x14ac:dyDescent="0.25">
      <c r="A239" s="12">
        <v>44530</v>
      </c>
      <c r="B239" s="13">
        <v>1774.52</v>
      </c>
      <c r="C239" s="13">
        <v>1773.6</v>
      </c>
      <c r="D239" s="5">
        <v>7.4812852428035379</v>
      </c>
      <c r="E239" s="5">
        <v>7.4807666583021017</v>
      </c>
      <c r="F239" s="5">
        <v>-5.664336662513314E-3</v>
      </c>
      <c r="G239" s="5">
        <v>-4.8932857277037556E-3</v>
      </c>
    </row>
    <row r="240" spans="1:7" x14ac:dyDescent="0.25">
      <c r="A240" s="12">
        <v>44531</v>
      </c>
      <c r="B240" s="13">
        <v>1781.73</v>
      </c>
      <c r="C240" s="13">
        <v>1781.6</v>
      </c>
      <c r="D240" s="5">
        <v>7.4853400813996593</v>
      </c>
      <c r="E240" s="5">
        <v>7.4852671159431576</v>
      </c>
      <c r="F240" s="5">
        <v>4.054838596121435E-3</v>
      </c>
      <c r="G240" s="5">
        <v>4.5004576410558883E-3</v>
      </c>
    </row>
    <row r="241" spans="1:7" x14ac:dyDescent="0.25">
      <c r="A241" s="12">
        <v>44532</v>
      </c>
      <c r="B241" s="13">
        <v>1768.74</v>
      </c>
      <c r="C241" s="13">
        <v>1760.7</v>
      </c>
      <c r="D241" s="5">
        <v>7.4780227076653185</v>
      </c>
      <c r="E241" s="5">
        <v>7.4734667362323988</v>
      </c>
      <c r="F241" s="5">
        <v>-7.3173737343408263E-3</v>
      </c>
      <c r="G241" s="5">
        <v>-1.1800379710758868E-2</v>
      </c>
    </row>
    <row r="242" spans="1:7" x14ac:dyDescent="0.25">
      <c r="A242" s="12">
        <v>44533</v>
      </c>
      <c r="B242" s="13">
        <v>1783.29</v>
      </c>
      <c r="C242" s="13">
        <v>1782</v>
      </c>
      <c r="D242" s="5">
        <v>7.486215251861295</v>
      </c>
      <c r="E242" s="5">
        <v>7.4854916080307543</v>
      </c>
      <c r="F242" s="5">
        <v>8.1925441959764811E-3</v>
      </c>
      <c r="G242" s="5">
        <v>1.2024871798355541E-2</v>
      </c>
    </row>
    <row r="243" spans="1:7" x14ac:dyDescent="0.25">
      <c r="A243" s="12">
        <v>44536</v>
      </c>
      <c r="B243" s="13">
        <v>1778.67</v>
      </c>
      <c r="C243" s="13">
        <v>1777.5</v>
      </c>
      <c r="D243" s="5">
        <v>7.4836211729885624</v>
      </c>
      <c r="E243" s="5">
        <v>7.4829631616773957</v>
      </c>
      <c r="F243" s="5">
        <v>-2.5940788727325526E-3</v>
      </c>
      <c r="G243" s="5">
        <v>-2.5284463533585821E-3</v>
      </c>
    </row>
    <row r="244" spans="1:7" x14ac:dyDescent="0.25">
      <c r="A244" s="12">
        <v>44537</v>
      </c>
      <c r="B244" s="13">
        <v>1784.13</v>
      </c>
      <c r="C244" s="13">
        <v>1782.6</v>
      </c>
      <c r="D244" s="5">
        <v>7.4866861804402252</v>
      </c>
      <c r="E244" s="5">
        <v>7.485828251696617</v>
      </c>
      <c r="F244" s="5">
        <v>3.0650074516627157E-3</v>
      </c>
      <c r="G244" s="5">
        <v>2.8650900192213058E-3</v>
      </c>
    </row>
    <row r="245" spans="1:7" x14ac:dyDescent="0.25">
      <c r="A245" s="12">
        <v>44538</v>
      </c>
      <c r="B245" s="13">
        <v>1782.99</v>
      </c>
      <c r="C245" s="13">
        <v>1783.4</v>
      </c>
      <c r="D245" s="5">
        <v>7.4860470093224549</v>
      </c>
      <c r="E245" s="5">
        <v>7.4862769337007791</v>
      </c>
      <c r="F245" s="5">
        <v>-6.3917111777023194E-4</v>
      </c>
      <c r="G245" s="5">
        <v>4.4868200416203763E-4</v>
      </c>
    </row>
    <row r="246" spans="1:7" x14ac:dyDescent="0.25">
      <c r="A246" s="12">
        <v>44539</v>
      </c>
      <c r="B246" s="13">
        <v>1775.33</v>
      </c>
      <c r="C246" s="13">
        <v>1774.6</v>
      </c>
      <c r="D246" s="5">
        <v>7.48174160012233</v>
      </c>
      <c r="E246" s="5">
        <v>7.4813303244012372</v>
      </c>
      <c r="F246" s="5">
        <v>-4.3054092001248989E-3</v>
      </c>
      <c r="G246" s="5">
        <v>-4.9466092995418265E-3</v>
      </c>
    </row>
    <row r="247" spans="1:7" x14ac:dyDescent="0.25">
      <c r="A247" s="12">
        <v>44540</v>
      </c>
      <c r="B247" s="13">
        <v>1782.84</v>
      </c>
      <c r="C247" s="13">
        <v>1782.9</v>
      </c>
      <c r="D247" s="5">
        <v>7.4859628774372622</v>
      </c>
      <c r="E247" s="5">
        <v>7.4859965310407244</v>
      </c>
      <c r="F247" s="5">
        <v>4.2212773149321592E-3</v>
      </c>
      <c r="G247" s="5">
        <v>4.666206639487136E-3</v>
      </c>
    </row>
    <row r="248" spans="1:7" x14ac:dyDescent="0.25">
      <c r="A248" s="12">
        <v>44543</v>
      </c>
      <c r="B248" s="13">
        <v>1786.67</v>
      </c>
      <c r="C248" s="13">
        <v>1786.3</v>
      </c>
      <c r="D248" s="5">
        <v>7.488108831066639</v>
      </c>
      <c r="E248" s="5">
        <v>7.4879017204548388</v>
      </c>
      <c r="F248" s="5">
        <v>2.1459536293768622E-3</v>
      </c>
      <c r="G248" s="5">
        <v>1.9051894141144388E-3</v>
      </c>
    </row>
    <row r="249" spans="1:7" x14ac:dyDescent="0.25">
      <c r="A249" s="12">
        <v>44544</v>
      </c>
      <c r="B249" s="13">
        <v>1770.85</v>
      </c>
      <c r="C249" s="13">
        <v>1770.4</v>
      </c>
      <c r="D249" s="5">
        <v>7.4792149362849782</v>
      </c>
      <c r="E249" s="5">
        <v>7.4789607887368401</v>
      </c>
      <c r="F249" s="5">
        <v>-8.8938947816608049E-3</v>
      </c>
      <c r="G249" s="5">
        <v>-8.9409317179987013E-3</v>
      </c>
    </row>
    <row r="250" spans="1:7" x14ac:dyDescent="0.25">
      <c r="A250" s="12">
        <v>44545</v>
      </c>
      <c r="B250" s="13">
        <v>1776.92</v>
      </c>
      <c r="C250" s="13">
        <v>1762.6</v>
      </c>
      <c r="D250" s="5">
        <v>7.4826368074451173</v>
      </c>
      <c r="E250" s="5">
        <v>7.4745452706655602</v>
      </c>
      <c r="F250" s="5">
        <v>3.4218711601390339E-3</v>
      </c>
      <c r="G250" s="5">
        <v>-4.4155180712799336E-3</v>
      </c>
    </row>
    <row r="251" spans="1:7" x14ac:dyDescent="0.25">
      <c r="A251" s="12">
        <v>44546</v>
      </c>
      <c r="B251" s="13">
        <v>1799.35</v>
      </c>
      <c r="C251" s="13">
        <v>1796.6</v>
      </c>
      <c r="D251" s="5">
        <v>7.4951807675568265</v>
      </c>
      <c r="E251" s="5">
        <v>7.493651268795106</v>
      </c>
      <c r="F251" s="5">
        <v>1.2543960111709218E-2</v>
      </c>
      <c r="G251" s="5">
        <v>1.9105998129545831E-2</v>
      </c>
    </row>
    <row r="252" spans="1:7" x14ac:dyDescent="0.25">
      <c r="A252" s="12">
        <v>44547</v>
      </c>
      <c r="B252" s="13">
        <v>1798.11</v>
      </c>
      <c r="C252" s="13">
        <v>1803.8</v>
      </c>
      <c r="D252" s="5">
        <v>7.4944913922480767</v>
      </c>
      <c r="E252" s="5">
        <v>7.497650829731608</v>
      </c>
      <c r="F252" s="5">
        <v>-6.8937530874979558E-4</v>
      </c>
      <c r="G252" s="5">
        <v>3.9995609365020002E-3</v>
      </c>
    </row>
    <row r="253" spans="1:7" x14ac:dyDescent="0.25">
      <c r="A253" s="12">
        <v>44550</v>
      </c>
      <c r="B253" s="13">
        <v>1790.93</v>
      </c>
      <c r="C253" s="13">
        <v>1793.7</v>
      </c>
      <c r="D253" s="5">
        <v>7.4904903169864587</v>
      </c>
      <c r="E253" s="5">
        <v>7.4920358045549689</v>
      </c>
      <c r="F253" s="5">
        <v>-4.0010752616179701E-3</v>
      </c>
      <c r="G253" s="5">
        <v>-5.6150251766391435E-3</v>
      </c>
    </row>
    <row r="254" spans="1:7" x14ac:dyDescent="0.25">
      <c r="A254" s="12">
        <v>44551</v>
      </c>
      <c r="B254" s="13">
        <v>1789.27</v>
      </c>
      <c r="C254" s="13">
        <v>1787.9</v>
      </c>
      <c r="D254" s="5">
        <v>7.4895629944240563</v>
      </c>
      <c r="E254" s="5">
        <v>7.4887970257577745</v>
      </c>
      <c r="F254" s="5">
        <v>-9.2732256240246613E-4</v>
      </c>
      <c r="G254" s="5">
        <v>-3.2387787971943638E-3</v>
      </c>
    </row>
    <row r="255" spans="1:7" x14ac:dyDescent="0.25">
      <c r="A255" s="12">
        <v>44552</v>
      </c>
      <c r="B255" s="13">
        <v>1803.67</v>
      </c>
      <c r="C255" s="13">
        <v>1801.6</v>
      </c>
      <c r="D255" s="5">
        <v>7.4975787570601478</v>
      </c>
      <c r="E255" s="5">
        <v>7.4964304379453708</v>
      </c>
      <c r="F255" s="5">
        <v>8.0157626360914946E-3</v>
      </c>
      <c r="G255" s="5">
        <v>7.6334121875962779E-3</v>
      </c>
    </row>
    <row r="256" spans="1:7" x14ac:dyDescent="0.25">
      <c r="A256" s="12">
        <v>44553</v>
      </c>
      <c r="B256" s="13">
        <v>1808.81</v>
      </c>
      <c r="C256" s="13">
        <v>1811.2</v>
      </c>
      <c r="D256" s="5">
        <v>7.5004244494756778</v>
      </c>
      <c r="E256" s="5">
        <v>7.5017448880088642</v>
      </c>
      <c r="F256" s="5">
        <v>2.8456924155300101E-3</v>
      </c>
      <c r="G256" s="5">
        <v>5.3144500634934033E-3</v>
      </c>
    </row>
    <row r="257" spans="1:7" x14ac:dyDescent="0.25">
      <c r="A257" s="12">
        <v>44554</v>
      </c>
      <c r="B257" s="13">
        <v>1810.26</v>
      </c>
      <c r="C257" s="13">
        <v>1811.2</v>
      </c>
      <c r="D257" s="5">
        <v>7.5012257603525541</v>
      </c>
      <c r="E257" s="5">
        <v>7.5017448880088642</v>
      </c>
      <c r="F257" s="5">
        <v>8.0131087687629332E-4</v>
      </c>
      <c r="G257" s="5">
        <v>0</v>
      </c>
    </row>
    <row r="258" spans="1:7" x14ac:dyDescent="0.25">
      <c r="A258" s="12">
        <v>44557</v>
      </c>
      <c r="B258" s="13">
        <v>1812.13</v>
      </c>
      <c r="C258" s="13">
        <v>1808.1</v>
      </c>
      <c r="D258" s="5">
        <v>7.5022582279588121</v>
      </c>
      <c r="E258" s="5">
        <v>7.5000318491571081</v>
      </c>
      <c r="F258" s="5">
        <v>1.0324676062580807E-3</v>
      </c>
      <c r="G258" s="5">
        <v>-1.7130388517561101E-3</v>
      </c>
    </row>
    <row r="259" spans="1:7" x14ac:dyDescent="0.25">
      <c r="A259" s="12">
        <v>44558</v>
      </c>
      <c r="B259" s="13">
        <v>1806.18</v>
      </c>
      <c r="C259" s="13">
        <v>1810.2</v>
      </c>
      <c r="D259" s="5">
        <v>7.4989693967845144</v>
      </c>
      <c r="E259" s="5">
        <v>7.5011926153930704</v>
      </c>
      <c r="F259" s="5">
        <v>-3.2888311742977905E-3</v>
      </c>
      <c r="G259" s="5">
        <v>1.160766235962285E-3</v>
      </c>
    </row>
    <row r="260" spans="1:7" x14ac:dyDescent="0.25">
      <c r="A260" s="12">
        <v>44559</v>
      </c>
      <c r="B260" s="13">
        <v>1804.71</v>
      </c>
      <c r="C260" s="13">
        <v>1805.1</v>
      </c>
      <c r="D260" s="5">
        <v>7.4981551930390617</v>
      </c>
      <c r="E260" s="5">
        <v>7.4983712708944159</v>
      </c>
      <c r="F260" s="5">
        <v>-8.1420374545260188E-4</v>
      </c>
      <c r="G260" s="5">
        <v>-2.8213444986544545E-3</v>
      </c>
    </row>
    <row r="261" spans="1:7" x14ac:dyDescent="0.25">
      <c r="A261" s="12">
        <v>44560</v>
      </c>
      <c r="B261" s="13">
        <v>1814.67</v>
      </c>
      <c r="C261" s="13">
        <v>1814.1</v>
      </c>
      <c r="D261" s="5">
        <v>7.5036589119862036</v>
      </c>
      <c r="E261" s="5">
        <v>7.5033447559472766</v>
      </c>
      <c r="F261" s="5">
        <v>5.5037189471418557E-3</v>
      </c>
      <c r="G261" s="5">
        <v>4.97348505286066E-3</v>
      </c>
    </row>
    <row r="262" spans="1:7" x14ac:dyDescent="0.25">
      <c r="A262" s="12">
        <v>44561</v>
      </c>
      <c r="B262" s="13">
        <v>1829.2</v>
      </c>
      <c r="C262" s="13">
        <v>1828.6</v>
      </c>
      <c r="D262" s="5">
        <v>7.5116339917839001</v>
      </c>
      <c r="E262" s="5">
        <v>7.5113059257303263</v>
      </c>
      <c r="F262" s="5">
        <v>7.975079797696516E-3</v>
      </c>
      <c r="G262" s="5">
        <v>7.9611697830497263E-3</v>
      </c>
    </row>
    <row r="263" spans="1:7" x14ac:dyDescent="0.25">
      <c r="A263" s="12">
        <v>44564</v>
      </c>
      <c r="B263" s="13">
        <v>1801.45</v>
      </c>
      <c r="C263" s="13">
        <v>1800.1</v>
      </c>
      <c r="D263" s="5">
        <v>7.4963471751540771</v>
      </c>
      <c r="E263" s="5">
        <v>7.4955974978966591</v>
      </c>
      <c r="F263" s="5">
        <v>-1.5286816629823008E-2</v>
      </c>
      <c r="G263" s="5">
        <v>-1.5708427833667216E-2</v>
      </c>
    </row>
    <row r="264" spans="1:7" x14ac:dyDescent="0.25">
      <c r="A264" s="12">
        <v>44565</v>
      </c>
      <c r="B264" s="13">
        <v>1814.6</v>
      </c>
      <c r="C264" s="13">
        <v>1814.6</v>
      </c>
      <c r="D264" s="5">
        <v>7.5036203367355281</v>
      </c>
      <c r="E264" s="5">
        <v>7.5036203367355281</v>
      </c>
      <c r="F264" s="5">
        <v>7.2731615814509709E-3</v>
      </c>
      <c r="G264" s="5">
        <v>8.0228388388690064E-3</v>
      </c>
    </row>
    <row r="265" spans="1:7" x14ac:dyDescent="0.25">
      <c r="A265" s="12">
        <v>44566</v>
      </c>
      <c r="B265" s="13">
        <v>1810.44</v>
      </c>
      <c r="C265" s="13">
        <v>1825.1</v>
      </c>
      <c r="D265" s="5">
        <v>7.5013251886399832</v>
      </c>
      <c r="E265" s="5">
        <v>7.509390059035975</v>
      </c>
      <c r="F265" s="5">
        <v>-2.2951480955448744E-3</v>
      </c>
      <c r="G265" s="5">
        <v>5.7697223004469222E-3</v>
      </c>
    </row>
    <row r="266" spans="1:7" x14ac:dyDescent="0.25">
      <c r="A266" s="12">
        <v>44567</v>
      </c>
      <c r="B266" s="13">
        <v>1791.16</v>
      </c>
      <c r="C266" s="13">
        <v>1789.2</v>
      </c>
      <c r="D266" s="5">
        <v>7.4906187336372501</v>
      </c>
      <c r="E266" s="5">
        <v>7.4895238715586929</v>
      </c>
      <c r="F266" s="5">
        <v>-1.0706455002733151E-2</v>
      </c>
      <c r="G266" s="5">
        <v>-1.9866187477282082E-2</v>
      </c>
    </row>
    <row r="267" spans="1:7" x14ac:dyDescent="0.25">
      <c r="A267" s="12">
        <v>44568</v>
      </c>
      <c r="B267" s="13">
        <v>1796.55</v>
      </c>
      <c r="C267" s="13">
        <v>1797.4</v>
      </c>
      <c r="D267" s="5">
        <v>7.4936234380616256</v>
      </c>
      <c r="E267" s="5">
        <v>7.4940964552242733</v>
      </c>
      <c r="F267" s="5">
        <v>3.0047044243755039E-3</v>
      </c>
      <c r="G267" s="5">
        <v>4.572583665580332E-3</v>
      </c>
    </row>
    <row r="268" spans="1:7" x14ac:dyDescent="0.25">
      <c r="A268" s="12">
        <v>44571</v>
      </c>
      <c r="B268" s="13">
        <v>1801.68</v>
      </c>
      <c r="C268" s="13">
        <v>1798.8</v>
      </c>
      <c r="D268" s="5">
        <v>7.4964748419328568</v>
      </c>
      <c r="E268" s="5">
        <v>7.4948750548965526</v>
      </c>
      <c r="F268" s="5">
        <v>2.8514038712312839E-3</v>
      </c>
      <c r="G268" s="5">
        <v>7.7859967227933424E-4</v>
      </c>
    </row>
    <row r="269" spans="1:7" x14ac:dyDescent="0.25">
      <c r="A269" s="12">
        <v>44572</v>
      </c>
      <c r="B269" s="13">
        <v>1821.6</v>
      </c>
      <c r="C269" s="13">
        <v>1818.5</v>
      </c>
      <c r="D269" s="5">
        <v>7.5074705147495298</v>
      </c>
      <c r="E269" s="5">
        <v>7.5057672644270435</v>
      </c>
      <c r="F269" s="5">
        <v>1.0995672816672908E-2</v>
      </c>
      <c r="G269" s="5">
        <v>1.0892209530490859E-2</v>
      </c>
    </row>
    <row r="270" spans="1:7" x14ac:dyDescent="0.25">
      <c r="A270" s="12">
        <v>44573</v>
      </c>
      <c r="B270" s="13">
        <v>1826.15</v>
      </c>
      <c r="C270" s="13">
        <v>1827.3</v>
      </c>
      <c r="D270" s="5">
        <v>7.5099652045499461</v>
      </c>
      <c r="E270" s="5">
        <v>7.5105947465105487</v>
      </c>
      <c r="F270" s="5">
        <v>2.4946898004163387E-3</v>
      </c>
      <c r="G270" s="5">
        <v>4.8274820835052523E-3</v>
      </c>
    </row>
    <row r="271" spans="1:7" x14ac:dyDescent="0.25">
      <c r="A271" s="12">
        <v>44574</v>
      </c>
      <c r="B271" s="13">
        <v>1822.54</v>
      </c>
      <c r="C271" s="13">
        <v>1821.4</v>
      </c>
      <c r="D271" s="5">
        <v>7.5079864115157617</v>
      </c>
      <c r="E271" s="5">
        <v>7.5073607151337178</v>
      </c>
      <c r="F271" s="5">
        <v>-1.9787930341843563E-3</v>
      </c>
      <c r="G271" s="5">
        <v>-3.2340313768308704E-3</v>
      </c>
    </row>
    <row r="272" spans="1:7" x14ac:dyDescent="0.25">
      <c r="A272" s="12">
        <v>44575</v>
      </c>
      <c r="B272" s="13">
        <v>1817.94</v>
      </c>
      <c r="C272" s="13">
        <v>1816.5</v>
      </c>
      <c r="D272" s="5">
        <v>7.505459270892473</v>
      </c>
      <c r="E272" s="5">
        <v>7.5046668516612565</v>
      </c>
      <c r="F272" s="5">
        <v>-2.5271406232887372E-3</v>
      </c>
      <c r="G272" s="5">
        <v>-2.6938634724613664E-3</v>
      </c>
    </row>
    <row r="273" spans="1:7" x14ac:dyDescent="0.25">
      <c r="A273" s="12">
        <v>44578</v>
      </c>
      <c r="B273" s="13">
        <v>1819.23</v>
      </c>
      <c r="C273" s="13">
        <v>1816.5</v>
      </c>
      <c r="D273" s="5">
        <v>7.5061686136254719</v>
      </c>
      <c r="E273" s="5">
        <v>7.5046668516612565</v>
      </c>
      <c r="F273" s="5">
        <v>7.0934273299894102E-4</v>
      </c>
      <c r="G273" s="5">
        <v>0</v>
      </c>
    </row>
    <row r="274" spans="1:7" x14ac:dyDescent="0.25">
      <c r="A274" s="12">
        <v>44579</v>
      </c>
      <c r="B274" s="13">
        <v>1813.74</v>
      </c>
      <c r="C274" s="13">
        <v>1812.4</v>
      </c>
      <c r="D274" s="5">
        <v>7.5031462907441906</v>
      </c>
      <c r="E274" s="5">
        <v>7.5024072127929831</v>
      </c>
      <c r="F274" s="5">
        <v>-3.0223228812813474E-3</v>
      </c>
      <c r="G274" s="5">
        <v>-2.2596388682734059E-3</v>
      </c>
    </row>
    <row r="275" spans="1:7" x14ac:dyDescent="0.25">
      <c r="A275" s="12">
        <v>44580</v>
      </c>
      <c r="B275" s="13">
        <v>1840.54</v>
      </c>
      <c r="C275" s="13">
        <v>1843.2</v>
      </c>
      <c r="D275" s="5">
        <v>7.5178142858075798</v>
      </c>
      <c r="E275" s="5">
        <v>7.5192584705015717</v>
      </c>
      <c r="F275" s="5">
        <v>1.4667995063389228E-2</v>
      </c>
      <c r="G275" s="5">
        <v>1.6851257708588641E-2</v>
      </c>
    </row>
    <row r="276" spans="1:7" x14ac:dyDescent="0.25">
      <c r="A276" s="12">
        <v>44581</v>
      </c>
      <c r="B276" s="13">
        <v>1839.29</v>
      </c>
      <c r="C276" s="13">
        <v>1842.6</v>
      </c>
      <c r="D276" s="5">
        <v>7.5171349065709965</v>
      </c>
      <c r="E276" s="5">
        <v>7.5189328966748317</v>
      </c>
      <c r="F276" s="5">
        <v>-6.7937923658334398E-4</v>
      </c>
      <c r="G276" s="5">
        <v>-3.2557382674003321E-4</v>
      </c>
    </row>
    <row r="277" spans="1:7" x14ac:dyDescent="0.25">
      <c r="A277" s="12">
        <v>44582</v>
      </c>
      <c r="B277" s="13">
        <v>1835.38</v>
      </c>
      <c r="C277" s="13">
        <v>1831.8</v>
      </c>
      <c r="D277" s="5">
        <v>7.5150068235183065</v>
      </c>
      <c r="E277" s="5">
        <v>7.5130543689688869</v>
      </c>
      <c r="F277" s="5">
        <v>-2.1280830526899663E-3</v>
      </c>
      <c r="G277" s="5">
        <v>-5.8785277059447694E-3</v>
      </c>
    </row>
    <row r="278" spans="1:7" x14ac:dyDescent="0.25">
      <c r="A278" s="12">
        <v>44585</v>
      </c>
      <c r="B278" s="13">
        <v>1843.06</v>
      </c>
      <c r="C278" s="13">
        <v>1841.7</v>
      </c>
      <c r="D278" s="5">
        <v>7.5191825127557443</v>
      </c>
      <c r="E278" s="5">
        <v>7.5184443371015606</v>
      </c>
      <c r="F278" s="5">
        <v>4.1756892374378296E-3</v>
      </c>
      <c r="G278" s="5">
        <v>5.3899681326736726E-3</v>
      </c>
    </row>
    <row r="279" spans="1:7" x14ac:dyDescent="0.25">
      <c r="A279" s="12">
        <v>44586</v>
      </c>
      <c r="B279" s="13">
        <v>1848.02</v>
      </c>
      <c r="C279" s="13">
        <v>1852.5</v>
      </c>
      <c r="D279" s="5">
        <v>7.5218700746538891</v>
      </c>
      <c r="E279" s="5">
        <v>7.5242913571702417</v>
      </c>
      <c r="F279" s="5">
        <v>2.6875618981447857E-3</v>
      </c>
      <c r="G279" s="5">
        <v>5.8470200686810969E-3</v>
      </c>
    </row>
    <row r="280" spans="1:7" x14ac:dyDescent="0.25">
      <c r="A280" s="12">
        <v>44587</v>
      </c>
      <c r="B280" s="13">
        <v>1819.59</v>
      </c>
      <c r="C280" s="13">
        <v>1829.7</v>
      </c>
      <c r="D280" s="5">
        <v>7.5063664799674035</v>
      </c>
      <c r="E280" s="5">
        <v>7.5119072979705201</v>
      </c>
      <c r="F280" s="5">
        <v>-1.5503594686485656E-2</v>
      </c>
      <c r="G280" s="5">
        <v>-1.238405919972152E-2</v>
      </c>
    </row>
    <row r="281" spans="1:7" x14ac:dyDescent="0.25">
      <c r="A281" s="12">
        <v>44588</v>
      </c>
      <c r="B281" s="13">
        <v>1797.43</v>
      </c>
      <c r="C281" s="13">
        <v>1793.1</v>
      </c>
      <c r="D281" s="5">
        <v>7.4941131458605481</v>
      </c>
      <c r="E281" s="5">
        <v>7.4917012444983184</v>
      </c>
      <c r="F281" s="5">
        <v>-1.2253334106855363E-2</v>
      </c>
      <c r="G281" s="5">
        <v>-2.0206053472201724E-2</v>
      </c>
    </row>
    <row r="282" spans="1:7" x14ac:dyDescent="0.25">
      <c r="A282" s="12">
        <v>44589</v>
      </c>
      <c r="B282" s="13">
        <v>1791.53</v>
      </c>
      <c r="C282" s="13">
        <v>1784.9</v>
      </c>
      <c r="D282" s="5">
        <v>7.4908252823485899</v>
      </c>
      <c r="E282" s="5">
        <v>7.4871176702354623</v>
      </c>
      <c r="F282" s="5">
        <v>-3.2878635119582E-3</v>
      </c>
      <c r="G282" s="5">
        <v>-4.5835742628561604E-3</v>
      </c>
    </row>
    <row r="283" spans="1:7" x14ac:dyDescent="0.25">
      <c r="A283" s="12">
        <v>44592</v>
      </c>
      <c r="B283" s="13">
        <v>1797.17</v>
      </c>
      <c r="C283" s="13">
        <v>1795</v>
      </c>
      <c r="D283" s="5">
        <v>7.4939684844236965</v>
      </c>
      <c r="E283" s="5">
        <v>7.4927603009223791</v>
      </c>
      <c r="F283" s="5">
        <v>3.1432020751065437E-3</v>
      </c>
      <c r="G283" s="5">
        <v>5.6426306869168386E-3</v>
      </c>
    </row>
    <row r="284" spans="1:7" x14ac:dyDescent="0.25">
      <c r="A284" s="12">
        <v>44593</v>
      </c>
      <c r="B284" s="13">
        <v>1801.19</v>
      </c>
      <c r="C284" s="13">
        <v>1800.3</v>
      </c>
      <c r="D284" s="5">
        <v>7.4962028365576856</v>
      </c>
      <c r="E284" s="5">
        <v>7.4957085966635768</v>
      </c>
      <c r="F284" s="5">
        <v>2.2343521339891481E-3</v>
      </c>
      <c r="G284" s="5">
        <v>2.948295741197704E-3</v>
      </c>
    </row>
    <row r="285" spans="1:7" x14ac:dyDescent="0.25">
      <c r="A285" s="12">
        <v>44594</v>
      </c>
      <c r="B285" s="13">
        <v>1806.8</v>
      </c>
      <c r="C285" s="13">
        <v>1809.2</v>
      </c>
      <c r="D285" s="5">
        <v>7.4993126037804494</v>
      </c>
      <c r="E285" s="5">
        <v>7.5006400376036879</v>
      </c>
      <c r="F285" s="5">
        <v>3.1097672227637929E-3</v>
      </c>
      <c r="G285" s="5">
        <v>4.9314409401111092E-3</v>
      </c>
    </row>
    <row r="286" spans="1:7" x14ac:dyDescent="0.25">
      <c r="A286" s="12">
        <v>44595</v>
      </c>
      <c r="B286" s="13">
        <v>1804.85</v>
      </c>
      <c r="C286" s="13">
        <v>1803</v>
      </c>
      <c r="D286" s="5">
        <v>7.4982327648207026</v>
      </c>
      <c r="E286" s="5">
        <v>7.4972072232033176</v>
      </c>
      <c r="F286" s="5">
        <v>-1.0798389597468372E-3</v>
      </c>
      <c r="G286" s="5">
        <v>-3.4328144003703542E-3</v>
      </c>
    </row>
    <row r="287" spans="1:7" x14ac:dyDescent="0.25">
      <c r="A287" s="12">
        <v>44596</v>
      </c>
      <c r="B287" s="13">
        <v>1808.28</v>
      </c>
      <c r="C287" s="13">
        <v>1806.6</v>
      </c>
      <c r="D287" s="5">
        <v>7.5001313962180634</v>
      </c>
      <c r="E287" s="5">
        <v>7.4992019047157434</v>
      </c>
      <c r="F287" s="5">
        <v>1.8986313973607949E-3</v>
      </c>
      <c r="G287" s="5">
        <v>1.9946815124258777E-3</v>
      </c>
    </row>
    <row r="288" spans="1:7" x14ac:dyDescent="0.25">
      <c r="A288" s="12">
        <v>44599</v>
      </c>
      <c r="B288" s="13">
        <v>1820.47</v>
      </c>
      <c r="C288" s="13">
        <v>1820.6</v>
      </c>
      <c r="D288" s="5">
        <v>7.5068499884904192</v>
      </c>
      <c r="E288" s="5">
        <v>7.5069213960711885</v>
      </c>
      <c r="F288" s="5">
        <v>6.7185922723558278E-3</v>
      </c>
      <c r="G288" s="5">
        <v>7.7194913554450295E-3</v>
      </c>
    </row>
    <row r="289" spans="1:7" x14ac:dyDescent="0.25">
      <c r="A289" s="12">
        <v>44600</v>
      </c>
      <c r="B289" s="13">
        <v>1825.92</v>
      </c>
      <c r="C289" s="13">
        <v>1826.6</v>
      </c>
      <c r="D289" s="5">
        <v>7.5098392485850809</v>
      </c>
      <c r="E289" s="5">
        <v>7.5102115942575782</v>
      </c>
      <c r="F289" s="5">
        <v>2.9892600946617165E-3</v>
      </c>
      <c r="G289" s="5">
        <v>3.2901981863897589E-3</v>
      </c>
    </row>
    <row r="290" spans="1:7" x14ac:dyDescent="0.25">
      <c r="A290" s="12">
        <v>44601</v>
      </c>
      <c r="B290" s="13">
        <v>1833.36</v>
      </c>
      <c r="C290" s="13">
        <v>1835.2</v>
      </c>
      <c r="D290" s="5">
        <v>7.513905627901214</v>
      </c>
      <c r="E290" s="5">
        <v>7.5149087463751059</v>
      </c>
      <c r="F290" s="5">
        <v>4.066379316133073E-3</v>
      </c>
      <c r="G290" s="5">
        <v>4.6971521175276365E-3</v>
      </c>
    </row>
    <row r="291" spans="1:7" x14ac:dyDescent="0.25">
      <c r="A291" s="12">
        <v>44602</v>
      </c>
      <c r="B291" s="13">
        <v>1826.85</v>
      </c>
      <c r="C291" s="13">
        <v>1836.2</v>
      </c>
      <c r="D291" s="5">
        <v>7.5103484512012288</v>
      </c>
      <c r="E291" s="5">
        <v>7.5154534977095997</v>
      </c>
      <c r="F291" s="5">
        <v>-3.5571766999851206E-3</v>
      </c>
      <c r="G291" s="5">
        <v>5.4475133449383151E-4</v>
      </c>
    </row>
    <row r="292" spans="1:7" x14ac:dyDescent="0.25">
      <c r="A292" s="12">
        <v>44603</v>
      </c>
      <c r="B292" s="13">
        <v>1858.76</v>
      </c>
      <c r="C292" s="13">
        <v>1840.8</v>
      </c>
      <c r="D292" s="5">
        <v>7.527664877719543</v>
      </c>
      <c r="E292" s="5">
        <v>7.5179555387211563</v>
      </c>
      <c r="F292" s="5">
        <v>1.731642651831411E-2</v>
      </c>
      <c r="G292" s="5">
        <v>2.5020410115565994E-3</v>
      </c>
    </row>
    <row r="293" spans="1:7" x14ac:dyDescent="0.25">
      <c r="A293" s="12">
        <v>44606</v>
      </c>
      <c r="B293" s="13">
        <v>1871.18</v>
      </c>
      <c r="C293" s="13">
        <v>1868</v>
      </c>
      <c r="D293" s="5">
        <v>7.5343245268845029</v>
      </c>
      <c r="E293" s="5">
        <v>7.5326236187887883</v>
      </c>
      <c r="F293" s="5">
        <v>6.6596491649599798E-3</v>
      </c>
      <c r="G293" s="5">
        <v>1.4668080067631983E-2</v>
      </c>
    </row>
    <row r="294" spans="1:7" x14ac:dyDescent="0.25">
      <c r="A294" s="12">
        <v>44607</v>
      </c>
      <c r="B294" s="13">
        <v>1853.61</v>
      </c>
      <c r="C294" s="13">
        <v>1854.8</v>
      </c>
      <c r="D294" s="5">
        <v>7.5248903680108219</v>
      </c>
      <c r="E294" s="5">
        <v>7.5255321525173056</v>
      </c>
      <c r="F294" s="5">
        <v>-9.4341588736810422E-3</v>
      </c>
      <c r="G294" s="5">
        <v>-7.0914662714827159E-3</v>
      </c>
    </row>
    <row r="295" spans="1:7" x14ac:dyDescent="0.25">
      <c r="A295" s="12">
        <v>44608</v>
      </c>
      <c r="B295" s="13">
        <v>1869.8</v>
      </c>
      <c r="C295" s="13">
        <v>1870.2</v>
      </c>
      <c r="D295" s="5">
        <v>7.5335867522572153</v>
      </c>
      <c r="E295" s="5">
        <v>7.5338006560013469</v>
      </c>
      <c r="F295" s="5">
        <v>8.6963842463934071E-3</v>
      </c>
      <c r="G295" s="5">
        <v>8.2685034840412897E-3</v>
      </c>
    </row>
    <row r="296" spans="1:7" x14ac:dyDescent="0.25">
      <c r="A296" s="12">
        <v>44609</v>
      </c>
      <c r="B296" s="13">
        <v>1898.43</v>
      </c>
      <c r="C296" s="13">
        <v>1900.7</v>
      </c>
      <c r="D296" s="5">
        <v>7.5487825077779807</v>
      </c>
      <c r="E296" s="5">
        <v>7.5499775183567923</v>
      </c>
      <c r="F296" s="5">
        <v>1.5195755520765353E-2</v>
      </c>
      <c r="G296" s="5">
        <v>1.6176862355445465E-2</v>
      </c>
    </row>
    <row r="297" spans="1:7" x14ac:dyDescent="0.25">
      <c r="A297" s="12">
        <v>44610</v>
      </c>
      <c r="B297" s="13">
        <v>1898.43</v>
      </c>
      <c r="C297" s="13">
        <v>1898.6</v>
      </c>
      <c r="D297" s="5">
        <v>7.5487825077779807</v>
      </c>
      <c r="E297" s="5">
        <v>7.5488720514476979</v>
      </c>
      <c r="F297" s="5">
        <v>0</v>
      </c>
      <c r="G297" s="5">
        <v>-1.1054669090944103E-3</v>
      </c>
    </row>
    <row r="298" spans="1:7" x14ac:dyDescent="0.25">
      <c r="A298" s="12">
        <v>44613</v>
      </c>
      <c r="B298" s="13">
        <v>1906.29</v>
      </c>
      <c r="C298" s="13">
        <v>1898.6</v>
      </c>
      <c r="D298" s="5">
        <v>7.5529142237421265</v>
      </c>
      <c r="E298" s="5">
        <v>7.5488720514476979</v>
      </c>
      <c r="F298" s="5">
        <v>4.1317159641458545E-3</v>
      </c>
      <c r="G298" s="5">
        <v>0</v>
      </c>
    </row>
    <row r="299" spans="1:7" x14ac:dyDescent="0.25">
      <c r="A299" s="12">
        <v>44614</v>
      </c>
      <c r="B299" s="13">
        <v>1898.64</v>
      </c>
      <c r="C299" s="13">
        <v>1906.1</v>
      </c>
      <c r="D299" s="5">
        <v>7.5488931193812503</v>
      </c>
      <c r="E299" s="5">
        <v>7.5528145487350269</v>
      </c>
      <c r="F299" s="5">
        <v>-4.0211043608762154E-3</v>
      </c>
      <c r="G299" s="5">
        <v>3.9424972873289832E-3</v>
      </c>
    </row>
    <row r="300" spans="1:7" x14ac:dyDescent="0.25">
      <c r="A300" s="12">
        <v>44615</v>
      </c>
      <c r="B300" s="13">
        <v>1909.01</v>
      </c>
      <c r="C300" s="13">
        <v>1909.2</v>
      </c>
      <c r="D300" s="5">
        <v>7.5543400620567107</v>
      </c>
      <c r="E300" s="5">
        <v>7.5544395851317416</v>
      </c>
      <c r="F300" s="5">
        <v>5.44694267546042E-3</v>
      </c>
      <c r="G300" s="5">
        <v>1.6250363967147408E-3</v>
      </c>
    </row>
    <row r="301" spans="1:7" x14ac:dyDescent="0.25">
      <c r="A301" s="12">
        <v>44616</v>
      </c>
      <c r="B301" s="13">
        <v>1903.89</v>
      </c>
      <c r="C301" s="13">
        <v>1925.1</v>
      </c>
      <c r="D301" s="5">
        <v>7.5516544405731363</v>
      </c>
      <c r="E301" s="5">
        <v>7.5627331934245792</v>
      </c>
      <c r="F301" s="5">
        <v>-2.6856214835744296E-3</v>
      </c>
      <c r="G301" s="5">
        <v>8.2936082928375399E-3</v>
      </c>
    </row>
    <row r="302" spans="1:7" x14ac:dyDescent="0.25">
      <c r="A302" s="12">
        <v>44617</v>
      </c>
      <c r="B302" s="13">
        <v>1889.34</v>
      </c>
      <c r="C302" s="13">
        <v>1887.6</v>
      </c>
      <c r="D302" s="5">
        <v>7.5439828407177458</v>
      </c>
      <c r="E302" s="5">
        <v>7.5430614598522325</v>
      </c>
      <c r="F302" s="5">
        <v>-7.6715998553904541E-3</v>
      </c>
      <c r="G302" s="5">
        <v>-1.9671733572346639E-2</v>
      </c>
    </row>
    <row r="303" spans="1:7" x14ac:dyDescent="0.25">
      <c r="A303" s="12">
        <v>44620</v>
      </c>
      <c r="B303" s="13">
        <v>1908.99</v>
      </c>
      <c r="C303" s="13">
        <v>1900.7</v>
      </c>
      <c r="D303" s="5">
        <v>7.554329585367344</v>
      </c>
      <c r="E303" s="5">
        <v>7.5499775183567923</v>
      </c>
      <c r="F303" s="5">
        <v>1.0346744649598172E-2</v>
      </c>
      <c r="G303" s="5">
        <v>6.9160585045597855E-3</v>
      </c>
    </row>
    <row r="304" spans="1:7" x14ac:dyDescent="0.25">
      <c r="A304" s="12">
        <v>44621</v>
      </c>
      <c r="B304" s="13">
        <v>1945.28</v>
      </c>
      <c r="C304" s="13">
        <v>1943.8</v>
      </c>
      <c r="D304" s="5">
        <v>7.5731612045603578</v>
      </c>
      <c r="E304" s="5">
        <v>7.5724000990693705</v>
      </c>
      <c r="F304" s="5">
        <v>1.8831619193013793E-2</v>
      </c>
      <c r="G304" s="5">
        <v>2.2422580712578188E-2</v>
      </c>
    </row>
    <row r="305" spans="1:7" x14ac:dyDescent="0.25">
      <c r="A305" s="12">
        <v>44622</v>
      </c>
      <c r="B305" s="13">
        <v>1928.72</v>
      </c>
      <c r="C305" s="13">
        <v>1922.3</v>
      </c>
      <c r="D305" s="5">
        <v>7.5646118494410448</v>
      </c>
      <c r="E305" s="5">
        <v>7.5612776647588147</v>
      </c>
      <c r="F305" s="5">
        <v>-8.5493551193129846E-3</v>
      </c>
      <c r="G305" s="5">
        <v>-1.1122434310555818E-2</v>
      </c>
    </row>
    <row r="306" spans="1:7" x14ac:dyDescent="0.25">
      <c r="A306" s="12">
        <v>44623</v>
      </c>
      <c r="B306" s="13">
        <v>1935.95</v>
      </c>
      <c r="C306" s="13">
        <v>1935.9</v>
      </c>
      <c r="D306" s="5">
        <v>7.5683534410567326</v>
      </c>
      <c r="E306" s="5">
        <v>7.5683276136099034</v>
      </c>
      <c r="F306" s="5">
        <v>3.7415916156877671E-3</v>
      </c>
      <c r="G306" s="5">
        <v>7.0499488510886721E-3</v>
      </c>
    </row>
    <row r="307" spans="1:7" x14ac:dyDescent="0.25">
      <c r="A307" s="12">
        <v>44624</v>
      </c>
      <c r="B307" s="13">
        <v>1970.7</v>
      </c>
      <c r="C307" s="13">
        <v>1966.6</v>
      </c>
      <c r="D307" s="5">
        <v>7.5861440885665372</v>
      </c>
      <c r="E307" s="5">
        <v>7.5840614423460559</v>
      </c>
      <c r="F307" s="5">
        <v>1.7790647509804636E-2</v>
      </c>
      <c r="G307" s="5">
        <v>1.5733828736152589E-2</v>
      </c>
    </row>
    <row r="308" spans="1:7" x14ac:dyDescent="0.25">
      <c r="A308" s="12">
        <v>44627</v>
      </c>
      <c r="B308" s="13">
        <v>1998.11</v>
      </c>
      <c r="C308" s="13">
        <v>1995.9</v>
      </c>
      <c r="D308" s="5">
        <v>7.5999570127480798</v>
      </c>
      <c r="E308" s="5">
        <v>7.5988503554159514</v>
      </c>
      <c r="F308" s="5">
        <v>1.3812924181542563E-2</v>
      </c>
      <c r="G308" s="5">
        <v>1.4788913069895493E-2</v>
      </c>
    </row>
    <row r="309" spans="1:7" x14ac:dyDescent="0.25">
      <c r="A309" s="12">
        <v>44628</v>
      </c>
      <c r="B309" s="13">
        <v>2050.7600000000002</v>
      </c>
      <c r="C309" s="13">
        <v>2043.3</v>
      </c>
      <c r="D309" s="5">
        <v>7.6259657351357513</v>
      </c>
      <c r="E309" s="5">
        <v>7.6223214269153825</v>
      </c>
      <c r="F309" s="5">
        <v>2.600872238767149E-2</v>
      </c>
      <c r="G309" s="5">
        <v>2.3471071499431062E-2</v>
      </c>
    </row>
    <row r="310" spans="1:7" x14ac:dyDescent="0.25">
      <c r="A310" s="12">
        <v>44629</v>
      </c>
      <c r="B310" s="13">
        <v>1991.83</v>
      </c>
      <c r="C310" s="13">
        <v>1988.2</v>
      </c>
      <c r="D310" s="5">
        <v>7.5968090931373</v>
      </c>
      <c r="E310" s="5">
        <v>7.5949849857780452</v>
      </c>
      <c r="F310" s="5">
        <v>-2.9156641998451249E-2</v>
      </c>
      <c r="G310" s="5">
        <v>-2.7336441137337353E-2</v>
      </c>
    </row>
    <row r="311" spans="1:7" x14ac:dyDescent="0.25">
      <c r="A311" s="12">
        <v>44630</v>
      </c>
      <c r="B311" s="13">
        <v>1996.98</v>
      </c>
      <c r="C311" s="13">
        <v>2000.4</v>
      </c>
      <c r="D311" s="5">
        <v>7.5993913183431303</v>
      </c>
      <c r="E311" s="5">
        <v>7.6011024395447491</v>
      </c>
      <c r="F311" s="5">
        <v>2.5822252058302908E-3</v>
      </c>
      <c r="G311" s="5">
        <v>6.1174537667039175E-3</v>
      </c>
    </row>
    <row r="312" spans="1:7" x14ac:dyDescent="0.25">
      <c r="A312" s="12">
        <v>44631</v>
      </c>
      <c r="B312" s="13">
        <v>1988.46</v>
      </c>
      <c r="C312" s="13">
        <v>1985</v>
      </c>
      <c r="D312" s="5">
        <v>7.5951157487803487</v>
      </c>
      <c r="E312" s="5">
        <v>7.5933741931212904</v>
      </c>
      <c r="F312" s="5">
        <v>-4.2755695627816337E-3</v>
      </c>
      <c r="G312" s="5">
        <v>-7.7282464234587067E-3</v>
      </c>
    </row>
    <row r="313" spans="1:7" x14ac:dyDescent="0.25">
      <c r="A313" s="12">
        <v>44634</v>
      </c>
      <c r="B313" s="13">
        <v>1950.88</v>
      </c>
      <c r="C313" s="13">
        <v>1960.8</v>
      </c>
      <c r="D313" s="5">
        <v>7.5760358318119545</v>
      </c>
      <c r="E313" s="5">
        <v>7.5811078322139025</v>
      </c>
      <c r="F313" s="5">
        <v>-1.9079916968394173E-2</v>
      </c>
      <c r="G313" s="5">
        <v>-1.2266360907387863E-2</v>
      </c>
    </row>
    <row r="314" spans="1:7" x14ac:dyDescent="0.25">
      <c r="A314" s="12">
        <v>44635</v>
      </c>
      <c r="B314" s="13">
        <v>1917.94</v>
      </c>
      <c r="C314" s="13">
        <v>1929.7</v>
      </c>
      <c r="D314" s="5">
        <v>7.5590069723680458</v>
      </c>
      <c r="E314" s="5">
        <v>7.5651198294023105</v>
      </c>
      <c r="F314" s="5">
        <v>-1.702885944390875E-2</v>
      </c>
      <c r="G314" s="5">
        <v>-1.5988002811591961E-2</v>
      </c>
    </row>
    <row r="315" spans="1:7" x14ac:dyDescent="0.25">
      <c r="A315" s="12">
        <v>44636</v>
      </c>
      <c r="B315" s="13">
        <v>1927.29</v>
      </c>
      <c r="C315" s="13">
        <v>1909.2</v>
      </c>
      <c r="D315" s="5">
        <v>7.5638701500857231</v>
      </c>
      <c r="E315" s="5">
        <v>7.5544395851317416</v>
      </c>
      <c r="F315" s="5">
        <v>4.8631777176773028E-3</v>
      </c>
      <c r="G315" s="5">
        <v>-1.0680244270568906E-2</v>
      </c>
    </row>
    <row r="316" spans="1:7" x14ac:dyDescent="0.25">
      <c r="A316" s="12">
        <v>44637</v>
      </c>
      <c r="B316" s="13">
        <v>1942.89</v>
      </c>
      <c r="C316" s="13">
        <v>1943.2</v>
      </c>
      <c r="D316" s="5">
        <v>7.5719318342905337</v>
      </c>
      <c r="E316" s="5">
        <v>7.572091377687963</v>
      </c>
      <c r="F316" s="5">
        <v>8.0616842048106818E-3</v>
      </c>
      <c r="G316" s="5">
        <v>1.7651792556221402E-2</v>
      </c>
    </row>
    <row r="317" spans="1:7" x14ac:dyDescent="0.25">
      <c r="A317" s="12">
        <v>44638</v>
      </c>
      <c r="B317" s="13">
        <v>1921.62</v>
      </c>
      <c r="C317" s="13">
        <v>1929.3</v>
      </c>
      <c r="D317" s="5">
        <v>7.5609238592648955</v>
      </c>
      <c r="E317" s="5">
        <v>7.5649125218089273</v>
      </c>
      <c r="F317" s="5">
        <v>-1.1007975025638217E-2</v>
      </c>
      <c r="G317" s="5">
        <v>-7.1788558790357726E-3</v>
      </c>
    </row>
    <row r="318" spans="1:7" x14ac:dyDescent="0.25">
      <c r="A318" s="12">
        <v>44641</v>
      </c>
      <c r="B318" s="13">
        <v>1935.91</v>
      </c>
      <c r="C318" s="13">
        <v>1929.5</v>
      </c>
      <c r="D318" s="5">
        <v>7.5683327791526347</v>
      </c>
      <c r="E318" s="5">
        <v>7.5650161809776737</v>
      </c>
      <c r="F318" s="5">
        <v>7.4089198877391738E-3</v>
      </c>
      <c r="G318" s="5">
        <v>1.0365916874643943E-4</v>
      </c>
    </row>
    <row r="319" spans="1:7" x14ac:dyDescent="0.25">
      <c r="A319" s="12">
        <v>44642</v>
      </c>
      <c r="B319" s="13">
        <v>1921.69</v>
      </c>
      <c r="C319" s="13">
        <v>1921.5</v>
      </c>
      <c r="D319" s="5">
        <v>7.5609602861989744</v>
      </c>
      <c r="E319" s="5">
        <v>7.5608614100048985</v>
      </c>
      <c r="F319" s="5">
        <v>-7.3724929536602701E-3</v>
      </c>
      <c r="G319" s="5">
        <v>-4.154770972775168E-3</v>
      </c>
    </row>
    <row r="320" spans="1:7" x14ac:dyDescent="0.25">
      <c r="A320" s="12">
        <v>44643</v>
      </c>
      <c r="B320" s="13">
        <v>1943.86</v>
      </c>
      <c r="C320" s="13">
        <v>1937.3</v>
      </c>
      <c r="D320" s="5">
        <v>7.572430965966169</v>
      </c>
      <c r="E320" s="5">
        <v>7.5690505300929001</v>
      </c>
      <c r="F320" s="5">
        <v>1.1470679767194625E-2</v>
      </c>
      <c r="G320" s="5">
        <v>8.1891200880015447E-3</v>
      </c>
    </row>
    <row r="321" spans="1:7" x14ac:dyDescent="0.25">
      <c r="A321" s="12">
        <v>44644</v>
      </c>
      <c r="B321" s="13">
        <v>1957.69</v>
      </c>
      <c r="C321" s="13">
        <v>1962.2</v>
      </c>
      <c r="D321" s="5">
        <v>7.5795204857345118</v>
      </c>
      <c r="E321" s="5">
        <v>7.5818215717292903</v>
      </c>
      <c r="F321" s="5">
        <v>7.0895197683427114E-3</v>
      </c>
      <c r="G321" s="5">
        <v>1.2771041636390201E-2</v>
      </c>
    </row>
    <row r="322" spans="1:7" x14ac:dyDescent="0.25">
      <c r="A322" s="12">
        <v>44645</v>
      </c>
      <c r="B322" s="13">
        <v>1958.29</v>
      </c>
      <c r="C322" s="13">
        <v>1954.2</v>
      </c>
      <c r="D322" s="5">
        <v>7.5798269224398549</v>
      </c>
      <c r="E322" s="5">
        <v>7.5777361815102431</v>
      </c>
      <c r="F322" s="5">
        <v>3.0643670534313827E-4</v>
      </c>
      <c r="G322" s="5">
        <v>-4.0853902190471914E-3</v>
      </c>
    </row>
    <row r="323" spans="1:7" x14ac:dyDescent="0.25">
      <c r="A323" s="12">
        <v>44648</v>
      </c>
      <c r="B323" s="13">
        <v>1922.8</v>
      </c>
      <c r="C323" s="13">
        <v>1939.8</v>
      </c>
      <c r="D323" s="5">
        <v>7.5615377360198055</v>
      </c>
      <c r="E323" s="5">
        <v>7.5703401539594424</v>
      </c>
      <c r="F323" s="5">
        <v>-1.8289186420049397E-2</v>
      </c>
      <c r="G323" s="5">
        <v>-7.3960275508007101E-3</v>
      </c>
    </row>
    <row r="324" spans="1:7" x14ac:dyDescent="0.25">
      <c r="A324" s="12">
        <v>44649</v>
      </c>
      <c r="B324" s="13">
        <v>1919.43</v>
      </c>
      <c r="C324" s="13">
        <v>1912.2</v>
      </c>
      <c r="D324" s="5">
        <v>7.559783545945721</v>
      </c>
      <c r="E324" s="5">
        <v>7.5560096906513454</v>
      </c>
      <c r="F324" s="5">
        <v>-1.7541900740845051E-3</v>
      </c>
      <c r="G324" s="5">
        <v>-1.4330463308096952E-2</v>
      </c>
    </row>
    <row r="325" spans="1:7" x14ac:dyDescent="0.25">
      <c r="A325" s="12">
        <v>44650</v>
      </c>
      <c r="B325" s="13">
        <v>1932.87</v>
      </c>
      <c r="C325" s="13">
        <v>1933.5</v>
      </c>
      <c r="D325" s="5">
        <v>7.5667612239720974</v>
      </c>
      <c r="E325" s="5">
        <v>7.5670871110473517</v>
      </c>
      <c r="F325" s="5">
        <v>6.9776780263763882E-3</v>
      </c>
      <c r="G325" s="5">
        <v>1.1077420396006232E-2</v>
      </c>
    </row>
    <row r="326" spans="1:7" x14ac:dyDescent="0.25">
      <c r="A326" s="12">
        <v>44651</v>
      </c>
      <c r="B326" s="13">
        <v>1937.44</v>
      </c>
      <c r="C326" s="13">
        <v>1949.2</v>
      </c>
      <c r="D326" s="5">
        <v>7.5691227930060565</v>
      </c>
      <c r="E326" s="5">
        <v>7.5751743109693512</v>
      </c>
      <c r="F326" s="5">
        <v>2.3615690339591211E-3</v>
      </c>
      <c r="G326" s="5">
        <v>8.0871999219995772E-3</v>
      </c>
    </row>
    <row r="327" spans="1:7" x14ac:dyDescent="0.25">
      <c r="A327" s="12">
        <v>44652</v>
      </c>
      <c r="B327" s="13">
        <v>1925.68</v>
      </c>
      <c r="C327" s="13">
        <v>1919.1</v>
      </c>
      <c r="D327" s="5">
        <v>7.5630344310981865</v>
      </c>
      <c r="E327" s="5">
        <v>7.5596116051242017</v>
      </c>
      <c r="F327" s="5">
        <v>-6.088361907869988E-3</v>
      </c>
      <c r="G327" s="5">
        <v>-1.5562705845149516E-2</v>
      </c>
    </row>
    <row r="328" spans="1:7" x14ac:dyDescent="0.25">
      <c r="A328" s="12">
        <v>44655</v>
      </c>
      <c r="B328" s="13">
        <v>1932.73</v>
      </c>
      <c r="C328" s="13">
        <v>1929.2</v>
      </c>
      <c r="D328" s="5">
        <v>7.5666887901972313</v>
      </c>
      <c r="E328" s="5">
        <v>7.5648606881948171</v>
      </c>
      <c r="F328" s="5">
        <v>3.6543590990447683E-3</v>
      </c>
      <c r="G328" s="5">
        <v>5.2490830706153346E-3</v>
      </c>
    </row>
    <row r="329" spans="1:7" x14ac:dyDescent="0.25">
      <c r="A329" s="12">
        <v>44656</v>
      </c>
      <c r="B329" s="13">
        <v>1923.6</v>
      </c>
      <c r="C329" s="13">
        <v>1922.9</v>
      </c>
      <c r="D329" s="5">
        <v>7.5619537094035074</v>
      </c>
      <c r="E329" s="5">
        <v>7.5615897421565412</v>
      </c>
      <c r="F329" s="5">
        <v>-4.735080793723867E-3</v>
      </c>
      <c r="G329" s="5">
        <v>-3.2709460382758238E-3</v>
      </c>
    </row>
    <row r="330" spans="1:7" x14ac:dyDescent="0.25">
      <c r="A330" s="12">
        <v>44657</v>
      </c>
      <c r="B330" s="13">
        <v>1925.35</v>
      </c>
      <c r="C330" s="13">
        <v>1918.4</v>
      </c>
      <c r="D330" s="5">
        <v>7.56286304837678</v>
      </c>
      <c r="E330" s="5">
        <v>7.5592467842732498</v>
      </c>
      <c r="F330" s="5">
        <v>9.0933897327261093E-4</v>
      </c>
      <c r="G330" s="5">
        <v>-2.3429578832914189E-3</v>
      </c>
    </row>
    <row r="331" spans="1:7" x14ac:dyDescent="0.25">
      <c r="A331" s="12">
        <v>44658</v>
      </c>
      <c r="B331" s="13">
        <v>1931.86</v>
      </c>
      <c r="C331" s="13">
        <v>1933.8</v>
      </c>
      <c r="D331" s="5">
        <v>7.5662385483787213</v>
      </c>
      <c r="E331" s="5">
        <v>7.5672422580494469</v>
      </c>
      <c r="F331" s="5">
        <v>3.3755000019413117E-3</v>
      </c>
      <c r="G331" s="5">
        <v>7.9954737761971373E-3</v>
      </c>
    </row>
    <row r="332" spans="1:7" x14ac:dyDescent="0.25">
      <c r="A332" s="12">
        <v>44659</v>
      </c>
      <c r="B332" s="13">
        <v>1947.54</v>
      </c>
      <c r="C332" s="13">
        <v>1941.6</v>
      </c>
      <c r="D332" s="5">
        <v>7.5743223166867377</v>
      </c>
      <c r="E332" s="5">
        <v>7.5712676544123916</v>
      </c>
      <c r="F332" s="5">
        <v>8.0837683080163814E-3</v>
      </c>
      <c r="G332" s="5">
        <v>4.0253963629446332E-3</v>
      </c>
    </row>
    <row r="333" spans="1:7" x14ac:dyDescent="0.25">
      <c r="A333" s="12">
        <v>44662</v>
      </c>
      <c r="B333" s="13">
        <v>1953.52</v>
      </c>
      <c r="C333" s="13">
        <v>1944.3</v>
      </c>
      <c r="D333" s="5">
        <v>7.5773881524770141</v>
      </c>
      <c r="E333" s="5">
        <v>7.5726572941017798</v>
      </c>
      <c r="F333" s="5">
        <v>3.0658357902764166E-3</v>
      </c>
      <c r="G333" s="5">
        <v>1.3896396893882113E-3</v>
      </c>
    </row>
    <row r="334" spans="1:7" x14ac:dyDescent="0.25">
      <c r="A334" s="12">
        <v>44663</v>
      </c>
      <c r="B334" s="13">
        <v>1966.76</v>
      </c>
      <c r="C334" s="13">
        <v>1972.1</v>
      </c>
      <c r="D334" s="5">
        <v>7.5841427977267424</v>
      </c>
      <c r="E334" s="5">
        <v>7.5868542438160231</v>
      </c>
      <c r="F334" s="5">
        <v>6.7546452497282417E-3</v>
      </c>
      <c r="G334" s="5">
        <v>1.4196949714243345E-2</v>
      </c>
    </row>
    <row r="335" spans="1:7" x14ac:dyDescent="0.25">
      <c r="A335" s="12">
        <v>44664</v>
      </c>
      <c r="B335" s="13">
        <v>1977.8</v>
      </c>
      <c r="C335" s="13">
        <v>1981</v>
      </c>
      <c r="D335" s="5">
        <v>7.5897403948358901</v>
      </c>
      <c r="E335" s="5">
        <v>7.5913570466985512</v>
      </c>
      <c r="F335" s="5">
        <v>5.5975971091477561E-3</v>
      </c>
      <c r="G335" s="5">
        <v>4.5028028825280231E-3</v>
      </c>
    </row>
    <row r="336" spans="1:7" x14ac:dyDescent="0.25">
      <c r="A336" s="12">
        <v>44665</v>
      </c>
      <c r="B336" s="13">
        <v>1973.71</v>
      </c>
      <c r="C336" s="13">
        <v>1970.9</v>
      </c>
      <c r="D336" s="5">
        <v>7.58767029937336</v>
      </c>
      <c r="E336" s="5">
        <v>7.5862455701984484</v>
      </c>
      <c r="F336" s="5">
        <v>-2.0700954625301193E-3</v>
      </c>
      <c r="G336" s="5">
        <v>-5.1114765001027962E-3</v>
      </c>
    </row>
    <row r="337" spans="1:7" x14ac:dyDescent="0.25">
      <c r="A337" s="12">
        <v>44666</v>
      </c>
      <c r="B337" s="13">
        <v>1978.24</v>
      </c>
      <c r="C337" s="13">
        <v>1970.9</v>
      </c>
      <c r="D337" s="5">
        <v>7.5899628395036967</v>
      </c>
      <c r="E337" s="5">
        <v>7.5862455701984484</v>
      </c>
      <c r="F337" s="5">
        <v>2.2925401303366399E-3</v>
      </c>
      <c r="G337" s="5">
        <v>0</v>
      </c>
    </row>
    <row r="338" spans="1:7" x14ac:dyDescent="0.25">
      <c r="A338" s="12">
        <v>44669</v>
      </c>
      <c r="B338" s="13">
        <v>1978.91</v>
      </c>
      <c r="C338" s="13">
        <v>1982.9</v>
      </c>
      <c r="D338" s="5">
        <v>7.5903014670545366</v>
      </c>
      <c r="E338" s="5">
        <v>7.59231569860476</v>
      </c>
      <c r="F338" s="5">
        <v>3.3862755083990947E-4</v>
      </c>
      <c r="G338" s="5">
        <v>6.0701284063116034E-3</v>
      </c>
    </row>
    <row r="339" spans="1:7" x14ac:dyDescent="0.25">
      <c r="A339" s="12">
        <v>44670</v>
      </c>
      <c r="B339" s="13">
        <v>1950.09</v>
      </c>
      <c r="C339" s="13">
        <v>1955.7</v>
      </c>
      <c r="D339" s="5">
        <v>7.57563080433889</v>
      </c>
      <c r="E339" s="5">
        <v>7.5785034645986036</v>
      </c>
      <c r="F339" s="5">
        <v>-1.4670662715646543E-2</v>
      </c>
      <c r="G339" s="5">
        <v>-1.3812234006156388E-2</v>
      </c>
    </row>
    <row r="340" spans="1:7" x14ac:dyDescent="0.25">
      <c r="A340" s="12">
        <v>44671</v>
      </c>
      <c r="B340" s="13">
        <v>1957.77</v>
      </c>
      <c r="C340" s="13">
        <v>1952.3</v>
      </c>
      <c r="D340" s="5">
        <v>7.5795613493878307</v>
      </c>
      <c r="E340" s="5">
        <v>7.5767634436887565</v>
      </c>
      <c r="F340" s="5">
        <v>3.9305450489406368E-3</v>
      </c>
      <c r="G340" s="5">
        <v>-1.7400209098470398E-3</v>
      </c>
    </row>
    <row r="341" spans="1:7" x14ac:dyDescent="0.25">
      <c r="A341" s="12">
        <v>44672</v>
      </c>
      <c r="B341" s="13">
        <v>1951.62</v>
      </c>
      <c r="C341" s="13">
        <v>1944.9</v>
      </c>
      <c r="D341" s="5">
        <v>7.5764150758908118</v>
      </c>
      <c r="E341" s="5">
        <v>7.5729658408490597</v>
      </c>
      <c r="F341" s="5">
        <v>-3.1462734970189032E-3</v>
      </c>
      <c r="G341" s="5">
        <v>-3.7976028396968786E-3</v>
      </c>
    </row>
    <row r="342" spans="1:7" x14ac:dyDescent="0.25">
      <c r="A342" s="12">
        <v>44673</v>
      </c>
      <c r="B342" s="13">
        <v>1931.6</v>
      </c>
      <c r="C342" s="13">
        <v>1931</v>
      </c>
      <c r="D342" s="5">
        <v>7.5661039539993871</v>
      </c>
      <c r="E342" s="5">
        <v>7.5657932824285146</v>
      </c>
      <c r="F342" s="5">
        <v>-1.031112189142469E-2</v>
      </c>
      <c r="G342" s="5">
        <v>-7.1725584205450943E-3</v>
      </c>
    </row>
    <row r="343" spans="1:7" x14ac:dyDescent="0.25">
      <c r="A343" s="12">
        <v>44676</v>
      </c>
      <c r="B343" s="13">
        <v>1897.83</v>
      </c>
      <c r="C343" s="13">
        <v>1893.2</v>
      </c>
      <c r="D343" s="5">
        <v>7.5484664071921435</v>
      </c>
      <c r="E343" s="5">
        <v>7.5460237980320928</v>
      </c>
      <c r="F343" s="5">
        <v>-1.7637546807243609E-2</v>
      </c>
      <c r="G343" s="5">
        <v>-1.9769484396421788E-2</v>
      </c>
    </row>
    <row r="344" spans="1:7" x14ac:dyDescent="0.25">
      <c r="A344" s="12">
        <v>44677</v>
      </c>
      <c r="B344" s="13">
        <v>1905.51</v>
      </c>
      <c r="C344" s="13">
        <v>1901.4</v>
      </c>
      <c r="D344" s="5">
        <v>7.5525049682665575</v>
      </c>
      <c r="E344" s="5">
        <v>7.55034573592493</v>
      </c>
      <c r="F344" s="5">
        <v>4.0385610744140266E-3</v>
      </c>
      <c r="G344" s="5">
        <v>4.321937892837191E-3</v>
      </c>
    </row>
    <row r="345" spans="1:7" x14ac:dyDescent="0.25">
      <c r="A345" s="12">
        <v>44678</v>
      </c>
      <c r="B345" s="13">
        <v>1886.1</v>
      </c>
      <c r="C345" s="13">
        <v>1885.9</v>
      </c>
      <c r="D345" s="5">
        <v>7.5422664840571247</v>
      </c>
      <c r="E345" s="5">
        <v>7.5421604395183195</v>
      </c>
      <c r="F345" s="5">
        <v>-1.0238484209432741E-2</v>
      </c>
      <c r="G345" s="5">
        <v>-8.1852964066104761E-3</v>
      </c>
    </row>
    <row r="346" spans="1:7" x14ac:dyDescent="0.25">
      <c r="A346" s="12">
        <v>44679</v>
      </c>
      <c r="B346" s="13">
        <v>1894.45</v>
      </c>
      <c r="C346" s="13">
        <v>1891.3</v>
      </c>
      <c r="D346" s="5">
        <v>7.5466838379224628</v>
      </c>
      <c r="E346" s="5">
        <v>7.5450197022944083</v>
      </c>
      <c r="F346" s="5">
        <v>4.4173538653380362E-3</v>
      </c>
      <c r="G346" s="5">
        <v>2.8592627760888334E-3</v>
      </c>
    </row>
    <row r="347" spans="1:7" x14ac:dyDescent="0.25">
      <c r="A347" s="12">
        <v>44680</v>
      </c>
      <c r="B347" s="13">
        <v>1896.93</v>
      </c>
      <c r="C347" s="13">
        <v>1911.7</v>
      </c>
      <c r="D347" s="5">
        <v>7.5479920688851756</v>
      </c>
      <c r="E347" s="5">
        <v>7.5557481775349729</v>
      </c>
      <c r="F347" s="5">
        <v>1.3082309627128197E-3</v>
      </c>
      <c r="G347" s="5">
        <v>1.0728475240564528E-2</v>
      </c>
    </row>
    <row r="348" spans="1:7" x14ac:dyDescent="0.25">
      <c r="A348" s="12">
        <v>44683</v>
      </c>
      <c r="B348" s="13">
        <v>1863.02</v>
      </c>
      <c r="C348" s="13">
        <v>1863.6</v>
      </c>
      <c r="D348" s="5">
        <v>7.5299541059170192</v>
      </c>
      <c r="E348" s="5">
        <v>7.5302653799426418</v>
      </c>
      <c r="F348" s="5">
        <v>-1.8037962968156407E-2</v>
      </c>
      <c r="G348" s="5">
        <v>-2.5482797592331075E-2</v>
      </c>
    </row>
    <row r="349" spans="1:7" x14ac:dyDescent="0.25">
      <c r="A349" s="12">
        <v>44684</v>
      </c>
      <c r="B349" s="13">
        <v>1868.12</v>
      </c>
      <c r="C349" s="13">
        <v>1870.6</v>
      </c>
      <c r="D349" s="5">
        <v>7.5326878565541922</v>
      </c>
      <c r="E349" s="5">
        <v>7.5340145140004502</v>
      </c>
      <c r="F349" s="5">
        <v>2.7337506371729603E-3</v>
      </c>
      <c r="G349" s="5">
        <v>3.749134057808412E-3</v>
      </c>
    </row>
    <row r="350" spans="1:7" x14ac:dyDescent="0.25">
      <c r="A350" s="12">
        <v>44685</v>
      </c>
      <c r="B350" s="13">
        <v>1881.22</v>
      </c>
      <c r="C350" s="13">
        <v>1868.8</v>
      </c>
      <c r="D350" s="5">
        <v>7.5396757815261797</v>
      </c>
      <c r="E350" s="5">
        <v>7.5330517926339082</v>
      </c>
      <c r="F350" s="5">
        <v>6.9879249719875247E-3</v>
      </c>
      <c r="G350" s="5">
        <v>-9.6272136654196316E-4</v>
      </c>
    </row>
    <row r="351" spans="1:7" x14ac:dyDescent="0.25">
      <c r="A351" s="12">
        <v>44686</v>
      </c>
      <c r="B351" s="13">
        <v>1877.18</v>
      </c>
      <c r="C351" s="13">
        <v>1875.7</v>
      </c>
      <c r="D351" s="5">
        <v>7.5375259296977282</v>
      </c>
      <c r="E351" s="5">
        <v>7.5367372020662957</v>
      </c>
      <c r="F351" s="5">
        <v>-2.14985182845151E-3</v>
      </c>
      <c r="G351" s="5">
        <v>3.6854094323874875E-3</v>
      </c>
    </row>
    <row r="352" spans="1:7" x14ac:dyDescent="0.25">
      <c r="A352" s="12">
        <v>44687</v>
      </c>
      <c r="B352" s="13">
        <v>1883.81</v>
      </c>
      <c r="C352" s="13">
        <v>1882.8</v>
      </c>
      <c r="D352" s="5">
        <v>7.5410516007937796</v>
      </c>
      <c r="E352" s="5">
        <v>7.5405153095269872</v>
      </c>
      <c r="F352" s="5">
        <v>3.5256710960513971E-3</v>
      </c>
      <c r="G352" s="5">
        <v>3.7781074606915155E-3</v>
      </c>
    </row>
    <row r="353" spans="1:7" x14ac:dyDescent="0.25">
      <c r="A353" s="12">
        <v>44690</v>
      </c>
      <c r="B353" s="13">
        <v>1854.17</v>
      </c>
      <c r="C353" s="13">
        <v>1858.6</v>
      </c>
      <c r="D353" s="5">
        <v>7.525192435557579</v>
      </c>
      <c r="E353" s="5">
        <v>7.5275787951232385</v>
      </c>
      <c r="F353" s="5">
        <v>-1.5859165236200568E-2</v>
      </c>
      <c r="G353" s="5">
        <v>-1.2936514403748767E-2</v>
      </c>
    </row>
    <row r="354" spans="1:7" x14ac:dyDescent="0.25">
      <c r="A354" s="12">
        <v>44691</v>
      </c>
      <c r="B354" s="13">
        <v>1838.27</v>
      </c>
      <c r="C354" s="13">
        <v>1841</v>
      </c>
      <c r="D354" s="5">
        <v>7.5165801909301067</v>
      </c>
      <c r="E354" s="5">
        <v>7.5180641812330782</v>
      </c>
      <c r="F354" s="5">
        <v>-8.612244627472343E-3</v>
      </c>
      <c r="G354" s="5">
        <v>-9.5146138901602839E-3</v>
      </c>
    </row>
    <row r="355" spans="1:7" x14ac:dyDescent="0.25">
      <c r="A355" s="12">
        <v>44692</v>
      </c>
      <c r="B355" s="13">
        <v>1852.4</v>
      </c>
      <c r="C355" s="13">
        <v>1853.7</v>
      </c>
      <c r="D355" s="5">
        <v>7.5242373746065967</v>
      </c>
      <c r="E355" s="5">
        <v>7.5249389207350434</v>
      </c>
      <c r="F355" s="5">
        <v>7.6571836764900425E-3</v>
      </c>
      <c r="G355" s="5">
        <v>6.8747395019652657E-3</v>
      </c>
    </row>
    <row r="356" spans="1:7" x14ac:dyDescent="0.25">
      <c r="A356" s="12">
        <v>44693</v>
      </c>
      <c r="B356" s="13">
        <v>1821.82</v>
      </c>
      <c r="C356" s="13">
        <v>1824.6</v>
      </c>
      <c r="D356" s="5">
        <v>7.5075912804039246</v>
      </c>
      <c r="E356" s="5">
        <v>7.5091160639113737</v>
      </c>
      <c r="F356" s="5">
        <v>-1.6646094202672046E-2</v>
      </c>
      <c r="G356" s="5">
        <v>-1.5822856823669795E-2</v>
      </c>
    </row>
    <row r="357" spans="1:7" x14ac:dyDescent="0.25">
      <c r="A357" s="12">
        <v>44694</v>
      </c>
      <c r="B357" s="13">
        <v>1811.79</v>
      </c>
      <c r="C357" s="13">
        <v>1808.2</v>
      </c>
      <c r="D357" s="5">
        <v>7.5020705858469565</v>
      </c>
      <c r="E357" s="5">
        <v>7.5000871543032659</v>
      </c>
      <c r="F357" s="5">
        <v>-5.5206945569681309E-3</v>
      </c>
      <c r="G357" s="5">
        <v>-9.0289096081077602E-3</v>
      </c>
    </row>
    <row r="358" spans="1:7" x14ac:dyDescent="0.25">
      <c r="A358" s="12">
        <v>44697</v>
      </c>
      <c r="B358" s="13">
        <v>1824.14</v>
      </c>
      <c r="C358" s="13">
        <v>1814</v>
      </c>
      <c r="D358" s="5">
        <v>7.5088639220747746</v>
      </c>
      <c r="E358" s="5">
        <v>7.5032896306750816</v>
      </c>
      <c r="F358" s="5">
        <v>6.7933362278180809E-3</v>
      </c>
      <c r="G358" s="5">
        <v>3.202476371815699E-3</v>
      </c>
    </row>
    <row r="359" spans="1:7" x14ac:dyDescent="0.25">
      <c r="A359" s="12">
        <v>44698</v>
      </c>
      <c r="B359" s="13">
        <v>1815.16</v>
      </c>
      <c r="C359" s="13">
        <v>1818.9</v>
      </c>
      <c r="D359" s="5">
        <v>7.503928897083564</v>
      </c>
      <c r="E359" s="5">
        <v>7.5059872017457945</v>
      </c>
      <c r="F359" s="5">
        <v>-4.9350249912105681E-3</v>
      </c>
      <c r="G359" s="5">
        <v>2.6975710707128897E-3</v>
      </c>
    </row>
    <row r="360" spans="1:7" x14ac:dyDescent="0.25">
      <c r="A360" s="12">
        <v>44699</v>
      </c>
      <c r="B360" s="13">
        <v>1816.6</v>
      </c>
      <c r="C360" s="13">
        <v>1815.9</v>
      </c>
      <c r="D360" s="5">
        <v>7.5047219010681134</v>
      </c>
      <c r="E360" s="5">
        <v>7.5043364915657511</v>
      </c>
      <c r="F360" s="5">
        <v>7.930039845494008E-4</v>
      </c>
      <c r="G360" s="5">
        <v>-1.6507101800433688E-3</v>
      </c>
    </row>
    <row r="361" spans="1:7" x14ac:dyDescent="0.25">
      <c r="A361" s="12">
        <v>44700</v>
      </c>
      <c r="B361" s="13">
        <v>1841.85</v>
      </c>
      <c r="C361" s="13">
        <v>1841.2</v>
      </c>
      <c r="D361" s="5">
        <v>7.518525780274631</v>
      </c>
      <c r="E361" s="5">
        <v>7.518172811943086</v>
      </c>
      <c r="F361" s="5">
        <v>1.38038792065176E-2</v>
      </c>
      <c r="G361" s="5">
        <v>1.3836320377334843E-2</v>
      </c>
    </row>
    <row r="362" spans="1:7" x14ac:dyDescent="0.25">
      <c r="A362" s="12">
        <v>44701</v>
      </c>
      <c r="B362" s="13">
        <v>1846.5</v>
      </c>
      <c r="C362" s="13">
        <v>1842.1</v>
      </c>
      <c r="D362" s="5">
        <v>7.5210472342926176</v>
      </c>
      <c r="E362" s="5">
        <v>7.518661504158171</v>
      </c>
      <c r="F362" s="5">
        <v>2.5214540179865352E-3</v>
      </c>
      <c r="G362" s="5">
        <v>4.8869221508507366E-4</v>
      </c>
    </row>
    <row r="363" spans="1:7" x14ac:dyDescent="0.25">
      <c r="A363" s="12">
        <v>44704</v>
      </c>
      <c r="B363" s="13">
        <v>1853.59</v>
      </c>
      <c r="C363" s="13">
        <v>1847.8</v>
      </c>
      <c r="D363" s="5">
        <v>7.5248795781964066</v>
      </c>
      <c r="E363" s="5">
        <v>7.5217510212366445</v>
      </c>
      <c r="F363" s="5">
        <v>3.8323439037890594E-3</v>
      </c>
      <c r="G363" s="5">
        <v>3.0895170784734916E-3</v>
      </c>
    </row>
    <row r="364" spans="1:7" x14ac:dyDescent="0.25">
      <c r="A364" s="12">
        <v>44705</v>
      </c>
      <c r="B364" s="13">
        <v>1866.45</v>
      </c>
      <c r="C364" s="13">
        <v>1865.4</v>
      </c>
      <c r="D364" s="5">
        <v>7.5317935098897495</v>
      </c>
      <c r="E364" s="5">
        <v>7.5312307862927632</v>
      </c>
      <c r="F364" s="5">
        <v>6.9139316933428674E-3</v>
      </c>
      <c r="G364" s="5">
        <v>9.4797650561186941E-3</v>
      </c>
    </row>
    <row r="365" spans="1:7" x14ac:dyDescent="0.25">
      <c r="A365" s="12">
        <v>44706</v>
      </c>
      <c r="B365" s="13">
        <v>1853.46</v>
      </c>
      <c r="C365" s="13">
        <v>1846.3</v>
      </c>
      <c r="D365" s="5">
        <v>7.5248094415648241</v>
      </c>
      <c r="E365" s="5">
        <v>7.5209389154016977</v>
      </c>
      <c r="F365" s="5">
        <v>-6.9840683249253743E-3</v>
      </c>
      <c r="G365" s="5">
        <v>-1.0291870891065535E-2</v>
      </c>
    </row>
    <row r="366" spans="1:7" x14ac:dyDescent="0.25">
      <c r="A366" s="12">
        <v>44707</v>
      </c>
      <c r="B366" s="13">
        <v>1850.63</v>
      </c>
      <c r="C366" s="13">
        <v>1847.6</v>
      </c>
      <c r="D366" s="5">
        <v>7.5232814006421416</v>
      </c>
      <c r="E366" s="5">
        <v>7.5216427785564504</v>
      </c>
      <c r="F366" s="5">
        <v>-1.5280409226825498E-3</v>
      </c>
      <c r="G366" s="5">
        <v>7.0386315475268191E-4</v>
      </c>
    </row>
    <row r="367" spans="1:7" x14ac:dyDescent="0.25">
      <c r="A367" s="12">
        <v>44708</v>
      </c>
      <c r="B367" s="13">
        <v>1853.72</v>
      </c>
      <c r="C367" s="13">
        <v>1851.3</v>
      </c>
      <c r="D367" s="5">
        <v>7.524949709909186</v>
      </c>
      <c r="E367" s="5">
        <v>7.5236433739951307</v>
      </c>
      <c r="F367" s="5">
        <v>1.6683092670444211E-3</v>
      </c>
      <c r="G367" s="5">
        <v>2.0005954386803637E-3</v>
      </c>
    </row>
    <row r="368" spans="1:7" x14ac:dyDescent="0.25">
      <c r="A368" s="12">
        <v>44711</v>
      </c>
      <c r="B368" s="13">
        <v>1855.23</v>
      </c>
      <c r="C368" s="13">
        <v>1851.3</v>
      </c>
      <c r="D368" s="5">
        <v>7.5257639565738366</v>
      </c>
      <c r="E368" s="5">
        <v>7.5236433739951307</v>
      </c>
      <c r="F368" s="5">
        <v>8.1424666465057527E-4</v>
      </c>
      <c r="G368" s="5">
        <v>0</v>
      </c>
    </row>
    <row r="369" spans="1:7" x14ac:dyDescent="0.25">
      <c r="A369" s="12">
        <v>44712</v>
      </c>
      <c r="B369" s="13">
        <v>1837.35</v>
      </c>
      <c r="C369" s="13">
        <v>1842.7</v>
      </c>
      <c r="D369" s="5">
        <v>7.5160795951018038</v>
      </c>
      <c r="E369" s="5">
        <v>7.518987166340815</v>
      </c>
      <c r="F369" s="5">
        <v>-9.6843614720327764E-3</v>
      </c>
      <c r="G369" s="5">
        <v>-4.656207654315736E-3</v>
      </c>
    </row>
    <row r="370" spans="1:7" x14ac:dyDescent="0.25">
      <c r="A370" s="12">
        <v>44713</v>
      </c>
      <c r="B370" s="13">
        <v>1846.6</v>
      </c>
      <c r="C370" s="13">
        <v>1843.3</v>
      </c>
      <c r="D370" s="5">
        <v>7.5211013893385275</v>
      </c>
      <c r="E370" s="5">
        <v>7.5193127225021277</v>
      </c>
      <c r="F370" s="5">
        <v>5.0217942367236645E-3</v>
      </c>
      <c r="G370" s="5">
        <v>3.2555616131269005E-4</v>
      </c>
    </row>
    <row r="371" spans="1:7" x14ac:dyDescent="0.25">
      <c r="A371" s="12">
        <v>44714</v>
      </c>
      <c r="B371" s="13">
        <v>1868.58</v>
      </c>
      <c r="C371" s="13">
        <v>1866.5</v>
      </c>
      <c r="D371" s="5">
        <v>7.5329340631013189</v>
      </c>
      <c r="E371" s="5">
        <v>7.5318202983546385</v>
      </c>
      <c r="F371" s="5">
        <v>1.1832673762791401E-2</v>
      </c>
      <c r="G371" s="5">
        <v>1.2507575852510833E-2</v>
      </c>
    </row>
    <row r="372" spans="1:7" x14ac:dyDescent="0.25">
      <c r="A372" s="12">
        <v>44715</v>
      </c>
      <c r="B372" s="13">
        <v>1851.19</v>
      </c>
      <c r="C372" s="13">
        <v>1845.4</v>
      </c>
      <c r="D372" s="5">
        <v>7.5235839545233523</v>
      </c>
      <c r="E372" s="5">
        <v>7.5204513351444557</v>
      </c>
      <c r="F372" s="5">
        <v>-9.3501085779665871E-3</v>
      </c>
      <c r="G372" s="5">
        <v>-1.136896321018277E-2</v>
      </c>
    </row>
    <row r="373" spans="1:7" x14ac:dyDescent="0.25">
      <c r="A373" s="12">
        <v>44718</v>
      </c>
      <c r="B373" s="13">
        <v>1841.43</v>
      </c>
      <c r="C373" s="13">
        <v>1839.2</v>
      </c>
      <c r="D373" s="5">
        <v>7.5182977226728092</v>
      </c>
      <c r="E373" s="5">
        <v>7.5170859734489719</v>
      </c>
      <c r="F373" s="5">
        <v>-5.2862318505431105E-3</v>
      </c>
      <c r="G373" s="5">
        <v>-3.3653616954838483E-3</v>
      </c>
    </row>
    <row r="374" spans="1:7" x14ac:dyDescent="0.25">
      <c r="A374" s="12">
        <v>44719</v>
      </c>
      <c r="B374" s="13">
        <v>1852.37</v>
      </c>
      <c r="C374" s="13">
        <v>1847.5</v>
      </c>
      <c r="D374" s="5">
        <v>7.524221179269234</v>
      </c>
      <c r="E374" s="5">
        <v>7.5215886528223566</v>
      </c>
      <c r="F374" s="5">
        <v>5.9234565964247921E-3</v>
      </c>
      <c r="G374" s="5">
        <v>4.502679373384666E-3</v>
      </c>
    </row>
    <row r="375" spans="1:7" x14ac:dyDescent="0.25">
      <c r="A375" s="12">
        <v>44720</v>
      </c>
      <c r="B375" s="13">
        <v>1853.36</v>
      </c>
      <c r="C375" s="13">
        <v>1851.9</v>
      </c>
      <c r="D375" s="5">
        <v>7.5247554869622135</v>
      </c>
      <c r="E375" s="5">
        <v>7.5239674180679597</v>
      </c>
      <c r="F375" s="5">
        <v>5.3430769297957426E-4</v>
      </c>
      <c r="G375" s="5">
        <v>2.3787652456030983E-3</v>
      </c>
    </row>
    <row r="376" spans="1:7" x14ac:dyDescent="0.25">
      <c r="A376" s="12">
        <v>44721</v>
      </c>
      <c r="B376" s="13">
        <v>1847.95</v>
      </c>
      <c r="C376" s="13">
        <v>1848.8</v>
      </c>
      <c r="D376" s="5">
        <v>7.5218321955585452</v>
      </c>
      <c r="E376" s="5">
        <v>7.5222920589601712</v>
      </c>
      <c r="F376" s="5">
        <v>-2.9232914036683155E-3</v>
      </c>
      <c r="G376" s="5">
        <v>-1.6753591077884877E-3</v>
      </c>
    </row>
    <row r="377" spans="1:7" x14ac:dyDescent="0.25">
      <c r="A377" s="12">
        <v>44722</v>
      </c>
      <c r="B377" s="13">
        <v>1871.6</v>
      </c>
      <c r="C377" s="13">
        <v>1871.5</v>
      </c>
      <c r="D377" s="5">
        <v>7.5345489589920609</v>
      </c>
      <c r="E377" s="5">
        <v>7.5344955273444834</v>
      </c>
      <c r="F377" s="5">
        <v>1.2716763433515688E-2</v>
      </c>
      <c r="G377" s="5">
        <v>1.2203468384312188E-2</v>
      </c>
    </row>
    <row r="378" spans="1:7" x14ac:dyDescent="0.25">
      <c r="A378" s="12">
        <v>44725</v>
      </c>
      <c r="B378" s="13">
        <v>1819.26</v>
      </c>
      <c r="C378" s="13">
        <v>1828</v>
      </c>
      <c r="D378" s="5">
        <v>7.5061851039827356</v>
      </c>
      <c r="E378" s="5">
        <v>7.510977752014095</v>
      </c>
      <c r="F378" s="5">
        <v>-2.8363855009325256E-2</v>
      </c>
      <c r="G378" s="5">
        <v>-2.3517775330388346E-2</v>
      </c>
    </row>
    <row r="379" spans="1:7" x14ac:dyDescent="0.25">
      <c r="A379" s="12">
        <v>44726</v>
      </c>
      <c r="B379" s="13">
        <v>1808.49</v>
      </c>
      <c r="C379" s="13">
        <v>1809.5</v>
      </c>
      <c r="D379" s="5">
        <v>7.5002475219325744</v>
      </c>
      <c r="E379" s="5">
        <v>7.5008058430037972</v>
      </c>
      <c r="F379" s="5">
        <v>-5.9375820501612608E-3</v>
      </c>
      <c r="G379" s="5">
        <v>-1.0171909010297853E-2</v>
      </c>
    </row>
    <row r="380" spans="1:7" x14ac:dyDescent="0.25">
      <c r="A380" s="12">
        <v>44727</v>
      </c>
      <c r="B380" s="13">
        <v>1833.82</v>
      </c>
      <c r="C380" s="13">
        <v>1815.3</v>
      </c>
      <c r="D380" s="5">
        <v>7.5141565018710832</v>
      </c>
      <c r="E380" s="5">
        <v>7.5040060222963856</v>
      </c>
      <c r="F380" s="5">
        <v>1.3908979938508814E-2</v>
      </c>
      <c r="G380" s="5">
        <v>3.2001792925884232E-3</v>
      </c>
    </row>
    <row r="381" spans="1:7" x14ac:dyDescent="0.25">
      <c r="A381" s="12">
        <v>44728</v>
      </c>
      <c r="B381" s="13">
        <v>1857.33</v>
      </c>
      <c r="C381" s="13">
        <v>1845.7</v>
      </c>
      <c r="D381" s="5">
        <v>7.5268952515422516</v>
      </c>
      <c r="E381" s="5">
        <v>7.5206138883132452</v>
      </c>
      <c r="F381" s="5">
        <v>1.2738749671168392E-2</v>
      </c>
      <c r="G381" s="5">
        <v>1.6607866016859596E-2</v>
      </c>
    </row>
    <row r="382" spans="1:7" x14ac:dyDescent="0.25">
      <c r="A382" s="12">
        <v>44729</v>
      </c>
      <c r="B382" s="13">
        <v>1839.39</v>
      </c>
      <c r="C382" s="13">
        <v>1835.6</v>
      </c>
      <c r="D382" s="5">
        <v>7.5171892738984205</v>
      </c>
      <c r="E382" s="5">
        <v>7.5151266825206786</v>
      </c>
      <c r="F382" s="5">
        <v>-9.7059776438310763E-3</v>
      </c>
      <c r="G382" s="5">
        <v>-5.4872057925665629E-3</v>
      </c>
    </row>
    <row r="383" spans="1:7" x14ac:dyDescent="0.25">
      <c r="A383" s="12">
        <v>44732</v>
      </c>
      <c r="B383" s="13">
        <v>1838.74</v>
      </c>
      <c r="C383" s="13">
        <v>1835.6</v>
      </c>
      <c r="D383" s="5">
        <v>7.5168358334236327</v>
      </c>
      <c r="E383" s="5">
        <v>7.5151266825206786</v>
      </c>
      <c r="F383" s="5">
        <v>-3.5344047478780283E-4</v>
      </c>
      <c r="G383" s="5">
        <v>0</v>
      </c>
    </row>
    <row r="384" spans="1:7" x14ac:dyDescent="0.25">
      <c r="A384" s="12">
        <v>44733</v>
      </c>
      <c r="B384" s="13">
        <v>1832.98</v>
      </c>
      <c r="C384" s="13">
        <v>1834.6</v>
      </c>
      <c r="D384" s="5">
        <v>7.5136983367054375</v>
      </c>
      <c r="E384" s="5">
        <v>7.5145817530755554</v>
      </c>
      <c r="F384" s="5">
        <v>-3.1374967181951874E-3</v>
      </c>
      <c r="G384" s="5">
        <v>-5.4492944512318786E-4</v>
      </c>
    </row>
    <row r="385" spans="1:7" x14ac:dyDescent="0.25">
      <c r="A385" s="12">
        <v>44734</v>
      </c>
      <c r="B385" s="13">
        <v>1837.72</v>
      </c>
      <c r="C385" s="13">
        <v>1834.3</v>
      </c>
      <c r="D385" s="5">
        <v>7.5162809518113365</v>
      </c>
      <c r="E385" s="5">
        <v>7.5144182163203048</v>
      </c>
      <c r="F385" s="5">
        <v>2.5826151058989666E-3</v>
      </c>
      <c r="G385" s="5">
        <v>-1.6353675525060396E-4</v>
      </c>
    </row>
    <row r="386" spans="1:7" x14ac:dyDescent="0.25">
      <c r="A386" s="12">
        <v>44735</v>
      </c>
      <c r="B386" s="13">
        <v>1822.77</v>
      </c>
      <c r="C386" s="13">
        <v>1825.7</v>
      </c>
      <c r="D386" s="5">
        <v>7.5081126010581078</v>
      </c>
      <c r="E386" s="5">
        <v>7.509718754119465</v>
      </c>
      <c r="F386" s="5">
        <v>-8.168350753228637E-3</v>
      </c>
      <c r="G386" s="5">
        <v>-4.6994622008398323E-3</v>
      </c>
    </row>
    <row r="387" spans="1:7" x14ac:dyDescent="0.25">
      <c r="A387" s="12">
        <v>44736</v>
      </c>
      <c r="B387" s="13">
        <v>1826.88</v>
      </c>
      <c r="C387" s="13">
        <v>1826.5</v>
      </c>
      <c r="D387" s="5">
        <v>7.5103648727758943</v>
      </c>
      <c r="E387" s="5">
        <v>7.5101568462353372</v>
      </c>
      <c r="F387" s="5">
        <v>2.2522717177864138E-3</v>
      </c>
      <c r="G387" s="5">
        <v>4.3809211587220176E-4</v>
      </c>
    </row>
    <row r="388" spans="1:7" x14ac:dyDescent="0.25">
      <c r="A388" s="12">
        <v>44739</v>
      </c>
      <c r="B388" s="13">
        <v>1822.85</v>
      </c>
      <c r="C388" s="13">
        <v>1820.9</v>
      </c>
      <c r="D388" s="5">
        <v>7.5081564893404922</v>
      </c>
      <c r="E388" s="5">
        <v>7.5070861633377977</v>
      </c>
      <c r="F388" s="5">
        <v>-2.2083834354020837E-3</v>
      </c>
      <c r="G388" s="5">
        <v>-3.0706828975395339E-3</v>
      </c>
    </row>
    <row r="389" spans="1:7" x14ac:dyDescent="0.25">
      <c r="A389" s="12">
        <v>44740</v>
      </c>
      <c r="B389" s="13">
        <v>1820.01</v>
      </c>
      <c r="C389" s="13">
        <v>1817.5</v>
      </c>
      <c r="D389" s="5">
        <v>7.5065972745612406</v>
      </c>
      <c r="E389" s="5">
        <v>7.5052172094076743</v>
      </c>
      <c r="F389" s="5">
        <v>-1.5592147792515831E-3</v>
      </c>
      <c r="G389" s="5">
        <v>-1.8689539301233182E-3</v>
      </c>
    </row>
    <row r="390" spans="1:7" x14ac:dyDescent="0.25">
      <c r="A390" s="12">
        <v>44741</v>
      </c>
      <c r="B390" s="13">
        <v>1817.73</v>
      </c>
      <c r="C390" s="13">
        <v>1817.5</v>
      </c>
      <c r="D390" s="5">
        <v>7.5053437488565162</v>
      </c>
      <c r="E390" s="5">
        <v>7.5052172094076743</v>
      </c>
      <c r="F390" s="5">
        <v>-1.2535257047243675E-3</v>
      </c>
      <c r="G390" s="5">
        <v>0</v>
      </c>
    </row>
    <row r="391" spans="1:7" x14ac:dyDescent="0.25">
      <c r="A391" s="12">
        <v>44742</v>
      </c>
      <c r="B391" s="13">
        <v>1807.27</v>
      </c>
      <c r="C391" s="13">
        <v>1807.3</v>
      </c>
      <c r="D391" s="5">
        <v>7.4995726983567295</v>
      </c>
      <c r="E391" s="5">
        <v>7.4995892978415926</v>
      </c>
      <c r="F391" s="5">
        <v>-5.7710504997867673E-3</v>
      </c>
      <c r="G391" s="5">
        <v>-5.627911566081778E-3</v>
      </c>
    </row>
    <row r="392" spans="1:7" x14ac:dyDescent="0.25">
      <c r="A392" s="12">
        <v>44743</v>
      </c>
      <c r="B392" s="13">
        <v>1811.43</v>
      </c>
      <c r="C392" s="13">
        <v>1801.5</v>
      </c>
      <c r="D392" s="5">
        <v>7.5018718675791254</v>
      </c>
      <c r="E392" s="5">
        <v>7.4963749301881482</v>
      </c>
      <c r="F392" s="5">
        <v>2.2991692223959248E-3</v>
      </c>
      <c r="G392" s="5">
        <v>-3.2143676534444054E-3</v>
      </c>
    </row>
    <row r="393" spans="1:7" x14ac:dyDescent="0.25">
      <c r="A393" s="12">
        <v>44746</v>
      </c>
      <c r="B393" s="13">
        <v>1808.15</v>
      </c>
      <c r="C393" s="13">
        <v>1801.5</v>
      </c>
      <c r="D393" s="5">
        <v>7.5000595021125198</v>
      </c>
      <c r="E393" s="5">
        <v>7.4963749301881482</v>
      </c>
      <c r="F393" s="5">
        <v>-1.81236546660557E-3</v>
      </c>
      <c r="G393" s="5">
        <v>0</v>
      </c>
    </row>
    <row r="394" spans="1:7" x14ac:dyDescent="0.25">
      <c r="A394" s="12">
        <v>44747</v>
      </c>
      <c r="B394" s="13">
        <v>1764.76</v>
      </c>
      <c r="C394" s="13">
        <v>1763.9</v>
      </c>
      <c r="D394" s="5">
        <v>7.4757699827845308</v>
      </c>
      <c r="E394" s="5">
        <v>7.4752825456174312</v>
      </c>
      <c r="F394" s="5">
        <v>-2.4289519327989062E-2</v>
      </c>
      <c r="G394" s="5">
        <v>-2.1092384570716938E-2</v>
      </c>
    </row>
    <row r="395" spans="1:7" x14ac:dyDescent="0.25">
      <c r="A395" s="12">
        <v>44748</v>
      </c>
      <c r="B395" s="13">
        <v>1738.86</v>
      </c>
      <c r="C395" s="13">
        <v>1736.5</v>
      </c>
      <c r="D395" s="5">
        <v>7.4609850050755453</v>
      </c>
      <c r="E395" s="5">
        <v>7.4596268721841286</v>
      </c>
      <c r="F395" s="5">
        <v>-1.4784977708985458E-2</v>
      </c>
      <c r="G395" s="5">
        <v>-1.5655673433302653E-2</v>
      </c>
    </row>
    <row r="396" spans="1:7" x14ac:dyDescent="0.25">
      <c r="A396" s="12">
        <v>44749</v>
      </c>
      <c r="B396" s="13">
        <v>1740.16</v>
      </c>
      <c r="C396" s="13">
        <v>1739.7</v>
      </c>
      <c r="D396" s="5">
        <v>7.4617323420040513</v>
      </c>
      <c r="E396" s="5">
        <v>7.461467963550505</v>
      </c>
      <c r="F396" s="5">
        <v>7.4733692850603717E-4</v>
      </c>
      <c r="G396" s="5">
        <v>1.8410913663764461E-3</v>
      </c>
    </row>
    <row r="397" spans="1:7" x14ac:dyDescent="0.25">
      <c r="A397" s="12">
        <v>44750</v>
      </c>
      <c r="B397" s="13">
        <v>1742.48</v>
      </c>
      <c r="C397" s="13">
        <v>1742.3</v>
      </c>
      <c r="D397" s="5">
        <v>7.4630646648069723</v>
      </c>
      <c r="E397" s="5">
        <v>7.4629613584288599</v>
      </c>
      <c r="F397" s="5">
        <v>1.3323228029209488E-3</v>
      </c>
      <c r="G397" s="5">
        <v>1.4933948783548701E-3</v>
      </c>
    </row>
    <row r="398" spans="1:7" x14ac:dyDescent="0.25">
      <c r="A398" s="12">
        <v>44753</v>
      </c>
      <c r="B398" s="13">
        <v>1733.96</v>
      </c>
      <c r="C398" s="13">
        <v>1731.7</v>
      </c>
      <c r="D398" s="5">
        <v>7.4581630890236656</v>
      </c>
      <c r="E398" s="5">
        <v>7.4568588639581055</v>
      </c>
      <c r="F398" s="5">
        <v>-4.9015757833066331E-3</v>
      </c>
      <c r="G398" s="5">
        <v>-6.1024944707543938E-3</v>
      </c>
    </row>
    <row r="399" spans="1:7" x14ac:dyDescent="0.25">
      <c r="A399" s="12">
        <v>44754</v>
      </c>
      <c r="B399" s="13">
        <v>1726</v>
      </c>
      <c r="C399" s="13">
        <v>1724.8</v>
      </c>
      <c r="D399" s="5">
        <v>7.4535618716433731</v>
      </c>
      <c r="E399" s="5">
        <v>7.4528663807146778</v>
      </c>
      <c r="F399" s="5">
        <v>-4.6012173802925105E-3</v>
      </c>
      <c r="G399" s="5">
        <v>-3.9924832434277135E-3</v>
      </c>
    </row>
    <row r="400" spans="1:7" x14ac:dyDescent="0.25">
      <c r="A400" s="12">
        <v>44755</v>
      </c>
      <c r="B400" s="13">
        <v>1735.51</v>
      </c>
      <c r="C400" s="13">
        <v>1735.5</v>
      </c>
      <c r="D400" s="5">
        <v>7.4590565973134746</v>
      </c>
      <c r="E400" s="5">
        <v>7.4590508353018405</v>
      </c>
      <c r="F400" s="5">
        <v>5.4947256701014524E-3</v>
      </c>
      <c r="G400" s="5">
        <v>6.1844545871627687E-3</v>
      </c>
    </row>
    <row r="401" spans="1:7" x14ac:dyDescent="0.25">
      <c r="A401" s="12">
        <v>44756</v>
      </c>
      <c r="B401" s="13">
        <v>1709.94</v>
      </c>
      <c r="C401" s="13">
        <v>1705.8</v>
      </c>
      <c r="D401" s="5">
        <v>7.4442135611618188</v>
      </c>
      <c r="E401" s="5">
        <v>7.4417894878850088</v>
      </c>
      <c r="F401" s="5">
        <v>-1.4843036151655831E-2</v>
      </c>
      <c r="G401" s="5">
        <v>-1.7261347416831718E-2</v>
      </c>
    </row>
    <row r="402" spans="1:7" x14ac:dyDescent="0.25">
      <c r="A402" s="12">
        <v>44757</v>
      </c>
      <c r="B402" s="13">
        <v>1708.17</v>
      </c>
      <c r="C402" s="13">
        <v>1703.6</v>
      </c>
      <c r="D402" s="5">
        <v>7.4431779010114978</v>
      </c>
      <c r="E402" s="5">
        <v>7.4404989380490587</v>
      </c>
      <c r="F402" s="5">
        <v>-1.0356601503209717E-3</v>
      </c>
      <c r="G402" s="5">
        <v>-1.2905498359501166E-3</v>
      </c>
    </row>
    <row r="403" spans="1:7" x14ac:dyDescent="0.25">
      <c r="A403" s="12">
        <v>44760</v>
      </c>
      <c r="B403" s="13">
        <v>1709.22</v>
      </c>
      <c r="C403" s="13">
        <v>1710.2</v>
      </c>
      <c r="D403" s="5">
        <v>7.4437924050821724</v>
      </c>
      <c r="E403" s="5">
        <v>7.4443656017218549</v>
      </c>
      <c r="F403" s="5">
        <v>6.1450407067464852E-4</v>
      </c>
      <c r="G403" s="5">
        <v>3.8666636727962E-3</v>
      </c>
    </row>
    <row r="404" spans="1:7" x14ac:dyDescent="0.25">
      <c r="A404" s="12">
        <v>44761</v>
      </c>
      <c r="B404" s="13">
        <v>1711.67</v>
      </c>
      <c r="C404" s="13">
        <v>1710.7</v>
      </c>
      <c r="D404" s="5">
        <v>7.445224781112322</v>
      </c>
      <c r="E404" s="5">
        <v>7.4446579224582461</v>
      </c>
      <c r="F404" s="5">
        <v>1.4323760301495625E-3</v>
      </c>
      <c r="G404" s="5">
        <v>2.9232073639118283E-4</v>
      </c>
    </row>
    <row r="405" spans="1:7" x14ac:dyDescent="0.25">
      <c r="A405" s="12">
        <v>44762</v>
      </c>
      <c r="B405" s="13">
        <v>1696.58</v>
      </c>
      <c r="C405" s="13">
        <v>1700.2</v>
      </c>
      <c r="D405" s="5">
        <v>7.4363697390217052</v>
      </c>
      <c r="E405" s="5">
        <v>7.4385011701832582</v>
      </c>
      <c r="F405" s="5">
        <v>-8.855042090616827E-3</v>
      </c>
      <c r="G405" s="5">
        <v>-6.1567522749879089E-3</v>
      </c>
    </row>
    <row r="406" spans="1:7" x14ac:dyDescent="0.25">
      <c r="A406" s="12">
        <v>44763</v>
      </c>
      <c r="B406" s="13">
        <v>1718.81</v>
      </c>
      <c r="C406" s="13">
        <v>1713.4</v>
      </c>
      <c r="D406" s="5">
        <v>7.4493874698964824</v>
      </c>
      <c r="E406" s="5">
        <v>7.4462349795299438</v>
      </c>
      <c r="F406" s="5">
        <v>1.30177308747772E-2</v>
      </c>
      <c r="G406" s="5">
        <v>7.7338093466856606E-3</v>
      </c>
    </row>
    <row r="407" spans="1:7" x14ac:dyDescent="0.25">
      <c r="A407" s="12">
        <v>44764</v>
      </c>
      <c r="B407" s="13">
        <v>1727.64</v>
      </c>
      <c r="C407" s="13">
        <v>1727.4</v>
      </c>
      <c r="D407" s="5">
        <v>7.4545115943262639</v>
      </c>
      <c r="E407" s="5">
        <v>7.4543726668461856</v>
      </c>
      <c r="F407" s="5">
        <v>5.1241244297814958E-3</v>
      </c>
      <c r="G407" s="5">
        <v>8.1376873162417596E-3</v>
      </c>
    </row>
    <row r="408" spans="1:7" x14ac:dyDescent="0.25">
      <c r="A408" s="12">
        <v>44767</v>
      </c>
      <c r="B408" s="13">
        <v>1719.78</v>
      </c>
      <c r="C408" s="13">
        <v>1719.1</v>
      </c>
      <c r="D408" s="5">
        <v>7.4499516546499596</v>
      </c>
      <c r="E408" s="5">
        <v>7.4495561770474481</v>
      </c>
      <c r="F408" s="5">
        <v>-4.5599396763043032E-3</v>
      </c>
      <c r="G408" s="5">
        <v>-4.8164897987374999E-3</v>
      </c>
    </row>
    <row r="409" spans="1:7" x14ac:dyDescent="0.25">
      <c r="A409" s="12">
        <v>44768</v>
      </c>
      <c r="B409" s="13">
        <v>1717.32</v>
      </c>
      <c r="C409" s="13">
        <v>1717.7</v>
      </c>
      <c r="D409" s="5">
        <v>7.4485202151107845</v>
      </c>
      <c r="E409" s="5">
        <v>7.4487414656429793</v>
      </c>
      <c r="F409" s="5">
        <v>-1.4314395391750168E-3</v>
      </c>
      <c r="G409" s="5">
        <v>-8.1471140446875978E-4</v>
      </c>
    </row>
    <row r="410" spans="1:7" x14ac:dyDescent="0.25">
      <c r="A410" s="12">
        <v>44769</v>
      </c>
      <c r="B410" s="13">
        <v>1734.19</v>
      </c>
      <c r="C410" s="13">
        <v>1719.1</v>
      </c>
      <c r="D410" s="5">
        <v>7.4582957245788393</v>
      </c>
      <c r="E410" s="5">
        <v>7.4495561770474481</v>
      </c>
      <c r="F410" s="5">
        <v>9.7755094680547217E-3</v>
      </c>
      <c r="G410" s="5">
        <v>8.1471140446875978E-4</v>
      </c>
    </row>
    <row r="411" spans="1:7" x14ac:dyDescent="0.25">
      <c r="A411" s="12">
        <v>44770</v>
      </c>
      <c r="B411" s="13">
        <v>1755.84</v>
      </c>
      <c r="C411" s="13">
        <v>1750.3</v>
      </c>
      <c r="D411" s="5">
        <v>7.4707026538706103</v>
      </c>
      <c r="E411" s="5">
        <v>7.4675424807967898</v>
      </c>
      <c r="F411" s="5">
        <v>1.2406929291771007E-2</v>
      </c>
      <c r="G411" s="5">
        <v>1.7986303749341737E-2</v>
      </c>
    </row>
    <row r="412" spans="1:7" x14ac:dyDescent="0.25">
      <c r="A412" s="12">
        <v>44771</v>
      </c>
      <c r="B412" s="13">
        <v>1765.94</v>
      </c>
      <c r="C412" s="13">
        <v>1762.9</v>
      </c>
      <c r="D412" s="5">
        <v>7.4764384055018009</v>
      </c>
      <c r="E412" s="5">
        <v>7.4747154592916978</v>
      </c>
      <c r="F412" s="5">
        <v>5.7357516311906664E-3</v>
      </c>
      <c r="G412" s="5">
        <v>7.1729784949079445E-3</v>
      </c>
    </row>
    <row r="413" spans="1:7" x14ac:dyDescent="0.25">
      <c r="A413" s="12">
        <v>44774</v>
      </c>
      <c r="B413" s="13">
        <v>1772.17</v>
      </c>
      <c r="C413" s="13">
        <v>1769</v>
      </c>
      <c r="D413" s="5">
        <v>7.4799600633579688</v>
      </c>
      <c r="E413" s="5">
        <v>7.4781696941597851</v>
      </c>
      <c r="F413" s="5">
        <v>3.5216578561678702E-3</v>
      </c>
      <c r="G413" s="5">
        <v>3.4542348680872692E-3</v>
      </c>
    </row>
    <row r="414" spans="1:7" x14ac:dyDescent="0.25">
      <c r="A414" s="12">
        <v>44775</v>
      </c>
      <c r="B414" s="13">
        <v>1760.39</v>
      </c>
      <c r="C414" s="13">
        <v>1771.1</v>
      </c>
      <c r="D414" s="5">
        <v>7.473290654393649</v>
      </c>
      <c r="E414" s="5">
        <v>7.4793561014625869</v>
      </c>
      <c r="F414" s="5">
        <v>-6.6694089643197785E-3</v>
      </c>
      <c r="G414" s="5">
        <v>1.1864073028018396E-3</v>
      </c>
    </row>
    <row r="415" spans="1:7" x14ac:dyDescent="0.25">
      <c r="A415" s="12">
        <v>44776</v>
      </c>
      <c r="B415" s="13">
        <v>1765.29</v>
      </c>
      <c r="C415" s="13">
        <v>1758</v>
      </c>
      <c r="D415" s="5">
        <v>7.4760702618196619</v>
      </c>
      <c r="E415" s="5">
        <v>7.4719320782451222</v>
      </c>
      <c r="F415" s="5">
        <v>2.7796074260129089E-3</v>
      </c>
      <c r="G415" s="5">
        <v>-7.4240232174647147E-3</v>
      </c>
    </row>
    <row r="416" spans="1:7" x14ac:dyDescent="0.25">
      <c r="A416" s="12">
        <v>44777</v>
      </c>
      <c r="B416" s="13">
        <v>1791.28</v>
      </c>
      <c r="C416" s="13">
        <v>1788.5</v>
      </c>
      <c r="D416" s="5">
        <v>7.4906857270830827</v>
      </c>
      <c r="E416" s="5">
        <v>7.4891325586990725</v>
      </c>
      <c r="F416" s="5">
        <v>1.4615465263420724E-2</v>
      </c>
      <c r="G416" s="5">
        <v>1.7200480453950284E-2</v>
      </c>
    </row>
    <row r="417" spans="1:7" x14ac:dyDescent="0.25">
      <c r="A417" s="12">
        <v>44778</v>
      </c>
      <c r="B417" s="13">
        <v>1775.5</v>
      </c>
      <c r="C417" s="13">
        <v>1772.9</v>
      </c>
      <c r="D417" s="5">
        <v>7.4818373523831427</v>
      </c>
      <c r="E417" s="5">
        <v>7.4803719029043352</v>
      </c>
      <c r="F417" s="5">
        <v>-8.8483746999399315E-3</v>
      </c>
      <c r="G417" s="5">
        <v>-8.7606557947372821E-3</v>
      </c>
    </row>
    <row r="418" spans="1:7" x14ac:dyDescent="0.25">
      <c r="A418" s="12">
        <v>44781</v>
      </c>
      <c r="B418" s="13">
        <v>1788.96</v>
      </c>
      <c r="C418" s="13">
        <v>1786.8</v>
      </c>
      <c r="D418" s="5">
        <v>7.4893897243990581</v>
      </c>
      <c r="E418" s="5">
        <v>7.4881815894779633</v>
      </c>
      <c r="F418" s="5">
        <v>7.5523720159154095E-3</v>
      </c>
      <c r="G418" s="5">
        <v>7.8096865736281273E-3</v>
      </c>
    </row>
    <row r="419" spans="1:7" x14ac:dyDescent="0.25">
      <c r="A419" s="12">
        <v>44782</v>
      </c>
      <c r="B419" s="13">
        <v>1794.29</v>
      </c>
      <c r="C419" s="13">
        <v>1794</v>
      </c>
      <c r="D419" s="5">
        <v>7.4923646794990555</v>
      </c>
      <c r="E419" s="5">
        <v>7.4922030426187414</v>
      </c>
      <c r="F419" s="5">
        <v>2.9749550999973451E-3</v>
      </c>
      <c r="G419" s="5">
        <v>4.021453140778064E-3</v>
      </c>
    </row>
    <row r="420" spans="1:7" x14ac:dyDescent="0.25">
      <c r="A420" s="12">
        <v>44783</v>
      </c>
      <c r="B420" s="13">
        <v>1792.38</v>
      </c>
      <c r="C420" s="13">
        <v>1795.6</v>
      </c>
      <c r="D420" s="5">
        <v>7.4912996246261239</v>
      </c>
      <c r="E420" s="5">
        <v>7.4930945069077772</v>
      </c>
      <c r="F420" s="5">
        <v>-1.0650548729316256E-3</v>
      </c>
      <c r="G420" s="5">
        <v>8.9146428903585928E-4</v>
      </c>
    </row>
    <row r="421" spans="1:7" x14ac:dyDescent="0.25">
      <c r="A421" s="12">
        <v>44784</v>
      </c>
      <c r="B421" s="13">
        <v>1789.72</v>
      </c>
      <c r="C421" s="13">
        <v>1789.7</v>
      </c>
      <c r="D421" s="5">
        <v>7.4898144620181943</v>
      </c>
      <c r="E421" s="5">
        <v>7.4898032870233626</v>
      </c>
      <c r="F421" s="5">
        <v>-1.4851626079295244E-3</v>
      </c>
      <c r="G421" s="5">
        <v>-3.291219884414609E-3</v>
      </c>
    </row>
    <row r="422" spans="1:7" x14ac:dyDescent="0.25">
      <c r="A422" s="12">
        <v>44785</v>
      </c>
      <c r="B422" s="13">
        <v>1802.4</v>
      </c>
      <c r="C422" s="13">
        <v>1798.6</v>
      </c>
      <c r="D422" s="5">
        <v>7.4968743891180347</v>
      </c>
      <c r="E422" s="5">
        <v>7.494763863480415</v>
      </c>
      <c r="F422" s="5">
        <v>7.0599270998403796E-3</v>
      </c>
      <c r="G422" s="5">
        <v>4.9605764570523903E-3</v>
      </c>
    </row>
    <row r="423" spans="1:7" x14ac:dyDescent="0.25">
      <c r="A423" s="12">
        <v>44788</v>
      </c>
      <c r="B423" s="13">
        <v>1779.71</v>
      </c>
      <c r="C423" s="13">
        <v>1781.4</v>
      </c>
      <c r="D423" s="5">
        <v>7.4842057086646916</v>
      </c>
      <c r="E423" s="5">
        <v>7.4851548509977688</v>
      </c>
      <c r="F423" s="5">
        <v>-1.2668680453343129E-2</v>
      </c>
      <c r="G423" s="5">
        <v>-9.6090124826462286E-3</v>
      </c>
    </row>
    <row r="424" spans="1:7" x14ac:dyDescent="0.25">
      <c r="A424" s="12">
        <v>44789</v>
      </c>
      <c r="B424" s="13">
        <v>1775.69</v>
      </c>
      <c r="C424" s="13">
        <v>1773.2</v>
      </c>
      <c r="D424" s="5">
        <v>7.48194435876702</v>
      </c>
      <c r="E424" s="5">
        <v>7.4805411028708981</v>
      </c>
      <c r="F424" s="5">
        <v>-2.2613498976715718E-3</v>
      </c>
      <c r="G424" s="5">
        <v>-4.6137481268706537E-3</v>
      </c>
    </row>
    <row r="425" spans="1:7" x14ac:dyDescent="0.25">
      <c r="A425" s="12">
        <v>44790</v>
      </c>
      <c r="B425" s="13">
        <v>1761.77</v>
      </c>
      <c r="C425" s="13">
        <v>1760.3</v>
      </c>
      <c r="D425" s="5">
        <v>7.4740742644912119</v>
      </c>
      <c r="E425" s="5">
        <v>7.4732395280519262</v>
      </c>
      <c r="F425" s="5">
        <v>-7.8700942758080927E-3</v>
      </c>
      <c r="G425" s="5">
        <v>-7.3015748189719787E-3</v>
      </c>
    </row>
    <row r="426" spans="1:7" x14ac:dyDescent="0.25">
      <c r="A426" s="12">
        <v>44791</v>
      </c>
      <c r="B426" s="13">
        <v>1758.61</v>
      </c>
      <c r="C426" s="13">
        <v>1755.3</v>
      </c>
      <c r="D426" s="5">
        <v>7.4722790032701427</v>
      </c>
      <c r="E426" s="5">
        <v>7.4703950614623</v>
      </c>
      <c r="F426" s="5">
        <v>-1.7952612210692109E-3</v>
      </c>
      <c r="G426" s="5">
        <v>-2.8444665896261156E-3</v>
      </c>
    </row>
    <row r="427" spans="1:7" x14ac:dyDescent="0.25">
      <c r="A427" s="12">
        <v>44792</v>
      </c>
      <c r="B427" s="13">
        <v>1747.06</v>
      </c>
      <c r="C427" s="13">
        <v>1747.6</v>
      </c>
      <c r="D427" s="5">
        <v>7.4656896541350219</v>
      </c>
      <c r="E427" s="5">
        <v>7.4659986970772811</v>
      </c>
      <c r="F427" s="5">
        <v>-6.58934913512077E-3</v>
      </c>
      <c r="G427" s="5">
        <v>-4.3963643850188916E-3</v>
      </c>
    </row>
    <row r="428" spans="1:7" x14ac:dyDescent="0.25">
      <c r="A428" s="12">
        <v>44795</v>
      </c>
      <c r="B428" s="13">
        <v>1736.3</v>
      </c>
      <c r="C428" s="13">
        <v>1734</v>
      </c>
      <c r="D428" s="5">
        <v>7.4595116913500918</v>
      </c>
      <c r="E428" s="5">
        <v>7.4581861573404868</v>
      </c>
      <c r="F428" s="5">
        <v>-6.1779627849301022E-3</v>
      </c>
      <c r="G428" s="5">
        <v>-7.8125397367942995E-3</v>
      </c>
    </row>
    <row r="429" spans="1:7" x14ac:dyDescent="0.25">
      <c r="A429" s="12">
        <v>44796</v>
      </c>
      <c r="B429" s="13">
        <v>1748.15</v>
      </c>
      <c r="C429" s="13">
        <v>1746.8</v>
      </c>
      <c r="D429" s="5">
        <v>7.4663133648907909</v>
      </c>
      <c r="E429" s="5">
        <v>7.4655408216114063</v>
      </c>
      <c r="F429" s="5">
        <v>6.8016735406990492E-3</v>
      </c>
      <c r="G429" s="5">
        <v>7.3546642709194643E-3</v>
      </c>
    </row>
    <row r="430" spans="1:7" x14ac:dyDescent="0.25">
      <c r="A430" s="12">
        <v>44797</v>
      </c>
      <c r="B430" s="13">
        <v>1751.19</v>
      </c>
      <c r="C430" s="13">
        <v>1747.8</v>
      </c>
      <c r="D430" s="5">
        <v>7.468050835822317</v>
      </c>
      <c r="E430" s="5">
        <v>7.4661131331934438</v>
      </c>
      <c r="F430" s="5">
        <v>1.7374709315260972E-3</v>
      </c>
      <c r="G430" s="5">
        <v>5.723115820375213E-4</v>
      </c>
    </row>
    <row r="431" spans="1:7" x14ac:dyDescent="0.25">
      <c r="A431" s="12">
        <v>44798</v>
      </c>
      <c r="B431" s="13">
        <v>1758.71</v>
      </c>
      <c r="C431" s="13">
        <v>1757.7</v>
      </c>
      <c r="D431" s="5">
        <v>7.4723358647442346</v>
      </c>
      <c r="E431" s="5">
        <v>7.471761415218853</v>
      </c>
      <c r="F431" s="5">
        <v>4.2850289219176219E-3</v>
      </c>
      <c r="G431" s="5">
        <v>5.6482820254091237E-3</v>
      </c>
    </row>
    <row r="432" spans="1:7" x14ac:dyDescent="0.25">
      <c r="A432" s="12">
        <v>44799</v>
      </c>
      <c r="B432" s="13">
        <v>1738.14</v>
      </c>
      <c r="C432" s="13">
        <v>1736.1</v>
      </c>
      <c r="D432" s="5">
        <v>7.4605708549402037</v>
      </c>
      <c r="E432" s="5">
        <v>7.4593964972479023</v>
      </c>
      <c r="F432" s="5">
        <v>-1.1765009804030946E-2</v>
      </c>
      <c r="G432" s="5">
        <v>-1.2364917970950629E-2</v>
      </c>
    </row>
    <row r="433" spans="1:7" x14ac:dyDescent="0.25">
      <c r="A433" s="12">
        <v>44802</v>
      </c>
      <c r="B433" s="13">
        <v>1737.09</v>
      </c>
      <c r="C433" s="13">
        <v>1736.6</v>
      </c>
      <c r="D433" s="5">
        <v>7.4599665783703362</v>
      </c>
      <c r="E433" s="5">
        <v>7.4596844576265449</v>
      </c>
      <c r="F433" s="5">
        <v>-6.0427656986750122E-4</v>
      </c>
      <c r="G433" s="5">
        <v>2.8796037864253776E-4</v>
      </c>
    </row>
    <row r="434" spans="1:7" x14ac:dyDescent="0.25">
      <c r="A434" s="12">
        <v>44803</v>
      </c>
      <c r="B434" s="13">
        <v>1724.02</v>
      </c>
      <c r="C434" s="13">
        <v>1726.9</v>
      </c>
      <c r="D434" s="5">
        <v>7.4524140520844222</v>
      </c>
      <c r="E434" s="5">
        <v>7.4540831725906243</v>
      </c>
      <c r="F434" s="5">
        <v>-7.552526285913963E-3</v>
      </c>
      <c r="G434" s="5">
        <v>-5.6012850359206112E-3</v>
      </c>
    </row>
    <row r="435" spans="1:7" x14ac:dyDescent="0.25">
      <c r="A435" s="12">
        <v>44804</v>
      </c>
      <c r="B435" s="13">
        <v>1711.04</v>
      </c>
      <c r="C435" s="13">
        <v>1716.9</v>
      </c>
      <c r="D435" s="5">
        <v>7.4448566517603671</v>
      </c>
      <c r="E435" s="5">
        <v>7.4482756180831666</v>
      </c>
      <c r="F435" s="5">
        <v>-7.5574003240550525E-3</v>
      </c>
      <c r="G435" s="5">
        <v>-5.807554507457624E-3</v>
      </c>
    </row>
    <row r="436" spans="1:7" x14ac:dyDescent="0.25">
      <c r="A436" s="12">
        <v>44805</v>
      </c>
      <c r="B436" s="13">
        <v>1697.52</v>
      </c>
      <c r="C436" s="13">
        <v>1699.6</v>
      </c>
      <c r="D436" s="5">
        <v>7.4369236413958442</v>
      </c>
      <c r="E436" s="5">
        <v>7.4381482082406567</v>
      </c>
      <c r="F436" s="5">
        <v>-7.9330103645229855E-3</v>
      </c>
      <c r="G436" s="5">
        <v>-1.0127409842509927E-2</v>
      </c>
    </row>
    <row r="437" spans="1:7" x14ac:dyDescent="0.25">
      <c r="A437" s="12">
        <v>44806</v>
      </c>
      <c r="B437" s="13">
        <v>1712.19</v>
      </c>
      <c r="C437" s="13">
        <v>1713</v>
      </c>
      <c r="D437" s="5">
        <v>7.4455285318521289</v>
      </c>
      <c r="E437" s="5">
        <v>7.4460014983241196</v>
      </c>
      <c r="F437" s="5">
        <v>8.6048904562847639E-3</v>
      </c>
      <c r="G437" s="5">
        <v>7.853290083462916E-3</v>
      </c>
    </row>
    <row r="438" spans="1:7" x14ac:dyDescent="0.25">
      <c r="A438" s="12">
        <v>44809</v>
      </c>
      <c r="B438" s="13">
        <v>1710.4</v>
      </c>
      <c r="C438" s="13">
        <v>1713</v>
      </c>
      <c r="D438" s="5">
        <v>7.4444825402707808</v>
      </c>
      <c r="E438" s="5">
        <v>7.4460014983241196</v>
      </c>
      <c r="F438" s="5">
        <v>-1.0459915813481047E-3</v>
      </c>
      <c r="G438" s="5">
        <v>0</v>
      </c>
    </row>
    <row r="439" spans="1:7" x14ac:dyDescent="0.25">
      <c r="A439" s="12">
        <v>44810</v>
      </c>
      <c r="B439" s="13">
        <v>1702.14</v>
      </c>
      <c r="C439" s="13">
        <v>1703.4</v>
      </c>
      <c r="D439" s="5">
        <v>7.4396415619196787</v>
      </c>
      <c r="E439" s="5">
        <v>7.4403815327069802</v>
      </c>
      <c r="F439" s="5">
        <v>-4.8409783511020876E-3</v>
      </c>
      <c r="G439" s="5">
        <v>-5.6199656171393997E-3</v>
      </c>
    </row>
    <row r="440" spans="1:7" x14ac:dyDescent="0.25">
      <c r="A440" s="12">
        <v>44811</v>
      </c>
      <c r="B440" s="13">
        <v>1718.37</v>
      </c>
      <c r="C440" s="13">
        <v>1718.2</v>
      </c>
      <c r="D440" s="5">
        <v>7.4491314460615925</v>
      </c>
      <c r="E440" s="5">
        <v>7.4490325102039563</v>
      </c>
      <c r="F440" s="5">
        <v>9.4898841419137625E-3</v>
      </c>
      <c r="G440" s="5">
        <v>8.6509774969760755E-3</v>
      </c>
    </row>
    <row r="441" spans="1:7" x14ac:dyDescent="0.25">
      <c r="A441" s="12">
        <v>44812</v>
      </c>
      <c r="B441" s="13">
        <v>1708.46</v>
      </c>
      <c r="C441" s="13">
        <v>1710.6</v>
      </c>
      <c r="D441" s="5">
        <v>7.4433476589312582</v>
      </c>
      <c r="E441" s="5">
        <v>7.4445994651466814</v>
      </c>
      <c r="F441" s="5">
        <v>-5.7837871303343391E-3</v>
      </c>
      <c r="G441" s="5">
        <v>-4.4330450572749314E-3</v>
      </c>
    </row>
    <row r="442" spans="1:7" x14ac:dyDescent="0.25">
      <c r="A442" s="12">
        <v>44813</v>
      </c>
      <c r="B442" s="13">
        <v>1716.83</v>
      </c>
      <c r="C442" s="13">
        <v>1718.8</v>
      </c>
      <c r="D442" s="5">
        <v>7.4482348460946817</v>
      </c>
      <c r="E442" s="5">
        <v>7.4493816519008398</v>
      </c>
      <c r="F442" s="5">
        <v>4.887187163423512E-3</v>
      </c>
      <c r="G442" s="5">
        <v>4.782186754158424E-3</v>
      </c>
    </row>
    <row r="443" spans="1:7" x14ac:dyDescent="0.25">
      <c r="A443" s="12">
        <v>44816</v>
      </c>
      <c r="B443" s="13">
        <v>1724.54</v>
      </c>
      <c r="C443" s="13">
        <v>1730.8</v>
      </c>
      <c r="D443" s="5">
        <v>7.4527156272369153</v>
      </c>
      <c r="E443" s="5">
        <v>7.4563390083507297</v>
      </c>
      <c r="F443" s="5">
        <v>4.480781142233603E-3</v>
      </c>
      <c r="G443" s="5">
        <v>6.9573564498899287E-3</v>
      </c>
    </row>
    <row r="444" spans="1:7" x14ac:dyDescent="0.25">
      <c r="A444" s="12">
        <v>44817</v>
      </c>
      <c r="B444" s="13">
        <v>1702.17</v>
      </c>
      <c r="C444" s="13">
        <v>1707.1</v>
      </c>
      <c r="D444" s="5">
        <v>7.4396591866365824</v>
      </c>
      <c r="E444" s="5">
        <v>7.4425513033867068</v>
      </c>
      <c r="F444" s="5">
        <v>-1.3056440600332841E-2</v>
      </c>
      <c r="G444" s="5">
        <v>-1.3787704964022929E-2</v>
      </c>
    </row>
    <row r="445" spans="1:7" x14ac:dyDescent="0.25">
      <c r="A445" s="12">
        <v>44818</v>
      </c>
      <c r="B445" s="13">
        <v>1697.32</v>
      </c>
      <c r="C445" s="13">
        <v>1698.2</v>
      </c>
      <c r="D445" s="5">
        <v>7.4368058155187891</v>
      </c>
      <c r="E445" s="5">
        <v>7.4373241455652632</v>
      </c>
      <c r="F445" s="5">
        <v>-2.8533711177933796E-3</v>
      </c>
      <c r="G445" s="5">
        <v>-5.2271578214435621E-3</v>
      </c>
    </row>
    <row r="446" spans="1:7" x14ac:dyDescent="0.25">
      <c r="A446" s="12">
        <v>44819</v>
      </c>
      <c r="B446" s="13">
        <v>1665.11</v>
      </c>
      <c r="C446" s="13">
        <v>1666.8</v>
      </c>
      <c r="D446" s="5">
        <v>7.4176464662983435</v>
      </c>
      <c r="E446" s="5">
        <v>7.4186608995482981</v>
      </c>
      <c r="F446" s="5">
        <v>-1.9159349220445598E-2</v>
      </c>
      <c r="G446" s="5">
        <v>-1.8663246016965118E-2</v>
      </c>
    </row>
    <row r="447" spans="1:7" x14ac:dyDescent="0.25">
      <c r="A447" s="12">
        <v>44820</v>
      </c>
      <c r="B447" s="13">
        <v>1675.06</v>
      </c>
      <c r="C447" s="13">
        <v>1672.8</v>
      </c>
      <c r="D447" s="5">
        <v>7.4236042645131359</v>
      </c>
      <c r="E447" s="5">
        <v>7.4222541481144235</v>
      </c>
      <c r="F447" s="5">
        <v>5.9577982147924757E-3</v>
      </c>
      <c r="G447" s="5">
        <v>3.5932485661254177E-3</v>
      </c>
    </row>
    <row r="448" spans="1:7" x14ac:dyDescent="0.25">
      <c r="A448" s="12">
        <v>44823</v>
      </c>
      <c r="B448" s="13">
        <v>1675.84</v>
      </c>
      <c r="C448" s="13">
        <v>1667.6</v>
      </c>
      <c r="D448" s="5">
        <v>7.4240698110911225</v>
      </c>
      <c r="E448" s="5">
        <v>7.4191407460066419</v>
      </c>
      <c r="F448" s="5">
        <v>4.6554657798658639E-4</v>
      </c>
      <c r="G448" s="5">
        <v>-3.1134021077816598E-3</v>
      </c>
    </row>
    <row r="449" spans="1:7" x14ac:dyDescent="0.25">
      <c r="A449" s="12">
        <v>44824</v>
      </c>
      <c r="B449" s="13">
        <v>1664.89</v>
      </c>
      <c r="C449" s="13">
        <v>1661</v>
      </c>
      <c r="D449" s="5">
        <v>7.4175143341660199</v>
      </c>
      <c r="E449" s="5">
        <v>7.415175109613295</v>
      </c>
      <c r="F449" s="5">
        <v>-6.5554769251026102E-3</v>
      </c>
      <c r="G449" s="5">
        <v>-3.9656363933469052E-3</v>
      </c>
    </row>
    <row r="450" spans="1:7" x14ac:dyDescent="0.25">
      <c r="A450" s="12">
        <v>44825</v>
      </c>
      <c r="B450" s="13">
        <v>1673.89</v>
      </c>
      <c r="C450" s="13">
        <v>1665.8</v>
      </c>
      <c r="D450" s="5">
        <v>7.4229055380182043</v>
      </c>
      <c r="E450" s="5">
        <v>7.41806076750124</v>
      </c>
      <c r="F450" s="5">
        <v>5.3912038521843897E-3</v>
      </c>
      <c r="G450" s="5">
        <v>2.8856578879450367E-3</v>
      </c>
    </row>
    <row r="451" spans="1:7" x14ac:dyDescent="0.25">
      <c r="A451" s="12">
        <v>44826</v>
      </c>
      <c r="B451" s="13">
        <v>1671.22</v>
      </c>
      <c r="C451" s="13">
        <v>1671.4</v>
      </c>
      <c r="D451" s="5">
        <v>7.4213091776192863</v>
      </c>
      <c r="E451" s="5">
        <v>7.4214168775673359</v>
      </c>
      <c r="F451" s="5">
        <v>-1.5963603989179731E-3</v>
      </c>
      <c r="G451" s="5">
        <v>3.3561100660959298E-3</v>
      </c>
    </row>
    <row r="452" spans="1:7" x14ac:dyDescent="0.25">
      <c r="A452" s="12">
        <v>44827</v>
      </c>
      <c r="B452" s="13">
        <v>1643.94</v>
      </c>
      <c r="C452" s="13">
        <v>1645.3</v>
      </c>
      <c r="D452" s="5">
        <v>7.4048510785997523</v>
      </c>
      <c r="E452" s="5">
        <v>7.4056780173926047</v>
      </c>
      <c r="F452" s="5">
        <v>-1.6458099019533989E-2</v>
      </c>
      <c r="G452" s="5">
        <v>-1.5738860174731251E-2</v>
      </c>
    </row>
    <row r="453" spans="1:7" x14ac:dyDescent="0.25">
      <c r="A453" s="12">
        <v>44830</v>
      </c>
      <c r="B453" s="13">
        <v>1622.36</v>
      </c>
      <c r="C453" s="13">
        <v>1623.6</v>
      </c>
      <c r="D453" s="5">
        <v>7.3916371582605818</v>
      </c>
      <c r="E453" s="5">
        <v>7.3924011849647426</v>
      </c>
      <c r="F453" s="5">
        <v>-1.3213920339170571E-2</v>
      </c>
      <c r="G453" s="5">
        <v>-1.327683242786204E-2</v>
      </c>
    </row>
    <row r="454" spans="1:7" x14ac:dyDescent="0.25">
      <c r="A454" s="12">
        <v>44831</v>
      </c>
      <c r="B454" s="13">
        <v>1628.9</v>
      </c>
      <c r="C454" s="13">
        <v>1626.5</v>
      </c>
      <c r="D454" s="5">
        <v>7.3956602193635597</v>
      </c>
      <c r="E454" s="5">
        <v>7.3941857459134059</v>
      </c>
      <c r="F454" s="5">
        <v>4.0230611029778984E-3</v>
      </c>
      <c r="G454" s="5">
        <v>1.7845609486633052E-3</v>
      </c>
    </row>
    <row r="455" spans="1:7" x14ac:dyDescent="0.25">
      <c r="A455" s="12">
        <v>44832</v>
      </c>
      <c r="B455" s="13">
        <v>1659.97</v>
      </c>
      <c r="C455" s="13">
        <v>1660.3</v>
      </c>
      <c r="D455" s="5">
        <v>7.4145548088981261</v>
      </c>
      <c r="E455" s="5">
        <v>7.414753587913741</v>
      </c>
      <c r="F455" s="5">
        <v>1.8894589534566464E-2</v>
      </c>
      <c r="G455" s="5">
        <v>2.0567842000335013E-2</v>
      </c>
    </row>
    <row r="456" spans="1:7" x14ac:dyDescent="0.25">
      <c r="A456" s="12">
        <v>44833</v>
      </c>
      <c r="B456" s="13">
        <v>1660.54</v>
      </c>
      <c r="C456" s="13">
        <v>1658.5</v>
      </c>
      <c r="D456" s="5">
        <v>7.4148981296564429</v>
      </c>
      <c r="E456" s="5">
        <v>7.4136688583871075</v>
      </c>
      <c r="F456" s="5">
        <v>3.4332075831677855E-4</v>
      </c>
      <c r="G456" s="5">
        <v>-1.08472952663341E-3</v>
      </c>
    </row>
    <row r="457" spans="1:7" x14ac:dyDescent="0.25">
      <c r="A457" s="12">
        <v>44834</v>
      </c>
      <c r="B457" s="13">
        <v>1660.61</v>
      </c>
      <c r="C457" s="13">
        <v>1662.4</v>
      </c>
      <c r="D457" s="5">
        <v>7.4149402837295861</v>
      </c>
      <c r="E457" s="5">
        <v>7.416017620344963</v>
      </c>
      <c r="F457" s="5">
        <v>4.2154073143230164E-5</v>
      </c>
      <c r="G457" s="5">
        <v>2.3487619578554941E-3</v>
      </c>
    </row>
    <row r="458" spans="1:7" x14ac:dyDescent="0.25">
      <c r="A458" s="12">
        <v>44837</v>
      </c>
      <c r="B458" s="13">
        <v>1699.89</v>
      </c>
      <c r="C458" s="13">
        <v>1692.9</v>
      </c>
      <c r="D458" s="5">
        <v>7.4383188220684389</v>
      </c>
      <c r="E458" s="5">
        <v>7.4341983136432042</v>
      </c>
      <c r="F458" s="5">
        <v>2.3378538338852728E-2</v>
      </c>
      <c r="G458" s="5">
        <v>1.8180693298241124E-2</v>
      </c>
    </row>
    <row r="459" spans="1:7" x14ac:dyDescent="0.25">
      <c r="A459" s="12">
        <v>44838</v>
      </c>
      <c r="B459" s="13">
        <v>1726.13</v>
      </c>
      <c r="C459" s="13">
        <v>1721.1</v>
      </c>
      <c r="D459" s="5">
        <v>7.4536371874629177</v>
      </c>
      <c r="E459" s="5">
        <v>7.4507189002759349</v>
      </c>
      <c r="F459" s="5">
        <v>1.5318365394478839E-2</v>
      </c>
      <c r="G459" s="5">
        <v>1.6520586632730705E-2</v>
      </c>
    </row>
    <row r="460" spans="1:7" x14ac:dyDescent="0.25">
      <c r="A460" s="12">
        <v>44839</v>
      </c>
      <c r="B460" s="13">
        <v>1716.26</v>
      </c>
      <c r="C460" s="13">
        <v>1711.4</v>
      </c>
      <c r="D460" s="5">
        <v>7.4479027837221619</v>
      </c>
      <c r="E460" s="5">
        <v>7.4450670279839546</v>
      </c>
      <c r="F460" s="5">
        <v>-5.7344037407558446E-3</v>
      </c>
      <c r="G460" s="5">
        <v>-5.6518722919802755E-3</v>
      </c>
    </row>
    <row r="461" spans="1:7" x14ac:dyDescent="0.25">
      <c r="A461" s="12">
        <v>44840</v>
      </c>
      <c r="B461" s="13">
        <v>1712.53</v>
      </c>
      <c r="C461" s="13">
        <v>1711.7</v>
      </c>
      <c r="D461" s="5">
        <v>7.4457270882311128</v>
      </c>
      <c r="E461" s="5">
        <v>7.4452423077016183</v>
      </c>
      <c r="F461" s="5">
        <v>-2.1756954910490123E-3</v>
      </c>
      <c r="G461" s="5">
        <v>1.752797176637344E-4</v>
      </c>
    </row>
    <row r="462" spans="1:7" x14ac:dyDescent="0.25">
      <c r="A462" s="12">
        <v>44841</v>
      </c>
      <c r="B462" s="13">
        <v>1694.82</v>
      </c>
      <c r="C462" s="13">
        <v>1700.5</v>
      </c>
      <c r="D462" s="5">
        <v>7.4353318194852296</v>
      </c>
      <c r="E462" s="5">
        <v>7.4386776044472498</v>
      </c>
      <c r="F462" s="5">
        <v>-1.0395268745883257E-2</v>
      </c>
      <c r="G462" s="5">
        <v>-6.5647032543685313E-3</v>
      </c>
    </row>
    <row r="463" spans="1:7" x14ac:dyDescent="0.25">
      <c r="A463" s="12">
        <v>44844</v>
      </c>
      <c r="B463" s="13">
        <v>1668.61</v>
      </c>
      <c r="C463" s="13">
        <v>1667.3</v>
      </c>
      <c r="D463" s="5">
        <v>7.4197462234980804</v>
      </c>
      <c r="E463" s="5">
        <v>7.4189608305664132</v>
      </c>
      <c r="F463" s="5">
        <v>-1.5585595987149148E-2</v>
      </c>
      <c r="G463" s="5">
        <v>-1.9716773880836591E-2</v>
      </c>
    </row>
    <row r="464" spans="1:7" x14ac:dyDescent="0.25">
      <c r="A464" s="12">
        <v>44845</v>
      </c>
      <c r="B464" s="13">
        <v>1666.34</v>
      </c>
      <c r="C464" s="13">
        <v>1678.7</v>
      </c>
      <c r="D464" s="5">
        <v>7.4183848835376178</v>
      </c>
      <c r="E464" s="5">
        <v>7.4257749633283687</v>
      </c>
      <c r="F464" s="5">
        <v>-1.3613399604626153E-3</v>
      </c>
      <c r="G464" s="5">
        <v>6.814132761955527E-3</v>
      </c>
    </row>
    <row r="465" spans="1:7" x14ac:dyDescent="0.25">
      <c r="A465" s="12">
        <v>44846</v>
      </c>
      <c r="B465" s="13">
        <v>1673.19</v>
      </c>
      <c r="C465" s="13">
        <v>1670.3</v>
      </c>
      <c r="D465" s="5">
        <v>7.4224872629783452</v>
      </c>
      <c r="E465" s="5">
        <v>7.4207585299959016</v>
      </c>
      <c r="F465" s="5">
        <v>4.1023794407273328E-3</v>
      </c>
      <c r="G465" s="5">
        <v>-5.0164333324671517E-3</v>
      </c>
    </row>
    <row r="466" spans="1:7" x14ac:dyDescent="0.25">
      <c r="A466" s="12">
        <v>44847</v>
      </c>
      <c r="B466" s="13">
        <v>1666.37</v>
      </c>
      <c r="C466" s="13">
        <v>1670</v>
      </c>
      <c r="D466" s="5">
        <v>7.4184028869042473</v>
      </c>
      <c r="E466" s="5">
        <v>7.4205789054108005</v>
      </c>
      <c r="F466" s="5">
        <v>-4.0843760740978396E-3</v>
      </c>
      <c r="G466" s="5">
        <v>-1.7962458510112356E-4</v>
      </c>
    </row>
    <row r="467" spans="1:7" x14ac:dyDescent="0.25">
      <c r="A467" s="12">
        <v>44848</v>
      </c>
      <c r="B467" s="13">
        <v>1644.47</v>
      </c>
      <c r="C467" s="13">
        <v>1641.7</v>
      </c>
      <c r="D467" s="5">
        <v>7.4051734228357748</v>
      </c>
      <c r="E467" s="5">
        <v>7.4034875693004727</v>
      </c>
      <c r="F467" s="5">
        <v>-1.3229464068472474E-2</v>
      </c>
      <c r="G467" s="5">
        <v>-1.7091336110327759E-2</v>
      </c>
    </row>
    <row r="468" spans="1:7" x14ac:dyDescent="0.25">
      <c r="A468" s="12">
        <v>44851</v>
      </c>
      <c r="B468" s="13">
        <v>1650.09</v>
      </c>
      <c r="C468" s="13">
        <v>1657</v>
      </c>
      <c r="D468" s="5">
        <v>7.4085851108616225</v>
      </c>
      <c r="E468" s="5">
        <v>7.4127640174265625</v>
      </c>
      <c r="F468" s="5">
        <v>3.4116880258476812E-3</v>
      </c>
      <c r="G468" s="5">
        <v>9.2764481260898535E-3</v>
      </c>
    </row>
    <row r="469" spans="1:7" x14ac:dyDescent="0.25">
      <c r="A469" s="12">
        <v>44852</v>
      </c>
      <c r="B469" s="13">
        <v>1652.22</v>
      </c>
      <c r="C469" s="13">
        <v>1649</v>
      </c>
      <c r="D469" s="5">
        <v>7.4098751171271644</v>
      </c>
      <c r="E469" s="5">
        <v>7.407924322559599</v>
      </c>
      <c r="F469" s="5">
        <v>1.2900062655418765E-3</v>
      </c>
      <c r="G469" s="5">
        <v>-4.839694866963562E-3</v>
      </c>
    </row>
    <row r="470" spans="1:7" x14ac:dyDescent="0.25">
      <c r="A470" s="12">
        <v>44853</v>
      </c>
      <c r="B470" s="13">
        <v>1629.44</v>
      </c>
      <c r="C470" s="13">
        <v>1627.5</v>
      </c>
      <c r="D470" s="5">
        <v>7.395991676488932</v>
      </c>
      <c r="E470" s="5">
        <v>7.3948003740827239</v>
      </c>
      <c r="F470" s="5">
        <v>-1.3883440638232436E-2</v>
      </c>
      <c r="G470" s="5">
        <v>-1.3123948476875036E-2</v>
      </c>
    </row>
    <row r="471" spans="1:7" x14ac:dyDescent="0.25">
      <c r="A471" s="12">
        <v>44854</v>
      </c>
      <c r="B471" s="13">
        <v>1628.02</v>
      </c>
      <c r="C471" s="13">
        <v>1630.8</v>
      </c>
      <c r="D471" s="5">
        <v>7.3951198314993105</v>
      </c>
      <c r="E471" s="5">
        <v>7.3968259709450983</v>
      </c>
      <c r="F471" s="5">
        <v>-8.7184498962145085E-4</v>
      </c>
      <c r="G471" s="5">
        <v>2.025596862374357E-3</v>
      </c>
    </row>
    <row r="472" spans="1:7" x14ac:dyDescent="0.25">
      <c r="A472" s="12">
        <v>44855</v>
      </c>
      <c r="B472" s="13">
        <v>1657.69</v>
      </c>
      <c r="C472" s="13">
        <v>1651</v>
      </c>
      <c r="D472" s="5">
        <v>7.4131803459580192</v>
      </c>
      <c r="E472" s="5">
        <v>7.4091364439201284</v>
      </c>
      <c r="F472" s="5">
        <v>1.806051445870871E-2</v>
      </c>
      <c r="G472" s="5">
        <v>1.2310472975030073E-2</v>
      </c>
    </row>
    <row r="473" spans="1:7" x14ac:dyDescent="0.25">
      <c r="A473" s="12">
        <v>44858</v>
      </c>
      <c r="B473" s="13">
        <v>1649.78</v>
      </c>
      <c r="C473" s="13">
        <v>1648.7</v>
      </c>
      <c r="D473" s="5">
        <v>7.4083972246716137</v>
      </c>
      <c r="E473" s="5">
        <v>7.4077423775671329</v>
      </c>
      <c r="F473" s="5">
        <v>-4.7831212864055672E-3</v>
      </c>
      <c r="G473" s="5">
        <v>-1.3940663529954378E-3</v>
      </c>
    </row>
    <row r="474" spans="1:7" x14ac:dyDescent="0.25">
      <c r="A474" s="12">
        <v>44859</v>
      </c>
      <c r="B474" s="13">
        <v>1653.17</v>
      </c>
      <c r="C474" s="13">
        <v>1652.8</v>
      </c>
      <c r="D474" s="5">
        <v>7.4104499358481979</v>
      </c>
      <c r="E474" s="5">
        <v>7.4102260983653743</v>
      </c>
      <c r="F474" s="5">
        <v>2.0527111765842321E-3</v>
      </c>
      <c r="G474" s="5">
        <v>2.483720798241329E-3</v>
      </c>
    </row>
    <row r="475" spans="1:7" x14ac:dyDescent="0.25">
      <c r="A475" s="12">
        <v>44860</v>
      </c>
      <c r="B475" s="13">
        <v>1664.57</v>
      </c>
      <c r="C475" s="13">
        <v>1664</v>
      </c>
      <c r="D475" s="5">
        <v>7.4173221108018792</v>
      </c>
      <c r="E475" s="5">
        <v>7.4169796213811541</v>
      </c>
      <c r="F475" s="5">
        <v>6.8721749536813093E-3</v>
      </c>
      <c r="G475" s="5">
        <v>6.7535230157798054E-3</v>
      </c>
    </row>
    <row r="476" spans="1:7" x14ac:dyDescent="0.25">
      <c r="A476" s="12">
        <v>44861</v>
      </c>
      <c r="B476" s="13">
        <v>1663.31</v>
      </c>
      <c r="C476" s="13">
        <v>1660.7</v>
      </c>
      <c r="D476" s="5">
        <v>7.4165648719229482</v>
      </c>
      <c r="E476" s="5">
        <v>7.4149944792127078</v>
      </c>
      <c r="F476" s="5">
        <v>-7.5723887893097697E-4</v>
      </c>
      <c r="G476" s="5">
        <v>-1.9851421684462522E-3</v>
      </c>
    </row>
    <row r="477" spans="1:7" x14ac:dyDescent="0.25">
      <c r="A477" s="12">
        <v>44862</v>
      </c>
      <c r="B477" s="13">
        <v>1644.86</v>
      </c>
      <c r="C477" s="13">
        <v>1644.8</v>
      </c>
      <c r="D477" s="5">
        <v>7.4054105531947396</v>
      </c>
      <c r="E477" s="5">
        <v>7.4053740752608457</v>
      </c>
      <c r="F477" s="5">
        <v>-1.1154318728208601E-2</v>
      </c>
      <c r="G477" s="5">
        <v>-9.6204039518621443E-3</v>
      </c>
    </row>
    <row r="478" spans="1:7" x14ac:dyDescent="0.25">
      <c r="A478" s="12">
        <v>44865</v>
      </c>
      <c r="B478" s="13">
        <v>1633.56</v>
      </c>
      <c r="C478" s="13">
        <v>1640.7</v>
      </c>
      <c r="D478" s="5">
        <v>7.3985169613123816</v>
      </c>
      <c r="E478" s="5">
        <v>7.4028782590208371</v>
      </c>
      <c r="F478" s="5">
        <v>-6.8935918823580522E-3</v>
      </c>
      <c r="G478" s="5">
        <v>-2.4958162400086081E-3</v>
      </c>
    </row>
    <row r="479" spans="1:7" x14ac:dyDescent="0.25">
      <c r="A479" s="12">
        <v>44866</v>
      </c>
      <c r="B479" s="13">
        <v>1647.98</v>
      </c>
      <c r="C479" s="13">
        <v>1649.7</v>
      </c>
      <c r="D479" s="5">
        <v>7.4073055744734457</v>
      </c>
      <c r="E479" s="5">
        <v>7.4083487321818788</v>
      </c>
      <c r="F479" s="5">
        <v>8.7886131610641627E-3</v>
      </c>
      <c r="G479" s="5">
        <v>5.4704731610417667E-3</v>
      </c>
    </row>
    <row r="480" spans="1:7" x14ac:dyDescent="0.25">
      <c r="A480" s="12">
        <v>44867</v>
      </c>
      <c r="B480" s="13">
        <v>1635.24</v>
      </c>
      <c r="C480" s="13">
        <v>1650</v>
      </c>
      <c r="D480" s="5">
        <v>7.3995448615497299</v>
      </c>
      <c r="E480" s="5">
        <v>7.4085305668946262</v>
      </c>
      <c r="F480" s="5">
        <v>-7.760712923715829E-3</v>
      </c>
      <c r="G480" s="5">
        <v>1.8183471274735297E-4</v>
      </c>
    </row>
    <row r="481" spans="1:7" x14ac:dyDescent="0.25">
      <c r="A481" s="12">
        <v>44868</v>
      </c>
      <c r="B481" s="13">
        <v>1629.49</v>
      </c>
      <c r="C481" s="13">
        <v>1630.9</v>
      </c>
      <c r="D481" s="5">
        <v>7.3960223614069909</v>
      </c>
      <c r="E481" s="5">
        <v>7.3968872886628718</v>
      </c>
      <c r="F481" s="5">
        <v>-3.5225001427390268E-3</v>
      </c>
      <c r="G481" s="5">
        <v>-1.1643278231754373E-2</v>
      </c>
    </row>
    <row r="482" spans="1:7" x14ac:dyDescent="0.25">
      <c r="A482" s="12">
        <v>44869</v>
      </c>
      <c r="B482" s="13">
        <v>1681.87</v>
      </c>
      <c r="C482" s="13">
        <v>1676.6</v>
      </c>
      <c r="D482" s="5">
        <v>7.4276615486042132</v>
      </c>
      <c r="E482" s="5">
        <v>7.4245232122037566</v>
      </c>
      <c r="F482" s="5">
        <v>3.1639187197222363E-2</v>
      </c>
      <c r="G482" s="5">
        <v>2.7635923540884733E-2</v>
      </c>
    </row>
    <row r="483" spans="1:7" x14ac:dyDescent="0.25">
      <c r="A483" s="12">
        <v>44872</v>
      </c>
      <c r="B483" s="13">
        <v>1675.63</v>
      </c>
      <c r="C483" s="13">
        <v>1680.5</v>
      </c>
      <c r="D483" s="5">
        <v>7.4239444929469807</v>
      </c>
      <c r="E483" s="5">
        <v>7.42684664716516</v>
      </c>
      <c r="F483" s="5">
        <v>-3.7170556572325708E-3</v>
      </c>
      <c r="G483" s="5">
        <v>2.3234349614034144E-3</v>
      </c>
    </row>
    <row r="484" spans="1:7" x14ac:dyDescent="0.25">
      <c r="A484" s="12">
        <v>44873</v>
      </c>
      <c r="B484" s="13">
        <v>1712.42</v>
      </c>
      <c r="C484" s="13">
        <v>1716</v>
      </c>
      <c r="D484" s="5">
        <v>7.4456628537167182</v>
      </c>
      <c r="E484" s="5">
        <v>7.4477512800479078</v>
      </c>
      <c r="F484" s="5">
        <v>2.1718360769737544E-2</v>
      </c>
      <c r="G484" s="5">
        <v>2.0904632882747798E-2</v>
      </c>
    </row>
    <row r="485" spans="1:7" x14ac:dyDescent="0.25">
      <c r="A485" s="12">
        <v>44874</v>
      </c>
      <c r="B485" s="13">
        <v>1706.74</v>
      </c>
      <c r="C485" s="13">
        <v>1713.7</v>
      </c>
      <c r="D485" s="5">
        <v>7.4423403971923134</v>
      </c>
      <c r="E485" s="5">
        <v>7.4464100546668037</v>
      </c>
      <c r="F485" s="5">
        <v>-3.322456524404771E-3</v>
      </c>
      <c r="G485" s="5">
        <v>-1.3412253811040387E-3</v>
      </c>
    </row>
    <row r="486" spans="1:7" x14ac:dyDescent="0.25">
      <c r="A486" s="12">
        <v>44875</v>
      </c>
      <c r="B486" s="13">
        <v>1755.45</v>
      </c>
      <c r="C486" s="13">
        <v>1753.7</v>
      </c>
      <c r="D486" s="5">
        <v>7.4704805132888845</v>
      </c>
      <c r="E486" s="5">
        <v>7.469483120675247</v>
      </c>
      <c r="F486" s="5">
        <v>2.8140116096571077E-2</v>
      </c>
      <c r="G486" s="5">
        <v>2.3073066008443277E-2</v>
      </c>
    </row>
    <row r="487" spans="1:7" x14ac:dyDescent="0.25">
      <c r="A487" s="12">
        <v>44876</v>
      </c>
      <c r="B487" s="13">
        <v>1771.24</v>
      </c>
      <c r="C487" s="13">
        <v>1769.4</v>
      </c>
      <c r="D487" s="5">
        <v>7.4794351452585364</v>
      </c>
      <c r="E487" s="5">
        <v>7.4783957850492859</v>
      </c>
      <c r="F487" s="5">
        <v>8.9546319696518495E-3</v>
      </c>
      <c r="G487" s="5">
        <v>8.9126643740389255E-3</v>
      </c>
    </row>
    <row r="488" spans="1:7" x14ac:dyDescent="0.25">
      <c r="A488" s="12">
        <v>44879</v>
      </c>
      <c r="B488" s="13">
        <v>1771.4</v>
      </c>
      <c r="C488" s="13">
        <v>1776.9</v>
      </c>
      <c r="D488" s="5">
        <v>7.4795254733754826</v>
      </c>
      <c r="E488" s="5">
        <v>7.4826255519510294</v>
      </c>
      <c r="F488" s="5">
        <v>9.0328116946203352E-5</v>
      </c>
      <c r="G488" s="5">
        <v>4.2297669017434814E-3</v>
      </c>
    </row>
    <row r="489" spans="1:7" x14ac:dyDescent="0.25">
      <c r="A489" s="12">
        <v>44880</v>
      </c>
      <c r="B489" s="13">
        <v>1778.94</v>
      </c>
      <c r="C489" s="13">
        <v>1776.8</v>
      </c>
      <c r="D489" s="5">
        <v>7.4837729602842575</v>
      </c>
      <c r="E489" s="5">
        <v>7.4825692725802178</v>
      </c>
      <c r="F489" s="5">
        <v>4.2474869087749667E-3</v>
      </c>
      <c r="G489" s="5">
        <v>-5.6279370811651575E-5</v>
      </c>
    </row>
    <row r="490" spans="1:7" x14ac:dyDescent="0.25">
      <c r="A490" s="12">
        <v>44881</v>
      </c>
      <c r="B490" s="13">
        <v>1773.87</v>
      </c>
      <c r="C490" s="13">
        <v>1775.8</v>
      </c>
      <c r="D490" s="5">
        <v>7.4809188794628279</v>
      </c>
      <c r="E490" s="5">
        <v>7.4820063045982268</v>
      </c>
      <c r="F490" s="5">
        <v>-2.8540808214296831E-3</v>
      </c>
      <c r="G490" s="5">
        <v>-5.6296798199095832E-4</v>
      </c>
    </row>
    <row r="491" spans="1:7" x14ac:dyDescent="0.25">
      <c r="A491" s="12">
        <v>44882</v>
      </c>
      <c r="B491" s="13">
        <v>1760.44</v>
      </c>
      <c r="C491" s="13">
        <v>1763</v>
      </c>
      <c r="D491" s="5">
        <v>7.473319056787405</v>
      </c>
      <c r="E491" s="5">
        <v>7.4747721823978699</v>
      </c>
      <c r="F491" s="5">
        <v>-7.5998226754228071E-3</v>
      </c>
      <c r="G491" s="5">
        <v>-7.2341222003569072E-3</v>
      </c>
    </row>
    <row r="492" spans="1:7" x14ac:dyDescent="0.25">
      <c r="A492" s="12">
        <v>44883</v>
      </c>
      <c r="B492" s="13">
        <v>1750.68</v>
      </c>
      <c r="C492" s="13">
        <v>1754.4</v>
      </c>
      <c r="D492" s="5">
        <v>7.4677595628718043</v>
      </c>
      <c r="E492" s="5">
        <v>7.4698821971036784</v>
      </c>
      <c r="F492" s="5">
        <v>-5.5594939156007328E-3</v>
      </c>
      <c r="G492" s="5">
        <v>-4.8899852941914901E-3</v>
      </c>
    </row>
    <row r="493" spans="1:7" x14ac:dyDescent="0.25">
      <c r="A493" s="12">
        <v>44886</v>
      </c>
      <c r="B493" s="13">
        <v>1738.05</v>
      </c>
      <c r="C493" s="13">
        <v>1739.6</v>
      </c>
      <c r="D493" s="5">
        <v>7.4605190741111809</v>
      </c>
      <c r="E493" s="5">
        <v>7.4614104807234831</v>
      </c>
      <c r="F493" s="5">
        <v>-7.2404887606234425E-3</v>
      </c>
      <c r="G493" s="5">
        <v>-8.4717163801952822E-3</v>
      </c>
    </row>
    <row r="494" spans="1:7" x14ac:dyDescent="0.25">
      <c r="A494" s="12">
        <v>44887</v>
      </c>
      <c r="B494" s="13">
        <v>1740.25</v>
      </c>
      <c r="C494" s="13">
        <v>1739.9</v>
      </c>
      <c r="D494" s="5">
        <v>7.4617840600487755</v>
      </c>
      <c r="E494" s="5">
        <v>7.4615829192926704</v>
      </c>
      <c r="F494" s="5">
        <v>1.2649859375946093E-3</v>
      </c>
      <c r="G494" s="5">
        <v>1.7243856918724987E-4</v>
      </c>
    </row>
    <row r="495" spans="1:7" x14ac:dyDescent="0.25">
      <c r="A495" s="12">
        <v>44888</v>
      </c>
      <c r="B495" s="13">
        <v>1749.68</v>
      </c>
      <c r="C495" s="13">
        <v>1745.6</v>
      </c>
      <c r="D495" s="5">
        <v>7.4671881930542972</v>
      </c>
      <c r="E495" s="5">
        <v>7.4648536150788063</v>
      </c>
      <c r="F495" s="5">
        <v>5.4041330055216719E-3</v>
      </c>
      <c r="G495" s="5">
        <v>3.2706957861359243E-3</v>
      </c>
    </row>
    <row r="496" spans="1:7" x14ac:dyDescent="0.25">
      <c r="A496" s="12">
        <v>44889</v>
      </c>
      <c r="B496" s="13">
        <v>1755.24</v>
      </c>
      <c r="C496" s="13">
        <v>1745.6</v>
      </c>
      <c r="D496" s="5">
        <v>7.4703608786869973</v>
      </c>
      <c r="E496" s="5">
        <v>7.4648536150788063</v>
      </c>
      <c r="F496" s="5">
        <v>3.1726856327001229E-3</v>
      </c>
      <c r="G496" s="5">
        <v>0</v>
      </c>
    </row>
    <row r="497" spans="1:7" x14ac:dyDescent="0.25">
      <c r="A497" s="12">
        <v>44890</v>
      </c>
      <c r="B497" s="13">
        <v>1754.93</v>
      </c>
      <c r="C497" s="13">
        <v>1754</v>
      </c>
      <c r="D497" s="5">
        <v>7.4701842490646113</v>
      </c>
      <c r="E497" s="5">
        <v>7.4696541729321284</v>
      </c>
      <c r="F497" s="5">
        <v>-1.7662962238595981E-4</v>
      </c>
      <c r="G497" s="5">
        <v>4.8005578533221183E-3</v>
      </c>
    </row>
    <row r="498" spans="1:7" x14ac:dyDescent="0.25">
      <c r="A498" s="12">
        <v>44893</v>
      </c>
      <c r="B498" s="13">
        <v>1741.36</v>
      </c>
      <c r="C498" s="13">
        <v>1740.3</v>
      </c>
      <c r="D498" s="5">
        <v>7.4624216961065812</v>
      </c>
      <c r="E498" s="5">
        <v>7.4618127911401286</v>
      </c>
      <c r="F498" s="5">
        <v>-7.7625529580300778E-3</v>
      </c>
      <c r="G498" s="5">
        <v>-7.8413817919997797E-3</v>
      </c>
    </row>
    <row r="499" spans="1:7" x14ac:dyDescent="0.25">
      <c r="A499" s="12">
        <v>44894</v>
      </c>
      <c r="B499" s="13">
        <v>1749.85</v>
      </c>
      <c r="C499" s="13">
        <v>1748.4</v>
      </c>
      <c r="D499" s="5">
        <v>7.4672853489581659</v>
      </c>
      <c r="E499" s="5">
        <v>7.4664563629891596</v>
      </c>
      <c r="F499" s="5">
        <v>4.8636528515846322E-3</v>
      </c>
      <c r="G499" s="5">
        <v>4.6435718490309696E-3</v>
      </c>
    </row>
    <row r="500" spans="1:7" x14ac:dyDescent="0.25">
      <c r="A500" s="12">
        <v>44895</v>
      </c>
      <c r="B500" s="13">
        <v>1768.52</v>
      </c>
      <c r="C500" s="13">
        <v>1746</v>
      </c>
      <c r="D500" s="5">
        <v>7.4778983176005314</v>
      </c>
      <c r="E500" s="5">
        <v>7.4650827363995473</v>
      </c>
      <c r="F500" s="5">
        <v>1.0612968642365495E-2</v>
      </c>
      <c r="G500" s="5">
        <v>-1.3736265896122646E-3</v>
      </c>
    </row>
    <row r="501" spans="1:7" x14ac:dyDescent="0.25">
      <c r="A501" s="12">
        <v>44896</v>
      </c>
      <c r="B501" s="13">
        <v>1803.1</v>
      </c>
      <c r="C501" s="13">
        <v>1801.1</v>
      </c>
      <c r="D501" s="5">
        <v>7.4972626847823225</v>
      </c>
      <c r="E501" s="5">
        <v>7.4961528683430121</v>
      </c>
      <c r="F501" s="5">
        <v>1.9364367181791131E-2</v>
      </c>
      <c r="G501" s="5">
        <v>3.1070131943464752E-2</v>
      </c>
    </row>
    <row r="502" spans="1:7" x14ac:dyDescent="0.25">
      <c r="A502" s="12">
        <v>44897</v>
      </c>
      <c r="B502" s="13">
        <v>1797.63</v>
      </c>
      <c r="C502" s="13">
        <v>1795.9</v>
      </c>
      <c r="D502" s="5">
        <v>7.4942244096504194</v>
      </c>
      <c r="E502" s="5">
        <v>7.4932615680246908</v>
      </c>
      <c r="F502" s="5">
        <v>-3.0382751319031343E-3</v>
      </c>
      <c r="G502" s="5">
        <v>-2.8913003183212993E-3</v>
      </c>
    </row>
    <row r="503" spans="1:7" x14ac:dyDescent="0.25">
      <c r="A503" s="12">
        <v>44900</v>
      </c>
      <c r="B503" s="13">
        <v>1768.68</v>
      </c>
      <c r="C503" s="13">
        <v>1767.4</v>
      </c>
      <c r="D503" s="5">
        <v>7.4779887846366666</v>
      </c>
      <c r="E503" s="5">
        <v>7.4772648190839037</v>
      </c>
      <c r="F503" s="5">
        <v>-1.6235625013752752E-2</v>
      </c>
      <c r="G503" s="5">
        <v>-1.5996748940787064E-2</v>
      </c>
    </row>
    <row r="504" spans="1:7" x14ac:dyDescent="0.25">
      <c r="A504" s="12">
        <v>44901</v>
      </c>
      <c r="B504" s="13">
        <v>1771.04</v>
      </c>
      <c r="C504" s="13">
        <v>1769.3</v>
      </c>
      <c r="D504" s="5">
        <v>7.4793222236373138</v>
      </c>
      <c r="E504" s="5">
        <v>7.4783392671189572</v>
      </c>
      <c r="F504" s="5">
        <v>1.3334390006471963E-3</v>
      </c>
      <c r="G504" s="5">
        <v>1.0744480350535213E-3</v>
      </c>
    </row>
    <row r="505" spans="1:7" x14ac:dyDescent="0.25">
      <c r="A505" s="12">
        <v>44902</v>
      </c>
      <c r="B505" s="13">
        <v>1786.27</v>
      </c>
      <c r="C505" s="13">
        <v>1785.5</v>
      </c>
      <c r="D505" s="5">
        <v>7.4878849258224029</v>
      </c>
      <c r="E505" s="5">
        <v>7.4874537670345029</v>
      </c>
      <c r="F505" s="5">
        <v>8.5627021850891438E-3</v>
      </c>
      <c r="G505" s="5">
        <v>9.1144999155456929E-3</v>
      </c>
    </row>
    <row r="506" spans="1:7" x14ac:dyDescent="0.25">
      <c r="A506" s="12">
        <v>44903</v>
      </c>
      <c r="B506" s="13">
        <v>1789.14</v>
      </c>
      <c r="C506" s="13">
        <v>1788.7</v>
      </c>
      <c r="D506" s="5">
        <v>7.4894903364558214</v>
      </c>
      <c r="E506" s="5">
        <v>7.4892443779992002</v>
      </c>
      <c r="F506" s="5">
        <v>1.6054106334184581E-3</v>
      </c>
      <c r="G506" s="5">
        <v>1.7906109646972368E-3</v>
      </c>
    </row>
    <row r="507" spans="1:7" x14ac:dyDescent="0.25">
      <c r="A507" s="12">
        <v>44904</v>
      </c>
      <c r="B507" s="13">
        <v>1797.32</v>
      </c>
      <c r="C507" s="13">
        <v>1798.1</v>
      </c>
      <c r="D507" s="5">
        <v>7.4940519454988905</v>
      </c>
      <c r="E507" s="5">
        <v>7.4944858308375917</v>
      </c>
      <c r="F507" s="5">
        <v>4.5616090430691258E-3</v>
      </c>
      <c r="G507" s="5">
        <v>5.2414528383915027E-3</v>
      </c>
    </row>
    <row r="508" spans="1:7" x14ac:dyDescent="0.25">
      <c r="A508" s="12">
        <v>44907</v>
      </c>
      <c r="B508" s="13">
        <v>1781.44</v>
      </c>
      <c r="C508" s="13">
        <v>1780.5</v>
      </c>
      <c r="D508" s="5">
        <v>7.4851773049951431</v>
      </c>
      <c r="E508" s="5">
        <v>7.4846495027178328</v>
      </c>
      <c r="F508" s="5">
        <v>-8.8746405037474219E-3</v>
      </c>
      <c r="G508" s="5">
        <v>-9.8363281197588748E-3</v>
      </c>
    </row>
    <row r="509" spans="1:7" x14ac:dyDescent="0.25">
      <c r="A509" s="12">
        <v>44908</v>
      </c>
      <c r="B509" s="13">
        <v>1810.8</v>
      </c>
      <c r="C509" s="13">
        <v>1813.9</v>
      </c>
      <c r="D509" s="5">
        <v>7.5015240155618033</v>
      </c>
      <c r="E509" s="5">
        <v>7.5032345023639238</v>
      </c>
      <c r="F509" s="5">
        <v>1.634671056666015E-2</v>
      </c>
      <c r="G509" s="5">
        <v>1.8584999646090949E-2</v>
      </c>
    </row>
    <row r="510" spans="1:7" x14ac:dyDescent="0.25">
      <c r="A510" s="12">
        <v>44909</v>
      </c>
      <c r="B510" s="13">
        <v>1807.32</v>
      </c>
      <c r="C510" s="13">
        <v>1807.5</v>
      </c>
      <c r="D510" s="5">
        <v>7.4996003640117577</v>
      </c>
      <c r="E510" s="5">
        <v>7.4996999540329199</v>
      </c>
      <c r="F510" s="5">
        <v>-1.9236515500455909E-3</v>
      </c>
      <c r="G510" s="5">
        <v>-3.5345483310038617E-3</v>
      </c>
    </row>
    <row r="511" spans="1:7" x14ac:dyDescent="0.25">
      <c r="A511" s="12">
        <v>44910</v>
      </c>
      <c r="B511" s="13">
        <v>1776.85</v>
      </c>
      <c r="C511" s="13">
        <v>1777.2</v>
      </c>
      <c r="D511" s="5">
        <v>7.4825974126615442</v>
      </c>
      <c r="E511" s="5">
        <v>7.482794371061753</v>
      </c>
      <c r="F511" s="5">
        <v>-1.7002951350213458E-2</v>
      </c>
      <c r="G511" s="5">
        <v>-1.6905582971166844E-2</v>
      </c>
    </row>
    <row r="512" spans="1:7" x14ac:dyDescent="0.25">
      <c r="A512" s="12">
        <v>44911</v>
      </c>
      <c r="B512" s="13">
        <v>1793.08</v>
      </c>
      <c r="C512" s="13">
        <v>1790</v>
      </c>
      <c r="D512" s="5">
        <v>7.4916900905685093</v>
      </c>
      <c r="E512" s="5">
        <v>7.4899708988348008</v>
      </c>
      <c r="F512" s="5">
        <v>9.0926779069651076E-3</v>
      </c>
      <c r="G512" s="5">
        <v>7.1765277730477806E-3</v>
      </c>
    </row>
    <row r="513" spans="1:7" x14ac:dyDescent="0.25">
      <c r="A513" s="12">
        <v>44914</v>
      </c>
      <c r="B513" s="13">
        <v>1787.62</v>
      </c>
      <c r="C513" s="13">
        <v>1787.7</v>
      </c>
      <c r="D513" s="5">
        <v>7.488640405181985</v>
      </c>
      <c r="E513" s="5">
        <v>7.4886851564210426</v>
      </c>
      <c r="F513" s="5">
        <v>-3.0496853865242812E-3</v>
      </c>
      <c r="G513" s="5">
        <v>-1.2857424137582285E-3</v>
      </c>
    </row>
    <row r="514" spans="1:7" x14ac:dyDescent="0.25">
      <c r="A514" s="12">
        <v>44915</v>
      </c>
      <c r="B514" s="13">
        <v>1817.94</v>
      </c>
      <c r="C514" s="13">
        <v>1815.9</v>
      </c>
      <c r="D514" s="5">
        <v>7.505459270892473</v>
      </c>
      <c r="E514" s="5">
        <v>7.5043364915657511</v>
      </c>
      <c r="F514" s="5">
        <v>1.6818865710487962E-2</v>
      </c>
      <c r="G514" s="5">
        <v>1.5651335144708511E-2</v>
      </c>
    </row>
    <row r="515" spans="1:7" x14ac:dyDescent="0.25">
      <c r="A515" s="12">
        <v>44916</v>
      </c>
      <c r="B515" s="13">
        <v>1814.39</v>
      </c>
      <c r="C515" s="13">
        <v>1815.9</v>
      </c>
      <c r="D515" s="5">
        <v>7.5035046020543996</v>
      </c>
      <c r="E515" s="5">
        <v>7.5043364915657511</v>
      </c>
      <c r="F515" s="5">
        <v>-1.9546688380733812E-3</v>
      </c>
      <c r="G515" s="5">
        <v>0</v>
      </c>
    </row>
    <row r="516" spans="1:7" x14ac:dyDescent="0.25">
      <c r="A516" s="12">
        <v>44917</v>
      </c>
      <c r="B516" s="13">
        <v>1792.52</v>
      </c>
      <c r="C516" s="13">
        <v>1787</v>
      </c>
      <c r="D516" s="5">
        <v>7.4913777300126458</v>
      </c>
      <c r="E516" s="5">
        <v>7.4882935151594276</v>
      </c>
      <c r="F516" s="5">
        <v>-1.2126872041753778E-2</v>
      </c>
      <c r="G516" s="5">
        <v>-1.6042976406323461E-2</v>
      </c>
    </row>
    <row r="517" spans="1:7" x14ac:dyDescent="0.25">
      <c r="A517" s="12">
        <v>44918</v>
      </c>
      <c r="B517" s="13">
        <v>1798.2</v>
      </c>
      <c r="C517" s="13">
        <v>1795.9</v>
      </c>
      <c r="D517" s="5">
        <v>7.4945414435506725</v>
      </c>
      <c r="E517" s="5">
        <v>7.4932615680246908</v>
      </c>
      <c r="F517" s="5">
        <v>3.1637135380266912E-3</v>
      </c>
      <c r="G517" s="5">
        <v>4.9680528652631395E-3</v>
      </c>
    </row>
    <row r="518" spans="1:7" x14ac:dyDescent="0.25">
      <c r="A518" s="12">
        <v>44921</v>
      </c>
      <c r="B518" s="13">
        <v>1798.2</v>
      </c>
      <c r="C518" s="13">
        <v>1795.9</v>
      </c>
      <c r="D518" s="5">
        <v>7.4945414435506725</v>
      </c>
      <c r="E518" s="5">
        <v>7.4932615680246908</v>
      </c>
      <c r="F518" s="5">
        <v>0</v>
      </c>
      <c r="G518" s="5">
        <v>0</v>
      </c>
    </row>
    <row r="519" spans="1:7" x14ac:dyDescent="0.25">
      <c r="A519" s="12">
        <v>44922</v>
      </c>
      <c r="B519" s="13">
        <v>1813.69</v>
      </c>
      <c r="C519" s="13">
        <v>1814.8</v>
      </c>
      <c r="D519" s="5">
        <v>7.5031187230171756</v>
      </c>
      <c r="E519" s="5">
        <v>7.5037305477898091</v>
      </c>
      <c r="F519" s="5">
        <v>8.5772794665031071E-3</v>
      </c>
      <c r="G519" s="5">
        <v>1.0468979765118291E-2</v>
      </c>
    </row>
    <row r="520" spans="1:7" x14ac:dyDescent="0.25">
      <c r="A520" s="12">
        <v>44923</v>
      </c>
      <c r="B520" s="13">
        <v>1804.35</v>
      </c>
      <c r="C520" s="13">
        <v>1807.9</v>
      </c>
      <c r="D520" s="5">
        <v>7.4979556951081916</v>
      </c>
      <c r="E520" s="5">
        <v>7.4999212296879687</v>
      </c>
      <c r="F520" s="5">
        <v>-5.1630279089840414E-3</v>
      </c>
      <c r="G520" s="5">
        <v>-3.8093181018403754E-3</v>
      </c>
    </row>
    <row r="521" spans="1:7" x14ac:dyDescent="0.25">
      <c r="A521" s="12">
        <v>44924</v>
      </c>
      <c r="B521" s="13">
        <v>1814.91</v>
      </c>
      <c r="C521" s="13">
        <v>1826</v>
      </c>
      <c r="D521" s="5">
        <v>7.5037911586926267</v>
      </c>
      <c r="E521" s="5">
        <v>7.5098830611549134</v>
      </c>
      <c r="F521" s="5">
        <v>5.8354635844350966E-3</v>
      </c>
      <c r="G521" s="5">
        <v>9.9618314669447372E-3</v>
      </c>
    </row>
    <row r="522" spans="1:7" x14ac:dyDescent="0.25">
      <c r="A522" s="12">
        <v>44925</v>
      </c>
      <c r="B522" s="13">
        <v>1824.02</v>
      </c>
      <c r="C522" s="13">
        <v>1826.2</v>
      </c>
      <c r="D522" s="5">
        <v>7.508798135486443</v>
      </c>
      <c r="E522" s="5">
        <v>7.5099925841822399</v>
      </c>
      <c r="F522" s="5">
        <v>5.0069767938163423E-3</v>
      </c>
      <c r="G522" s="5">
        <v>1.0952302732647468E-4</v>
      </c>
    </row>
    <row r="523" spans="1:7" x14ac:dyDescent="0.25">
      <c r="A523" s="12">
        <v>44928</v>
      </c>
      <c r="B523" s="13">
        <v>1824.02</v>
      </c>
      <c r="C523" s="13">
        <v>1826.2</v>
      </c>
      <c r="D523" s="5">
        <v>7.508798135486443</v>
      </c>
      <c r="E523" s="5">
        <v>7.5099925841822399</v>
      </c>
      <c r="F523" s="5">
        <v>0</v>
      </c>
      <c r="G523" s="5">
        <v>0</v>
      </c>
    </row>
    <row r="524" spans="1:7" x14ac:dyDescent="0.25">
      <c r="A524" s="12">
        <v>44929</v>
      </c>
      <c r="B524" s="13">
        <v>1839.48</v>
      </c>
      <c r="C524" s="13">
        <v>1846.1</v>
      </c>
      <c r="D524" s="5">
        <v>7.5172382019660162</v>
      </c>
      <c r="E524" s="5">
        <v>7.5208305847765233</v>
      </c>
      <c r="F524" s="5">
        <v>8.4400664795731828E-3</v>
      </c>
      <c r="G524" s="5">
        <v>1.0838000594283415E-2</v>
      </c>
    </row>
    <row r="525" spans="1:7" x14ac:dyDescent="0.25">
      <c r="A525" s="12">
        <v>44930</v>
      </c>
      <c r="B525" s="13">
        <v>1854.56</v>
      </c>
      <c r="C525" s="13">
        <v>1859</v>
      </c>
      <c r="D525" s="5">
        <v>7.5254027501404348</v>
      </c>
      <c r="E525" s="5">
        <v>7.5277939877214441</v>
      </c>
      <c r="F525" s="5">
        <v>8.1645481744185844E-3</v>
      </c>
      <c r="G525" s="5">
        <v>6.9634029449208157E-3</v>
      </c>
    </row>
    <row r="526" spans="1:7" x14ac:dyDescent="0.25">
      <c r="A526" s="12">
        <v>44931</v>
      </c>
      <c r="B526" s="13">
        <v>1832.89</v>
      </c>
      <c r="C526" s="13">
        <v>1840.6</v>
      </c>
      <c r="D526" s="5">
        <v>7.5136492351279038</v>
      </c>
      <c r="E526" s="5">
        <v>7.5178468844047561</v>
      </c>
      <c r="F526" s="5">
        <v>-1.1753515012530968E-2</v>
      </c>
      <c r="G526" s="5">
        <v>-9.9471033166880218E-3</v>
      </c>
    </row>
    <row r="527" spans="1:7" x14ac:dyDescent="0.25">
      <c r="A527" s="12">
        <v>44932</v>
      </c>
      <c r="B527" s="13">
        <v>1865.69</v>
      </c>
      <c r="C527" s="13">
        <v>1869.7</v>
      </c>
      <c r="D527" s="5">
        <v>7.5313862368450595</v>
      </c>
      <c r="E527" s="5">
        <v>7.5335332691712287</v>
      </c>
      <c r="F527" s="5">
        <v>1.7737001717155643E-2</v>
      </c>
      <c r="G527" s="5">
        <v>1.568638476647255E-2</v>
      </c>
    </row>
    <row r="528" spans="1:7" x14ac:dyDescent="0.25">
      <c r="A528" s="12">
        <v>44935</v>
      </c>
      <c r="B528" s="13">
        <v>1871.81</v>
      </c>
      <c r="C528" s="13">
        <v>1877.8</v>
      </c>
      <c r="D528" s="5">
        <v>7.5346611561600021</v>
      </c>
      <c r="E528" s="5">
        <v>7.5378561578244474</v>
      </c>
      <c r="F528" s="5">
        <v>3.2749193149426148E-3</v>
      </c>
      <c r="G528" s="5">
        <v>4.3228886532187261E-3</v>
      </c>
    </row>
    <row r="529" spans="1:7" x14ac:dyDescent="0.25">
      <c r="A529" s="12">
        <v>44936</v>
      </c>
      <c r="B529" s="13">
        <v>1877.03</v>
      </c>
      <c r="C529" s="13">
        <v>1876.5</v>
      </c>
      <c r="D529" s="5">
        <v>7.537446019410301</v>
      </c>
      <c r="E529" s="5">
        <v>7.5371636185750752</v>
      </c>
      <c r="F529" s="5">
        <v>2.784863250298919E-3</v>
      </c>
      <c r="G529" s="5">
        <v>-6.9253924937218159E-4</v>
      </c>
    </row>
    <row r="530" spans="1:7" x14ac:dyDescent="0.25">
      <c r="A530" s="12">
        <v>44937</v>
      </c>
      <c r="B530" s="13">
        <v>1875.69</v>
      </c>
      <c r="C530" s="13">
        <v>1878.9</v>
      </c>
      <c r="D530" s="5">
        <v>7.5367318707091187</v>
      </c>
      <c r="E530" s="5">
        <v>7.538441778199477</v>
      </c>
      <c r="F530" s="5">
        <v>-7.1414870118235996E-4</v>
      </c>
      <c r="G530" s="5">
        <v>1.278159624401809E-3</v>
      </c>
    </row>
    <row r="531" spans="1:7" x14ac:dyDescent="0.25">
      <c r="A531" s="12">
        <v>44938</v>
      </c>
      <c r="B531" s="13">
        <v>1897.09</v>
      </c>
      <c r="C531" s="13">
        <v>1898.8</v>
      </c>
      <c r="D531" s="5">
        <v>7.5480764121411914</v>
      </c>
      <c r="E531" s="5">
        <v>7.548977386677163</v>
      </c>
      <c r="F531" s="5">
        <v>1.1344541432072752E-2</v>
      </c>
      <c r="G531" s="5">
        <v>1.0535608477685976E-2</v>
      </c>
    </row>
    <row r="532" spans="1:7" x14ac:dyDescent="0.25">
      <c r="A532" s="12">
        <v>44939</v>
      </c>
      <c r="B532" s="13">
        <v>1920.23</v>
      </c>
      <c r="C532" s="13">
        <v>1921.7</v>
      </c>
      <c r="D532" s="5">
        <v>7.560200249514045</v>
      </c>
      <c r="E532" s="5">
        <v>7.5609654899383818</v>
      </c>
      <c r="F532" s="5">
        <v>1.2123837372853608E-2</v>
      </c>
      <c r="G532" s="5">
        <v>1.1988103261218797E-2</v>
      </c>
    </row>
    <row r="533" spans="1:7" x14ac:dyDescent="0.25">
      <c r="A533" s="12">
        <v>44942</v>
      </c>
      <c r="B533" s="13">
        <v>1916.02</v>
      </c>
      <c r="C533" s="13">
        <v>1921.7</v>
      </c>
      <c r="D533" s="5">
        <v>7.558005396889687</v>
      </c>
      <c r="E533" s="5">
        <v>7.5609654899383818</v>
      </c>
      <c r="F533" s="5">
        <v>-2.1948526243580346E-3</v>
      </c>
      <c r="G533" s="5">
        <v>0</v>
      </c>
    </row>
    <row r="534" spans="1:7" x14ac:dyDescent="0.25">
      <c r="A534" s="12">
        <v>44943</v>
      </c>
      <c r="B534" s="13">
        <v>1908.69</v>
      </c>
      <c r="C534" s="13">
        <v>1909.9</v>
      </c>
      <c r="D534" s="5">
        <v>7.5541724218541022</v>
      </c>
      <c r="E534" s="5">
        <v>7.5548061636491086</v>
      </c>
      <c r="F534" s="5">
        <v>-3.8329750355847736E-3</v>
      </c>
      <c r="G534" s="5">
        <v>-6.1593262892731815E-3</v>
      </c>
    </row>
    <row r="535" spans="1:7" x14ac:dyDescent="0.25">
      <c r="A535" s="12">
        <v>44944</v>
      </c>
      <c r="B535" s="13">
        <v>1904.11</v>
      </c>
      <c r="C535" s="13">
        <v>1907</v>
      </c>
      <c r="D535" s="5">
        <v>7.5517699867917525</v>
      </c>
      <c r="E535" s="5">
        <v>7.5532866056004186</v>
      </c>
      <c r="F535" s="5">
        <v>-2.402435062349717E-3</v>
      </c>
      <c r="G535" s="5">
        <v>-1.5195580486899729E-3</v>
      </c>
    </row>
    <row r="536" spans="1:7" x14ac:dyDescent="0.25">
      <c r="A536" s="12">
        <v>44945</v>
      </c>
      <c r="B536" s="13">
        <v>1932.24</v>
      </c>
      <c r="C536" s="13">
        <v>1923.9</v>
      </c>
      <c r="D536" s="5">
        <v>7.5664352306598346</v>
      </c>
      <c r="E536" s="5">
        <v>7.562109654822927</v>
      </c>
      <c r="F536" s="5">
        <v>1.4665243868082101E-2</v>
      </c>
      <c r="G536" s="5">
        <v>8.8230492225083168E-3</v>
      </c>
    </row>
    <row r="537" spans="1:7" x14ac:dyDescent="0.25">
      <c r="A537" s="12">
        <v>44946</v>
      </c>
      <c r="B537" s="13">
        <v>1926.08</v>
      </c>
      <c r="C537" s="13">
        <v>1928.2</v>
      </c>
      <c r="D537" s="5">
        <v>7.5632421283594056</v>
      </c>
      <c r="E537" s="5">
        <v>7.5643422042302797</v>
      </c>
      <c r="F537" s="5">
        <v>-3.1931023004290182E-3</v>
      </c>
      <c r="G537" s="5">
        <v>2.2325494073527352E-3</v>
      </c>
    </row>
    <row r="538" spans="1:7" x14ac:dyDescent="0.25">
      <c r="A538" s="12">
        <v>44949</v>
      </c>
      <c r="B538" s="13">
        <v>1931.04</v>
      </c>
      <c r="C538" s="13">
        <v>1928.6</v>
      </c>
      <c r="D538" s="5">
        <v>7.5658139968695881</v>
      </c>
      <c r="E538" s="5">
        <v>7.564549630076284</v>
      </c>
      <c r="F538" s="5">
        <v>2.57186851018254E-3</v>
      </c>
      <c r="G538" s="5">
        <v>2.0742584600430547E-4</v>
      </c>
    </row>
    <row r="539" spans="1:7" x14ac:dyDescent="0.25">
      <c r="A539" s="12">
        <v>44950</v>
      </c>
      <c r="B539" s="13">
        <v>1937.36</v>
      </c>
      <c r="C539" s="13">
        <v>1935.4</v>
      </c>
      <c r="D539" s="5">
        <v>7.5690815005522465</v>
      </c>
      <c r="E539" s="5">
        <v>7.5680693024468422</v>
      </c>
      <c r="F539" s="5">
        <v>3.2675036826583792E-3</v>
      </c>
      <c r="G539" s="5">
        <v>3.519672370558169E-3</v>
      </c>
    </row>
    <row r="540" spans="1:7" x14ac:dyDescent="0.25">
      <c r="A540" s="12">
        <v>44951</v>
      </c>
      <c r="B540" s="13">
        <v>1946.11</v>
      </c>
      <c r="C540" s="13">
        <v>1942.6</v>
      </c>
      <c r="D540" s="5">
        <v>7.5735877873560096</v>
      </c>
      <c r="E540" s="5">
        <v>7.5717825609682299</v>
      </c>
      <c r="F540" s="5">
        <v>4.5062868037630821E-3</v>
      </c>
      <c r="G540" s="5">
        <v>3.7132585213877078E-3</v>
      </c>
    </row>
    <row r="541" spans="1:7" x14ac:dyDescent="0.25">
      <c r="A541" s="12">
        <v>44952</v>
      </c>
      <c r="B541" s="13">
        <v>1929.21</v>
      </c>
      <c r="C541" s="13">
        <v>1930</v>
      </c>
      <c r="D541" s="5">
        <v>7.5648658716771324</v>
      </c>
      <c r="E541" s="5">
        <v>7.5652752818989315</v>
      </c>
      <c r="F541" s="5">
        <v>-8.7219156788771457E-3</v>
      </c>
      <c r="G541" s="5">
        <v>-6.5072790692983773E-3</v>
      </c>
    </row>
    <row r="542" spans="1:7" x14ac:dyDescent="0.25">
      <c r="A542" s="12">
        <v>44953</v>
      </c>
      <c r="B542" s="13">
        <v>1928.04</v>
      </c>
      <c r="C542" s="13">
        <v>1929.4</v>
      </c>
      <c r="D542" s="5">
        <v>7.5642592218432441</v>
      </c>
      <c r="E542" s="5">
        <v>7.5649643527364532</v>
      </c>
      <c r="F542" s="5">
        <v>-6.0664983388836191E-4</v>
      </c>
      <c r="G542" s="5">
        <v>-3.1092916247832392E-4</v>
      </c>
    </row>
    <row r="543" spans="1:7" x14ac:dyDescent="0.25">
      <c r="A543" s="12">
        <v>44956</v>
      </c>
      <c r="B543" s="13">
        <v>1923.17</v>
      </c>
      <c r="C543" s="13">
        <v>1922.9</v>
      </c>
      <c r="D543" s="5">
        <v>7.5617301452175587</v>
      </c>
      <c r="E543" s="5">
        <v>7.5615897421565412</v>
      </c>
      <c r="F543" s="5">
        <v>-2.5290766256853559E-3</v>
      </c>
      <c r="G543" s="5">
        <v>-3.3746105799119519E-3</v>
      </c>
    </row>
    <row r="544" spans="1:7" x14ac:dyDescent="0.25">
      <c r="A544" s="12">
        <v>44957</v>
      </c>
      <c r="B544" s="13">
        <v>1928.36</v>
      </c>
      <c r="C544" s="13">
        <v>1929.5</v>
      </c>
      <c r="D544" s="5">
        <v>7.5644251797318107</v>
      </c>
      <c r="E544" s="5">
        <v>7.5650161809776737</v>
      </c>
      <c r="F544" s="5">
        <v>2.6950345142520149E-3</v>
      </c>
      <c r="G544" s="5">
        <v>3.4264388211324714E-3</v>
      </c>
    </row>
    <row r="545" spans="1:7" x14ac:dyDescent="0.25">
      <c r="A545" s="12">
        <v>44958</v>
      </c>
      <c r="B545" s="13">
        <v>1950.52</v>
      </c>
      <c r="C545" s="13">
        <v>1927.8</v>
      </c>
      <c r="D545" s="5">
        <v>7.5758512826752229</v>
      </c>
      <c r="E545" s="5">
        <v>7.5641347353498674</v>
      </c>
      <c r="F545" s="5">
        <v>1.1426102943412175E-2</v>
      </c>
      <c r="G545" s="5">
        <v>-8.8144562780634317E-4</v>
      </c>
    </row>
    <row r="546" spans="1:7" x14ac:dyDescent="0.25">
      <c r="A546" s="12">
        <v>44959</v>
      </c>
      <c r="B546" s="13">
        <v>1912.72</v>
      </c>
      <c r="C546" s="13">
        <v>1916.3</v>
      </c>
      <c r="D546" s="5">
        <v>7.5562815917646784</v>
      </c>
      <c r="E546" s="5">
        <v>7.5581515224744491</v>
      </c>
      <c r="F546" s="5">
        <v>-1.9569690910544502E-2</v>
      </c>
      <c r="G546" s="5">
        <v>-5.9832128754182534E-3</v>
      </c>
    </row>
    <row r="547" spans="1:7" x14ac:dyDescent="0.25">
      <c r="A547" s="12">
        <v>44960</v>
      </c>
      <c r="B547" s="13">
        <v>1864.97</v>
      </c>
      <c r="C547" s="13">
        <v>1862.9</v>
      </c>
      <c r="D547" s="5">
        <v>7.5310002461576531</v>
      </c>
      <c r="E547" s="5">
        <v>7.5298896922956633</v>
      </c>
      <c r="F547" s="5">
        <v>-2.528134560702533E-2</v>
      </c>
      <c r="G547" s="5">
        <v>-2.8261830178785807E-2</v>
      </c>
    </row>
    <row r="548" spans="1:7" x14ac:dyDescent="0.25">
      <c r="A548" s="12">
        <v>44963</v>
      </c>
      <c r="B548" s="13">
        <v>1867.48</v>
      </c>
      <c r="C548" s="13">
        <v>1866.2</v>
      </c>
      <c r="D548" s="5">
        <v>7.5323452074449397</v>
      </c>
      <c r="E548" s="5">
        <v>7.5316595567999221</v>
      </c>
      <c r="F548" s="5">
        <v>1.3449612872866723E-3</v>
      </c>
      <c r="G548" s="5">
        <v>1.7698645042587557E-3</v>
      </c>
    </row>
    <row r="549" spans="1:7" x14ac:dyDescent="0.25">
      <c r="A549" s="12">
        <v>44964</v>
      </c>
      <c r="B549" s="13">
        <v>1873.1</v>
      </c>
      <c r="C549" s="13">
        <v>1871.7</v>
      </c>
      <c r="D549" s="5">
        <v>7.5353500913018463</v>
      </c>
      <c r="E549" s="5">
        <v>7.53460238778485</v>
      </c>
      <c r="F549" s="5">
        <v>3.0048838569065595E-3</v>
      </c>
      <c r="G549" s="5">
        <v>2.9428309849279799E-3</v>
      </c>
    </row>
    <row r="550" spans="1:7" x14ac:dyDescent="0.25">
      <c r="A550" s="12">
        <v>44965</v>
      </c>
      <c r="B550" s="13">
        <v>1875.49</v>
      </c>
      <c r="C550" s="13">
        <v>1877.4</v>
      </c>
      <c r="D550" s="5">
        <v>7.5366252375962368</v>
      </c>
      <c r="E550" s="5">
        <v>7.5376431199028913</v>
      </c>
      <c r="F550" s="5">
        <v>1.2751462943905167E-3</v>
      </c>
      <c r="G550" s="5">
        <v>3.0407321180412339E-3</v>
      </c>
    </row>
    <row r="551" spans="1:7" x14ac:dyDescent="0.25">
      <c r="A551" s="12">
        <v>44966</v>
      </c>
      <c r="B551" s="13">
        <v>1861.78</v>
      </c>
      <c r="C551" s="13">
        <v>1866.2</v>
      </c>
      <c r="D551" s="5">
        <v>7.5292882983322853</v>
      </c>
      <c r="E551" s="5">
        <v>7.5316595567999221</v>
      </c>
      <c r="F551" s="5">
        <v>-7.3369392639515141E-3</v>
      </c>
      <c r="G551" s="5">
        <v>-5.9835631029692138E-3</v>
      </c>
    </row>
    <row r="552" spans="1:7" x14ac:dyDescent="0.25">
      <c r="A552" s="12">
        <v>44967</v>
      </c>
      <c r="B552" s="13">
        <v>1865.57</v>
      </c>
      <c r="C552" s="13">
        <v>1862.8</v>
      </c>
      <c r="D552" s="5">
        <v>7.5313219154093831</v>
      </c>
      <c r="E552" s="5">
        <v>7.5298360111082223</v>
      </c>
      <c r="F552" s="5">
        <v>2.0336170770978157E-3</v>
      </c>
      <c r="G552" s="5">
        <v>-1.823545691699735E-3</v>
      </c>
    </row>
    <row r="553" spans="1:7" x14ac:dyDescent="0.25">
      <c r="A553" s="12">
        <v>44970</v>
      </c>
      <c r="B553" s="13">
        <v>1853.49</v>
      </c>
      <c r="C553" s="13">
        <v>1851.9</v>
      </c>
      <c r="D553" s="5">
        <v>7.5248256273779592</v>
      </c>
      <c r="E553" s="5">
        <v>7.5239674180679597</v>
      </c>
      <c r="F553" s="5">
        <v>-6.4962880314238802E-3</v>
      </c>
      <c r="G553" s="5">
        <v>-5.8685930402626596E-3</v>
      </c>
    </row>
    <row r="554" spans="1:7" x14ac:dyDescent="0.25">
      <c r="A554" s="12">
        <v>44971</v>
      </c>
      <c r="B554" s="13">
        <v>1854.31</v>
      </c>
      <c r="C554" s="13">
        <v>1854</v>
      </c>
      <c r="D554" s="5">
        <v>7.5252679381894207</v>
      </c>
      <c r="E554" s="5">
        <v>7.5251007461258004</v>
      </c>
      <c r="F554" s="5">
        <v>4.4231081146151041E-4</v>
      </c>
      <c r="G554" s="5">
        <v>1.1333280578407212E-3</v>
      </c>
    </row>
    <row r="555" spans="1:7" x14ac:dyDescent="0.25">
      <c r="A555" s="12">
        <v>44972</v>
      </c>
      <c r="B555" s="13">
        <v>1836.01</v>
      </c>
      <c r="C555" s="13">
        <v>1834.2</v>
      </c>
      <c r="D555" s="5">
        <v>7.5153500177886965</v>
      </c>
      <c r="E555" s="5">
        <v>7.5143636981248436</v>
      </c>
      <c r="F555" s="5">
        <v>-9.9179204007242561E-3</v>
      </c>
      <c r="G555" s="5">
        <v>-1.0737048000956761E-2</v>
      </c>
    </row>
    <row r="556" spans="1:7" x14ac:dyDescent="0.25">
      <c r="A556" s="12">
        <v>44973</v>
      </c>
      <c r="B556" s="13">
        <v>1836.36</v>
      </c>
      <c r="C556" s="13">
        <v>1842</v>
      </c>
      <c r="D556" s="5">
        <v>7.5155406303909453</v>
      </c>
      <c r="E556" s="5">
        <v>7.5186072168152522</v>
      </c>
      <c r="F556" s="5">
        <v>1.906126022488408E-4</v>
      </c>
      <c r="G556" s="5">
        <v>4.2435186904086208E-3</v>
      </c>
    </row>
    <row r="557" spans="1:7" x14ac:dyDescent="0.25">
      <c r="A557" s="12">
        <v>44974</v>
      </c>
      <c r="B557" s="13">
        <v>1842.36</v>
      </c>
      <c r="C557" s="13">
        <v>1840.4</v>
      </c>
      <c r="D557" s="5">
        <v>7.5188026374588075</v>
      </c>
      <c r="E557" s="5">
        <v>7.5177382182813135</v>
      </c>
      <c r="F557" s="5">
        <v>3.2620070678621715E-3</v>
      </c>
      <c r="G557" s="5">
        <v>-8.6899853393873627E-4</v>
      </c>
    </row>
    <row r="558" spans="1:7" x14ac:dyDescent="0.25">
      <c r="A558" s="12">
        <v>44977</v>
      </c>
      <c r="B558" s="13">
        <v>1841.38</v>
      </c>
      <c r="C558" s="13">
        <v>1840.4</v>
      </c>
      <c r="D558" s="5">
        <v>7.518270569493577</v>
      </c>
      <c r="E558" s="5">
        <v>7.5177382182813135</v>
      </c>
      <c r="F558" s="5">
        <v>-5.3206796523053157E-4</v>
      </c>
      <c r="G558" s="5">
        <v>0</v>
      </c>
    </row>
    <row r="559" spans="1:7" x14ac:dyDescent="0.25">
      <c r="A559" s="12">
        <v>44978</v>
      </c>
      <c r="B559" s="13">
        <v>1835.09</v>
      </c>
      <c r="C559" s="13">
        <v>1833</v>
      </c>
      <c r="D559" s="5">
        <v>7.5148488056074649</v>
      </c>
      <c r="E559" s="5">
        <v>7.5137092478397047</v>
      </c>
      <c r="F559" s="5">
        <v>-3.4217638861120392E-3</v>
      </c>
      <c r="G559" s="5">
        <v>-4.0289704416087702E-3</v>
      </c>
    </row>
    <row r="560" spans="1:7" x14ac:dyDescent="0.25">
      <c r="A560" s="12">
        <v>44979</v>
      </c>
      <c r="B560" s="13">
        <v>1825.39</v>
      </c>
      <c r="C560" s="13">
        <v>1832</v>
      </c>
      <c r="D560" s="5">
        <v>7.509548941816429</v>
      </c>
      <c r="E560" s="5">
        <v>7.5131635452340753</v>
      </c>
      <c r="F560" s="5">
        <v>-5.2998637910359747E-3</v>
      </c>
      <c r="G560" s="5">
        <v>-5.4570260562947226E-4</v>
      </c>
    </row>
    <row r="561" spans="1:7" x14ac:dyDescent="0.25">
      <c r="A561" s="12">
        <v>44980</v>
      </c>
      <c r="B561" s="13">
        <v>1822.28</v>
      </c>
      <c r="C561" s="13">
        <v>1818</v>
      </c>
      <c r="D561" s="5">
        <v>7.5078437432904774</v>
      </c>
      <c r="E561" s="5">
        <v>7.5054922747374242</v>
      </c>
      <c r="F561" s="5">
        <v>-1.7051985259515234E-3</v>
      </c>
      <c r="G561" s="5">
        <v>-7.6712704966510614E-3</v>
      </c>
    </row>
    <row r="562" spans="1:7" x14ac:dyDescent="0.25">
      <c r="A562" s="12">
        <v>44981</v>
      </c>
      <c r="B562" s="13">
        <v>1811.04</v>
      </c>
      <c r="C562" s="13">
        <v>1808.8</v>
      </c>
      <c r="D562" s="5">
        <v>7.5016565448841099</v>
      </c>
      <c r="E562" s="5">
        <v>7.5004189209637602</v>
      </c>
      <c r="F562" s="5">
        <v>-6.1871984063675001E-3</v>
      </c>
      <c r="G562" s="5">
        <v>-5.0733537736640244E-3</v>
      </c>
    </row>
    <row r="563" spans="1:7" x14ac:dyDescent="0.25">
      <c r="A563" s="12">
        <v>44984</v>
      </c>
      <c r="B563" s="13">
        <v>1817.14</v>
      </c>
      <c r="C563" s="13">
        <v>1824.9</v>
      </c>
      <c r="D563" s="5">
        <v>7.5050191155105201</v>
      </c>
      <c r="E563" s="5">
        <v>7.5092804699947697</v>
      </c>
      <c r="F563" s="5">
        <v>3.3625706264102107E-3</v>
      </c>
      <c r="G563" s="5">
        <v>8.8615490310095524E-3</v>
      </c>
    </row>
    <row r="564" spans="1:7" x14ac:dyDescent="0.25">
      <c r="A564" s="12">
        <v>44985</v>
      </c>
      <c r="B564" s="13">
        <v>1826.92</v>
      </c>
      <c r="C564" s="13">
        <v>1836.7</v>
      </c>
      <c r="D564" s="5">
        <v>7.5103867677893064</v>
      </c>
      <c r="E564" s="5">
        <v>7.5157257621344895</v>
      </c>
      <c r="F564" s="5">
        <v>5.3676522787862169E-3</v>
      </c>
      <c r="G564" s="5">
        <v>6.4452921397197827E-3</v>
      </c>
    </row>
    <row r="565" spans="1:7" x14ac:dyDescent="0.25">
      <c r="A565" s="12">
        <v>44986</v>
      </c>
      <c r="B565" s="13">
        <v>1836.72</v>
      </c>
      <c r="C565" s="13">
        <v>1845.4</v>
      </c>
      <c r="D565" s="5">
        <v>7.5157366511697754</v>
      </c>
      <c r="E565" s="5">
        <v>7.5204513351444557</v>
      </c>
      <c r="F565" s="5">
        <v>5.3498833804690449E-3</v>
      </c>
      <c r="G565" s="5">
        <v>4.725573009966233E-3</v>
      </c>
    </row>
    <row r="566" spans="1:7" x14ac:dyDescent="0.25">
      <c r="A566" s="12">
        <v>44987</v>
      </c>
      <c r="B566" s="13">
        <v>1835.87</v>
      </c>
      <c r="C566" s="13">
        <v>1840.5</v>
      </c>
      <c r="D566" s="5">
        <v>7.5152737625733472</v>
      </c>
      <c r="E566" s="5">
        <v>7.5177925528190759</v>
      </c>
      <c r="F566" s="5">
        <v>-4.6288859642817926E-4</v>
      </c>
      <c r="G566" s="5">
        <v>-2.6587823253798604E-3</v>
      </c>
    </row>
    <row r="567" spans="1:7" x14ac:dyDescent="0.25">
      <c r="A567" s="12">
        <v>44988</v>
      </c>
      <c r="B567" s="13">
        <v>1856.48</v>
      </c>
      <c r="C567" s="13">
        <v>1854.6</v>
      </c>
      <c r="D567" s="5">
        <v>7.5264375005992354</v>
      </c>
      <c r="E567" s="5">
        <v>7.5254243183661256</v>
      </c>
      <c r="F567" s="5">
        <v>1.1163738025888215E-2</v>
      </c>
      <c r="G567" s="5">
        <v>7.6317655470496959E-3</v>
      </c>
    </row>
    <row r="568" spans="1:7" x14ac:dyDescent="0.25">
      <c r="A568" s="12">
        <v>44991</v>
      </c>
      <c r="B568" s="13">
        <v>1846.86</v>
      </c>
      <c r="C568" s="13">
        <v>1854.6</v>
      </c>
      <c r="D568" s="5">
        <v>7.5212421787340693</v>
      </c>
      <c r="E568" s="5">
        <v>7.5254243183661256</v>
      </c>
      <c r="F568" s="5">
        <v>-5.1953218651661359E-3</v>
      </c>
      <c r="G568" s="5">
        <v>0</v>
      </c>
    </row>
    <row r="569" spans="1:7" x14ac:dyDescent="0.25">
      <c r="A569" s="12">
        <v>44992</v>
      </c>
      <c r="B569" s="13">
        <v>1813.45</v>
      </c>
      <c r="C569" s="13">
        <v>1820</v>
      </c>
      <c r="D569" s="5">
        <v>7.5029863873475575</v>
      </c>
      <c r="E569" s="5">
        <v>7.506591780070841</v>
      </c>
      <c r="F569" s="5">
        <v>-1.8255791386511788E-2</v>
      </c>
      <c r="G569" s="5">
        <v>-1.8832538295284529E-2</v>
      </c>
    </row>
    <row r="570" spans="1:7" x14ac:dyDescent="0.25">
      <c r="A570" s="12">
        <v>44993</v>
      </c>
      <c r="B570" s="13">
        <v>1813.8</v>
      </c>
      <c r="C570" s="13">
        <v>1818.6</v>
      </c>
      <c r="D570" s="5">
        <v>7.5031793710134673</v>
      </c>
      <c r="E570" s="5">
        <v>7.5058222532918126</v>
      </c>
      <c r="F570" s="5">
        <v>1.929836659098072E-4</v>
      </c>
      <c r="G570" s="5">
        <v>-7.6952677902841771E-4</v>
      </c>
    </row>
    <row r="571" spans="1:7" x14ac:dyDescent="0.25">
      <c r="A571" s="12">
        <v>44994</v>
      </c>
      <c r="B571" s="13">
        <v>1831.03</v>
      </c>
      <c r="C571" s="13">
        <v>1834.6</v>
      </c>
      <c r="D571" s="5">
        <v>7.5126339290296364</v>
      </c>
      <c r="E571" s="5">
        <v>7.5145817530755554</v>
      </c>
      <c r="F571" s="5">
        <v>9.4545580161691234E-3</v>
      </c>
      <c r="G571" s="5">
        <v>8.7594997837427968E-3</v>
      </c>
    </row>
    <row r="572" spans="1:7" x14ac:dyDescent="0.25">
      <c r="A572" s="12">
        <v>44995</v>
      </c>
      <c r="B572" s="13">
        <v>1868.26</v>
      </c>
      <c r="C572" s="13">
        <v>1867.2</v>
      </c>
      <c r="D572" s="5">
        <v>7.532762795398777</v>
      </c>
      <c r="E572" s="5">
        <v>7.5321952615322916</v>
      </c>
      <c r="F572" s="5">
        <v>2.0128866369140574E-2</v>
      </c>
      <c r="G572" s="5">
        <v>1.7613508456736149E-2</v>
      </c>
    </row>
    <row r="573" spans="1:7" x14ac:dyDescent="0.25">
      <c r="A573" s="12">
        <v>44998</v>
      </c>
      <c r="B573" s="13">
        <v>1913.7</v>
      </c>
      <c r="C573" s="13">
        <v>1916.5</v>
      </c>
      <c r="D573" s="5">
        <v>7.5567938199160194</v>
      </c>
      <c r="E573" s="5">
        <v>7.5582558848206096</v>
      </c>
      <c r="F573" s="5">
        <v>2.4031024517242372E-2</v>
      </c>
      <c r="G573" s="5">
        <v>2.6060623288318041E-2</v>
      </c>
    </row>
    <row r="574" spans="1:7" x14ac:dyDescent="0.25">
      <c r="A574" s="12">
        <v>44999</v>
      </c>
      <c r="B574" s="13">
        <v>1904.01</v>
      </c>
      <c r="C574" s="13">
        <v>1910.9</v>
      </c>
      <c r="D574" s="5">
        <v>7.5517174674383591</v>
      </c>
      <c r="E574" s="5">
        <v>7.5553296142473254</v>
      </c>
      <c r="F574" s="5">
        <v>-5.0763524776602509E-3</v>
      </c>
      <c r="G574" s="5">
        <v>-2.9262705732842065E-3</v>
      </c>
    </row>
    <row r="575" spans="1:7" x14ac:dyDescent="0.25">
      <c r="A575" s="12">
        <v>45000</v>
      </c>
      <c r="B575" s="13">
        <v>1918.58</v>
      </c>
      <c r="C575" s="13">
        <v>1931.3</v>
      </c>
      <c r="D575" s="5">
        <v>7.5593406080618193</v>
      </c>
      <c r="E575" s="5">
        <v>7.5659486302785535</v>
      </c>
      <c r="F575" s="5">
        <v>7.6231406234601451E-3</v>
      </c>
      <c r="G575" s="5">
        <v>1.0619016031228057E-2</v>
      </c>
    </row>
    <row r="576" spans="1:7" x14ac:dyDescent="0.25">
      <c r="A576" s="12">
        <v>45001</v>
      </c>
      <c r="B576" s="13">
        <v>1919.52</v>
      </c>
      <c r="C576" s="13">
        <v>1923</v>
      </c>
      <c r="D576" s="5">
        <v>7.559830433766618</v>
      </c>
      <c r="E576" s="5">
        <v>7.5616417455887799</v>
      </c>
      <c r="F576" s="5">
        <v>4.8982570479871868E-4</v>
      </c>
      <c r="G576" s="5">
        <v>-4.3068846897735824E-3</v>
      </c>
    </row>
    <row r="577" spans="1:7" x14ac:dyDescent="0.25">
      <c r="A577" s="12">
        <v>45002</v>
      </c>
      <c r="B577" s="13">
        <v>1989.25</v>
      </c>
      <c r="C577" s="13">
        <v>1973.5</v>
      </c>
      <c r="D577" s="5">
        <v>7.5955129622576445</v>
      </c>
      <c r="E577" s="5">
        <v>7.5875638951029014</v>
      </c>
      <c r="F577" s="5">
        <v>3.5682528491026488E-2</v>
      </c>
      <c r="G577" s="5">
        <v>2.5922149514121529E-2</v>
      </c>
    </row>
    <row r="578" spans="1:7" x14ac:dyDescent="0.25">
      <c r="A578" s="12">
        <v>45005</v>
      </c>
      <c r="B578" s="13">
        <v>1978.84</v>
      </c>
      <c r="C578" s="13">
        <v>1982.8</v>
      </c>
      <c r="D578" s="5">
        <v>7.5902660934205235</v>
      </c>
      <c r="E578" s="5">
        <v>7.5922652661464189</v>
      </c>
      <c r="F578" s="5">
        <v>-5.2468688371209993E-3</v>
      </c>
      <c r="G578" s="5">
        <v>4.7013710435175327E-3</v>
      </c>
    </row>
    <row r="579" spans="1:7" x14ac:dyDescent="0.25">
      <c r="A579" s="12">
        <v>45006</v>
      </c>
      <c r="B579" s="13">
        <v>1940.07</v>
      </c>
      <c r="C579" s="13">
        <v>1941.1</v>
      </c>
      <c r="D579" s="5">
        <v>7.5704793338806438</v>
      </c>
      <c r="E579" s="5">
        <v>7.5710101016770457</v>
      </c>
      <c r="F579" s="5">
        <v>-1.9786759539879739E-2</v>
      </c>
      <c r="G579" s="5">
        <v>-2.1255164469373256E-2</v>
      </c>
    </row>
    <row r="580" spans="1:7" x14ac:dyDescent="0.25">
      <c r="A580" s="12">
        <v>45007</v>
      </c>
      <c r="B580" s="13">
        <v>1970.11</v>
      </c>
      <c r="C580" s="13">
        <v>1949.6</v>
      </c>
      <c r="D580" s="5">
        <v>7.5858446577366276</v>
      </c>
      <c r="E580" s="5">
        <v>7.5753795023109962</v>
      </c>
      <c r="F580" s="5">
        <v>1.5365323855983881E-2</v>
      </c>
      <c r="G580" s="5">
        <v>4.3694006339505265E-3</v>
      </c>
    </row>
    <row r="581" spans="1:7" x14ac:dyDescent="0.25">
      <c r="A581" s="12">
        <v>45008</v>
      </c>
      <c r="B581" s="13">
        <v>1993.4</v>
      </c>
      <c r="C581" s="13">
        <v>1995.9</v>
      </c>
      <c r="D581" s="5">
        <v>7.5975970025333561</v>
      </c>
      <c r="E581" s="5">
        <v>7.5988503554159514</v>
      </c>
      <c r="F581" s="5">
        <v>1.1752344796728487E-2</v>
      </c>
      <c r="G581" s="5">
        <v>2.3470853104955225E-2</v>
      </c>
    </row>
    <row r="582" spans="1:7" x14ac:dyDescent="0.25">
      <c r="A582" s="12">
        <v>45009</v>
      </c>
      <c r="B582" s="13">
        <v>1978.21</v>
      </c>
      <c r="C582" s="13">
        <v>1983.8</v>
      </c>
      <c r="D582" s="5">
        <v>7.5899476743935601</v>
      </c>
      <c r="E582" s="5">
        <v>7.5927694763118936</v>
      </c>
      <c r="F582" s="5">
        <v>-7.6493281397960189E-3</v>
      </c>
      <c r="G582" s="5">
        <v>-6.0808791040578569E-3</v>
      </c>
    </row>
    <row r="583" spans="1:7" x14ac:dyDescent="0.25">
      <c r="A583" s="12">
        <v>45012</v>
      </c>
      <c r="B583" s="13">
        <v>1956.67</v>
      </c>
      <c r="C583" s="13">
        <v>1953.8</v>
      </c>
      <c r="D583" s="5">
        <v>7.5789993277300942</v>
      </c>
      <c r="E583" s="5">
        <v>7.5775314732188424</v>
      </c>
      <c r="F583" s="5">
        <v>-1.0948346663465891E-2</v>
      </c>
      <c r="G583" s="5">
        <v>-1.5238003093051233E-2</v>
      </c>
    </row>
    <row r="584" spans="1:7" x14ac:dyDescent="0.25">
      <c r="A584" s="12">
        <v>45013</v>
      </c>
      <c r="B584" s="13">
        <v>1973.54</v>
      </c>
      <c r="C584" s="13">
        <v>1973.5</v>
      </c>
      <c r="D584" s="5">
        <v>7.5875841634558965</v>
      </c>
      <c r="E584" s="5">
        <v>7.5875638951029014</v>
      </c>
      <c r="F584" s="5">
        <v>8.5848357258022645E-3</v>
      </c>
      <c r="G584" s="5">
        <v>1.0032421884059062E-2</v>
      </c>
    </row>
    <row r="585" spans="1:7" x14ac:dyDescent="0.25">
      <c r="A585" s="12">
        <v>45014</v>
      </c>
      <c r="B585" s="13">
        <v>1964.7</v>
      </c>
      <c r="C585" s="13">
        <v>1966.9</v>
      </c>
      <c r="D585" s="5">
        <v>7.5830948408921177</v>
      </c>
      <c r="E585" s="5">
        <v>7.5842139782558471</v>
      </c>
      <c r="F585" s="5">
        <v>-4.4893225637787637E-3</v>
      </c>
      <c r="G585" s="5">
        <v>-3.3499168470543239E-3</v>
      </c>
    </row>
    <row r="586" spans="1:7" x14ac:dyDescent="0.25">
      <c r="A586" s="12">
        <v>45015</v>
      </c>
      <c r="B586" s="13">
        <v>1980.37</v>
      </c>
      <c r="C586" s="13">
        <v>1980.3</v>
      </c>
      <c r="D586" s="5">
        <v>7.5910389749176712</v>
      </c>
      <c r="E586" s="5">
        <v>7.5910036273628352</v>
      </c>
      <c r="F586" s="5">
        <v>7.9441340255534953E-3</v>
      </c>
      <c r="G586" s="5">
        <v>6.7896491069880938E-3</v>
      </c>
    </row>
    <row r="587" spans="1:7" x14ac:dyDescent="0.25">
      <c r="A587" s="12">
        <v>45016</v>
      </c>
      <c r="B587" s="13">
        <v>1969.28</v>
      </c>
      <c r="C587" s="13">
        <v>1969</v>
      </c>
      <c r="D587" s="5">
        <v>7.5854232726936219</v>
      </c>
      <c r="E587" s="5">
        <v>7.5852810786391256</v>
      </c>
      <c r="F587" s="5">
        <v>-5.6157022240492793E-3</v>
      </c>
      <c r="G587" s="5">
        <v>-5.7225487237095862E-3</v>
      </c>
    </row>
    <row r="588" spans="1:7" x14ac:dyDescent="0.25">
      <c r="A588" s="12">
        <v>45019</v>
      </c>
      <c r="B588" s="13">
        <v>1984.65</v>
      </c>
      <c r="C588" s="13">
        <v>1983.9</v>
      </c>
      <c r="D588" s="5">
        <v>7.5931978551565296</v>
      </c>
      <c r="E588" s="5">
        <v>7.5928198833487262</v>
      </c>
      <c r="F588" s="5">
        <v>7.774582462907631E-3</v>
      </c>
      <c r="G588" s="5">
        <v>7.538804709600555E-3</v>
      </c>
    </row>
    <row r="589" spans="1:7" x14ac:dyDescent="0.25">
      <c r="A589" s="12">
        <v>45020</v>
      </c>
      <c r="B589" s="13">
        <v>2020.42</v>
      </c>
      <c r="C589" s="13">
        <v>2022.2</v>
      </c>
      <c r="D589" s="5">
        <v>7.6110606895747974</v>
      </c>
      <c r="E589" s="5">
        <v>7.6119413066572985</v>
      </c>
      <c r="F589" s="5">
        <v>1.7862834418267859E-2</v>
      </c>
      <c r="G589" s="5">
        <v>1.9121423308572361E-2</v>
      </c>
    </row>
    <row r="590" spans="1:7" x14ac:dyDescent="0.25">
      <c r="A590" s="12">
        <v>45021</v>
      </c>
      <c r="B590" s="13">
        <v>2020.73</v>
      </c>
      <c r="C590" s="13">
        <v>2020.9</v>
      </c>
      <c r="D590" s="5">
        <v>7.6112141112496214</v>
      </c>
      <c r="E590" s="5">
        <v>7.6112982357242025</v>
      </c>
      <c r="F590" s="5">
        <v>1.5342167482401692E-4</v>
      </c>
      <c r="G590" s="5">
        <v>-6.4307093309601271E-4</v>
      </c>
    </row>
    <row r="591" spans="1:7" x14ac:dyDescent="0.25">
      <c r="A591" s="12">
        <v>45022</v>
      </c>
      <c r="B591" s="13">
        <v>2007.91</v>
      </c>
      <c r="C591" s="13">
        <v>2011.9</v>
      </c>
      <c r="D591" s="5">
        <v>7.6048496590900099</v>
      </c>
      <c r="E591" s="5">
        <v>7.6068348281951907</v>
      </c>
      <c r="F591" s="5">
        <v>-6.3644521596115666E-3</v>
      </c>
      <c r="G591" s="5">
        <v>-4.4634075290117536E-3</v>
      </c>
    </row>
    <row r="592" spans="1:7" x14ac:dyDescent="0.25">
      <c r="A592" s="12">
        <v>45023</v>
      </c>
      <c r="B592" s="13">
        <v>2007.91</v>
      </c>
      <c r="C592" s="13">
        <v>2011.9</v>
      </c>
      <c r="D592" s="5">
        <v>7.6048496590900099</v>
      </c>
      <c r="E592" s="5">
        <v>7.6068348281951907</v>
      </c>
      <c r="F592" s="5">
        <v>0</v>
      </c>
      <c r="G592" s="5">
        <v>0</v>
      </c>
    </row>
    <row r="593" spans="1:7" x14ac:dyDescent="0.25">
      <c r="A593" s="12">
        <v>45026</v>
      </c>
      <c r="B593" s="13">
        <v>1991.48</v>
      </c>
      <c r="C593" s="13">
        <v>1989.1</v>
      </c>
      <c r="D593" s="5">
        <v>7.596633359889875</v>
      </c>
      <c r="E593" s="5">
        <v>7.5954375541110153</v>
      </c>
      <c r="F593" s="5">
        <v>-8.2162992001348911E-3</v>
      </c>
      <c r="G593" s="5">
        <v>-1.1397274084175457E-2</v>
      </c>
    </row>
    <row r="594" spans="1:7" x14ac:dyDescent="0.25">
      <c r="A594" s="12">
        <v>45027</v>
      </c>
      <c r="B594" s="13">
        <v>2003.62</v>
      </c>
      <c r="C594" s="13">
        <v>2004.8</v>
      </c>
      <c r="D594" s="5">
        <v>7.6027108234659835</v>
      </c>
      <c r="E594" s="5">
        <v>7.6032995841418041</v>
      </c>
      <c r="F594" s="5">
        <v>6.0774635761084994E-3</v>
      </c>
      <c r="G594" s="5">
        <v>7.8620300307887803E-3</v>
      </c>
    </row>
    <row r="595" spans="1:7" x14ac:dyDescent="0.25">
      <c r="A595" s="12">
        <v>45028</v>
      </c>
      <c r="B595" s="13">
        <v>2014.93</v>
      </c>
      <c r="C595" s="13">
        <v>2010.9</v>
      </c>
      <c r="D595" s="5">
        <v>7.6083397343232599</v>
      </c>
      <c r="E595" s="5">
        <v>7.606337662032022</v>
      </c>
      <c r="F595" s="5">
        <v>5.628910857276459E-3</v>
      </c>
      <c r="G595" s="5">
        <v>3.0380778902179273E-3</v>
      </c>
    </row>
    <row r="596" spans="1:7" x14ac:dyDescent="0.25">
      <c r="A596" s="12">
        <v>45029</v>
      </c>
      <c r="B596" s="13">
        <v>2040.22</v>
      </c>
      <c r="C596" s="13">
        <v>2041.3</v>
      </c>
      <c r="D596" s="5">
        <v>7.6208129241608642</v>
      </c>
      <c r="E596" s="5">
        <v>7.6213421387795384</v>
      </c>
      <c r="F596" s="5">
        <v>1.2473189837604259E-2</v>
      </c>
      <c r="G596" s="5">
        <v>1.5004476747516371E-2</v>
      </c>
    </row>
    <row r="597" spans="1:7" x14ac:dyDescent="0.25">
      <c r="A597" s="12">
        <v>45030</v>
      </c>
      <c r="B597" s="13">
        <v>2004.17</v>
      </c>
      <c r="C597" s="13">
        <v>2002.2</v>
      </c>
      <c r="D597" s="5">
        <v>7.6029852889461873</v>
      </c>
      <c r="E597" s="5">
        <v>7.6020018549853834</v>
      </c>
      <c r="F597" s="5">
        <v>-1.7827635214676896E-2</v>
      </c>
      <c r="G597" s="5">
        <v>-1.9340283794154978E-2</v>
      </c>
    </row>
    <row r="598" spans="1:7" x14ac:dyDescent="0.25">
      <c r="A598" s="12">
        <v>45033</v>
      </c>
      <c r="B598" s="13">
        <v>1995.19</v>
      </c>
      <c r="C598" s="13">
        <v>1994.2</v>
      </c>
      <c r="D598" s="5">
        <v>7.5984945628843423</v>
      </c>
      <c r="E598" s="5">
        <v>7.5979982463946927</v>
      </c>
      <c r="F598" s="5">
        <v>-4.490726061844974E-3</v>
      </c>
      <c r="G598" s="5">
        <v>-4.0036085906907104E-3</v>
      </c>
    </row>
    <row r="599" spans="1:7" x14ac:dyDescent="0.25">
      <c r="A599" s="12">
        <v>45034</v>
      </c>
      <c r="B599" s="13">
        <v>2005.45</v>
      </c>
      <c r="C599" s="13">
        <v>2007.4</v>
      </c>
      <c r="D599" s="5">
        <v>7.60362375346077</v>
      </c>
      <c r="E599" s="5">
        <v>7.6045956313797003</v>
      </c>
      <c r="F599" s="5">
        <v>5.1291905764276891E-3</v>
      </c>
      <c r="G599" s="5">
        <v>6.5973849850076149E-3</v>
      </c>
    </row>
    <row r="600" spans="1:7" x14ac:dyDescent="0.25">
      <c r="A600" s="12">
        <v>45035</v>
      </c>
      <c r="B600" s="13">
        <v>1994.93</v>
      </c>
      <c r="C600" s="13">
        <v>1995.2</v>
      </c>
      <c r="D600" s="5">
        <v>7.5983642409890768</v>
      </c>
      <c r="E600" s="5">
        <v>7.5984995749257722</v>
      </c>
      <c r="F600" s="5">
        <v>-5.2595124716932062E-3</v>
      </c>
      <c r="G600" s="5">
        <v>-6.0960564539280782E-3</v>
      </c>
    </row>
    <row r="601" spans="1:7" x14ac:dyDescent="0.25">
      <c r="A601" s="12">
        <v>45036</v>
      </c>
      <c r="B601" s="13">
        <v>2004.8</v>
      </c>
      <c r="C601" s="13">
        <v>2007.6</v>
      </c>
      <c r="D601" s="5">
        <v>7.6032995841418041</v>
      </c>
      <c r="E601" s="5">
        <v>7.6046952577807785</v>
      </c>
      <c r="F601" s="5">
        <v>4.9353431527272562E-3</v>
      </c>
      <c r="G601" s="5">
        <v>6.1956828550062681E-3</v>
      </c>
    </row>
    <row r="602" spans="1:7" x14ac:dyDescent="0.25">
      <c r="A602" s="12">
        <v>45037</v>
      </c>
      <c r="B602" s="13">
        <v>1983.06</v>
      </c>
      <c r="C602" s="13">
        <v>1979.5</v>
      </c>
      <c r="D602" s="5">
        <v>7.5923963852481382</v>
      </c>
      <c r="E602" s="5">
        <v>7.5905995665461852</v>
      </c>
      <c r="F602" s="5">
        <v>-1.0903198893665866E-2</v>
      </c>
      <c r="G602" s="5">
        <v>-1.4095691234593311E-2</v>
      </c>
    </row>
    <row r="603" spans="1:7" x14ac:dyDescent="0.25">
      <c r="A603" s="12">
        <v>45040</v>
      </c>
      <c r="B603" s="13">
        <v>1989.14</v>
      </c>
      <c r="C603" s="13">
        <v>1989.1</v>
      </c>
      <c r="D603" s="5">
        <v>7.5954576635061253</v>
      </c>
      <c r="E603" s="5">
        <v>7.5954375541110153</v>
      </c>
      <c r="F603" s="5">
        <v>3.0612782579870768E-3</v>
      </c>
      <c r="G603" s="5">
        <v>4.8379875648301152E-3</v>
      </c>
    </row>
    <row r="604" spans="1:7" x14ac:dyDescent="0.25">
      <c r="A604" s="12">
        <v>45041</v>
      </c>
      <c r="B604" s="13">
        <v>1997.39</v>
      </c>
      <c r="C604" s="13">
        <v>1994</v>
      </c>
      <c r="D604" s="5">
        <v>7.5995966072880403</v>
      </c>
      <c r="E604" s="5">
        <v>7.5978979505217836</v>
      </c>
      <c r="F604" s="5">
        <v>4.1389437819150388E-3</v>
      </c>
      <c r="G604" s="5">
        <v>2.4603964107683396E-3</v>
      </c>
    </row>
    <row r="605" spans="1:7" x14ac:dyDescent="0.25">
      <c r="A605" s="12">
        <v>45042</v>
      </c>
      <c r="B605" s="13">
        <v>1989.04</v>
      </c>
      <c r="C605" s="13">
        <v>1985.7</v>
      </c>
      <c r="D605" s="5">
        <v>7.5954073892601022</v>
      </c>
      <c r="E605" s="5">
        <v>7.5937267757929865</v>
      </c>
      <c r="F605" s="5">
        <v>-4.1892180279381463E-3</v>
      </c>
      <c r="G605" s="5">
        <v>-4.1711747287971335E-3</v>
      </c>
    </row>
    <row r="606" spans="1:7" x14ac:dyDescent="0.25">
      <c r="A606" s="12">
        <v>45043</v>
      </c>
      <c r="B606" s="13">
        <v>1987.78</v>
      </c>
      <c r="C606" s="13">
        <v>1999</v>
      </c>
      <c r="D606" s="5">
        <v>7.5947737171089056</v>
      </c>
      <c r="E606" s="5">
        <v>7.6004023345003997</v>
      </c>
      <c r="F606" s="5">
        <v>-6.3367215119658482E-4</v>
      </c>
      <c r="G606" s="5">
        <v>6.6755587074132094E-3</v>
      </c>
    </row>
    <row r="607" spans="1:7" x14ac:dyDescent="0.25">
      <c r="A607" s="12">
        <v>45044</v>
      </c>
      <c r="B607" s="13">
        <v>1990</v>
      </c>
      <c r="C607" s="13">
        <v>1999.1</v>
      </c>
      <c r="D607" s="5">
        <v>7.5958899177185382</v>
      </c>
      <c r="E607" s="5">
        <v>7.6004523582616974</v>
      </c>
      <c r="F607" s="5">
        <v>1.1162006096325783E-3</v>
      </c>
      <c r="G607" s="5">
        <v>5.0023761297701697E-5</v>
      </c>
    </row>
    <row r="608" spans="1:7" x14ac:dyDescent="0.25">
      <c r="A608" s="12">
        <v>45047</v>
      </c>
      <c r="B608" s="13">
        <v>1982.56</v>
      </c>
      <c r="C608" s="13">
        <v>1992.2</v>
      </c>
      <c r="D608" s="5">
        <v>7.5921442178681824</v>
      </c>
      <c r="E608" s="5">
        <v>7.5969948347110652</v>
      </c>
      <c r="F608" s="5">
        <v>-3.745699850355777E-3</v>
      </c>
      <c r="G608" s="5">
        <v>-3.4575235506322244E-3</v>
      </c>
    </row>
    <row r="609" spans="1:7" x14ac:dyDescent="0.25">
      <c r="A609" s="12">
        <v>45048</v>
      </c>
      <c r="B609" s="13">
        <v>2016.68</v>
      </c>
      <c r="C609" s="13">
        <v>2023.3</v>
      </c>
      <c r="D609" s="5">
        <v>7.6092078739051692</v>
      </c>
      <c r="E609" s="5">
        <v>7.6124851207851485</v>
      </c>
      <c r="F609" s="5">
        <v>1.7063656036986785E-2</v>
      </c>
      <c r="G609" s="5">
        <v>1.5490286074083315E-2</v>
      </c>
    </row>
    <row r="610" spans="1:7" x14ac:dyDescent="0.25">
      <c r="A610" s="12">
        <v>45049</v>
      </c>
      <c r="B610" s="13">
        <v>2038.97</v>
      </c>
      <c r="C610" s="13">
        <v>2037</v>
      </c>
      <c r="D610" s="5">
        <v>7.6202000573715623</v>
      </c>
      <c r="E610" s="5">
        <v>7.6192334162268054</v>
      </c>
      <c r="F610" s="5">
        <v>1.099218346639308E-2</v>
      </c>
      <c r="G610" s="5">
        <v>6.748295441656893E-3</v>
      </c>
    </row>
    <row r="611" spans="1:7" x14ac:dyDescent="0.25">
      <c r="A611" s="12">
        <v>45050</v>
      </c>
      <c r="B611" s="13">
        <v>2050.2800000000002</v>
      </c>
      <c r="C611" s="13">
        <v>2055.6999999999998</v>
      </c>
      <c r="D611" s="5">
        <v>7.6257316481713762</v>
      </c>
      <c r="E611" s="5">
        <v>7.628371701531627</v>
      </c>
      <c r="F611" s="5">
        <v>5.5315907998139124E-3</v>
      </c>
      <c r="G611" s="5">
        <v>9.1382853048216361E-3</v>
      </c>
    </row>
    <row r="612" spans="1:7" x14ac:dyDescent="0.25">
      <c r="A612" s="12">
        <v>45051</v>
      </c>
      <c r="B612" s="13">
        <v>2016.79</v>
      </c>
      <c r="C612" s="13">
        <v>2024.8</v>
      </c>
      <c r="D612" s="5">
        <v>7.6092624175115562</v>
      </c>
      <c r="E612" s="5">
        <v>7.6132262092309144</v>
      </c>
      <c r="F612" s="5">
        <v>-1.6469230659819978E-2</v>
      </c>
      <c r="G612" s="5">
        <v>-1.5145492300712604E-2</v>
      </c>
    </row>
    <row r="613" spans="1:7" x14ac:dyDescent="0.25">
      <c r="A613" s="12">
        <v>45054</v>
      </c>
      <c r="B613" s="13">
        <v>2021.16</v>
      </c>
      <c r="C613" s="13">
        <v>2033.2</v>
      </c>
      <c r="D613" s="5">
        <v>7.6114268829982947</v>
      </c>
      <c r="E613" s="5">
        <v>7.617366185572747</v>
      </c>
      <c r="F613" s="5">
        <v>2.1644654867385427E-3</v>
      </c>
      <c r="G613" s="5">
        <v>4.1399763418326074E-3</v>
      </c>
    </row>
    <row r="614" spans="1:7" x14ac:dyDescent="0.25">
      <c r="A614" s="12">
        <v>45055</v>
      </c>
      <c r="B614" s="13">
        <v>2034.56</v>
      </c>
      <c r="C614" s="13">
        <v>2042.9</v>
      </c>
      <c r="D614" s="5">
        <v>7.6180348582823836</v>
      </c>
      <c r="E614" s="5">
        <v>7.6221256459936075</v>
      </c>
      <c r="F614" s="5">
        <v>6.6079752840888517E-3</v>
      </c>
      <c r="G614" s="5">
        <v>4.7594604208605062E-3</v>
      </c>
    </row>
    <row r="615" spans="1:7" x14ac:dyDescent="0.25">
      <c r="A615" s="12">
        <v>45056</v>
      </c>
      <c r="B615" s="13">
        <v>2030.09</v>
      </c>
      <c r="C615" s="13">
        <v>2037.1</v>
      </c>
      <c r="D615" s="5">
        <v>7.6158354060284363</v>
      </c>
      <c r="E615" s="5">
        <v>7.6192825068235122</v>
      </c>
      <c r="F615" s="5">
        <v>-2.1994522539472428E-3</v>
      </c>
      <c r="G615" s="5">
        <v>-2.8431391700953768E-3</v>
      </c>
    </row>
    <row r="616" spans="1:7" x14ac:dyDescent="0.25">
      <c r="A616" s="12">
        <v>45057</v>
      </c>
      <c r="B616" s="13">
        <v>2015.05</v>
      </c>
      <c r="C616" s="13">
        <v>2020.5</v>
      </c>
      <c r="D616" s="5">
        <v>7.6083992879687052</v>
      </c>
      <c r="E616" s="5">
        <v>7.6111002845185283</v>
      </c>
      <c r="F616" s="5">
        <v>-7.4361180597311005E-3</v>
      </c>
      <c r="G616" s="5">
        <v>-8.1822223049838883E-3</v>
      </c>
    </row>
    <row r="617" spans="1:7" x14ac:dyDescent="0.25">
      <c r="A617" s="12">
        <v>45058</v>
      </c>
      <c r="B617" s="13">
        <v>2010.77</v>
      </c>
      <c r="C617" s="13">
        <v>2019.8</v>
      </c>
      <c r="D617" s="5">
        <v>7.6062730122720739</v>
      </c>
      <c r="E617" s="5">
        <v>7.6107537755924568</v>
      </c>
      <c r="F617" s="5">
        <v>-2.1262756966313745E-3</v>
      </c>
      <c r="G617" s="5">
        <v>-3.4650892607146488E-4</v>
      </c>
    </row>
    <row r="618" spans="1:7" x14ac:dyDescent="0.25">
      <c r="A618" s="12">
        <v>45061</v>
      </c>
      <c r="B618" s="13">
        <v>2016.49</v>
      </c>
      <c r="C618" s="13">
        <v>2022.7</v>
      </c>
      <c r="D618" s="5">
        <v>7.6091136552135987</v>
      </c>
      <c r="E618" s="5">
        <v>7.6121885315590498</v>
      </c>
      <c r="F618" s="5">
        <v>2.8406429415248624E-3</v>
      </c>
      <c r="G618" s="5">
        <v>1.4347559665930376E-3</v>
      </c>
    </row>
    <row r="619" spans="1:7" x14ac:dyDescent="0.25">
      <c r="A619" s="12">
        <v>45062</v>
      </c>
      <c r="B619" s="13">
        <v>1989.17</v>
      </c>
      <c r="C619" s="13">
        <v>1993</v>
      </c>
      <c r="D619" s="5">
        <v>7.5954727452870827</v>
      </c>
      <c r="E619" s="5">
        <v>7.5973963202127948</v>
      </c>
      <c r="F619" s="5">
        <v>-1.3640909926516009E-2</v>
      </c>
      <c r="G619" s="5">
        <v>-1.479221134625508E-2</v>
      </c>
    </row>
    <row r="620" spans="1:7" x14ac:dyDescent="0.25">
      <c r="A620" s="12">
        <v>45063</v>
      </c>
      <c r="B620" s="13">
        <v>1981.84</v>
      </c>
      <c r="C620" s="13">
        <v>1984.9</v>
      </c>
      <c r="D620" s="5">
        <v>7.5917809850925213</v>
      </c>
      <c r="E620" s="5">
        <v>7.5933238140185324</v>
      </c>
      <c r="F620" s="5">
        <v>-3.6917601945614109E-3</v>
      </c>
      <c r="G620" s="5">
        <v>-4.0725061942623597E-3</v>
      </c>
    </row>
    <row r="621" spans="1:7" x14ac:dyDescent="0.25">
      <c r="A621" s="12">
        <v>45064</v>
      </c>
      <c r="B621" s="13">
        <v>1957.55</v>
      </c>
      <c r="C621" s="13">
        <v>1959.8</v>
      </c>
      <c r="D621" s="5">
        <v>7.5794489703229102</v>
      </c>
      <c r="E621" s="5">
        <v>7.5805977062017185</v>
      </c>
      <c r="F621" s="5">
        <v>-1.2332014769611099E-2</v>
      </c>
      <c r="G621" s="5">
        <v>-1.2726107816813936E-2</v>
      </c>
    </row>
    <row r="622" spans="1:7" x14ac:dyDescent="0.25">
      <c r="A622" s="12">
        <v>45065</v>
      </c>
      <c r="B622" s="13">
        <v>1977.81</v>
      </c>
      <c r="C622" s="13">
        <v>1981.6</v>
      </c>
      <c r="D622" s="5">
        <v>7.5897454509460731</v>
      </c>
      <c r="E622" s="5">
        <v>7.5916598781751494</v>
      </c>
      <c r="F622" s="5">
        <v>1.0296480623162907E-2</v>
      </c>
      <c r="G622" s="5">
        <v>1.1062171973430956E-2</v>
      </c>
    </row>
    <row r="623" spans="1:7" x14ac:dyDescent="0.25">
      <c r="A623" s="12">
        <v>45068</v>
      </c>
      <c r="B623" s="13">
        <v>1971.86</v>
      </c>
      <c r="C623" s="13">
        <v>1977.2</v>
      </c>
      <c r="D623" s="5">
        <v>7.5867325387275857</v>
      </c>
      <c r="E623" s="5">
        <v>7.5894369814328044</v>
      </c>
      <c r="F623" s="5">
        <v>-3.0129122184874291E-3</v>
      </c>
      <c r="G623" s="5">
        <v>-2.222896742344993E-3</v>
      </c>
    </row>
    <row r="624" spans="1:7" x14ac:dyDescent="0.25">
      <c r="A624" s="12">
        <v>45069</v>
      </c>
      <c r="B624" s="13">
        <v>1975.23</v>
      </c>
      <c r="C624" s="13">
        <v>1974.5</v>
      </c>
      <c r="D624" s="5">
        <v>7.5884401262509869</v>
      </c>
      <c r="E624" s="5">
        <v>7.5880704807267039</v>
      </c>
      <c r="F624" s="5">
        <v>1.7075875234011662E-3</v>
      </c>
      <c r="G624" s="5">
        <v>-1.3665007061005596E-3</v>
      </c>
    </row>
    <row r="625" spans="1:7" x14ac:dyDescent="0.25">
      <c r="A625" s="12">
        <v>45070</v>
      </c>
      <c r="B625" s="13">
        <v>1957.16</v>
      </c>
      <c r="C625" s="13">
        <v>1964.6</v>
      </c>
      <c r="D625" s="5">
        <v>7.5792497218466295</v>
      </c>
      <c r="E625" s="5">
        <v>7.5830439412407689</v>
      </c>
      <c r="F625" s="5">
        <v>-9.1904044043573663E-3</v>
      </c>
      <c r="G625" s="5">
        <v>-5.026539485935011E-3</v>
      </c>
    </row>
    <row r="626" spans="1:7" x14ac:dyDescent="0.25">
      <c r="A626" s="12">
        <v>45071</v>
      </c>
      <c r="B626" s="13">
        <v>1941.41</v>
      </c>
      <c r="C626" s="13">
        <v>1943.7</v>
      </c>
      <c r="D626" s="5">
        <v>7.5711697921868755</v>
      </c>
      <c r="E626" s="5">
        <v>7.5723486521240213</v>
      </c>
      <c r="F626" s="5">
        <v>-8.0799296597540149E-3</v>
      </c>
      <c r="G626" s="5">
        <v>-1.0695289116747553E-2</v>
      </c>
    </row>
    <row r="627" spans="1:7" x14ac:dyDescent="0.25">
      <c r="A627" s="12">
        <v>45072</v>
      </c>
      <c r="B627" s="13">
        <v>1946.46</v>
      </c>
      <c r="C627" s="13">
        <v>1944.3</v>
      </c>
      <c r="D627" s="5">
        <v>7.5737676171347648</v>
      </c>
      <c r="E627" s="5">
        <v>7.5726572941017798</v>
      </c>
      <c r="F627" s="5">
        <v>2.5978249478892934E-3</v>
      </c>
      <c r="G627" s="5">
        <v>3.0864197775848368E-4</v>
      </c>
    </row>
    <row r="628" spans="1:7" x14ac:dyDescent="0.25">
      <c r="A628" s="12">
        <v>45075</v>
      </c>
      <c r="B628" s="13">
        <v>1943.19</v>
      </c>
      <c r="C628" s="13">
        <v>1944.3</v>
      </c>
      <c r="D628" s="5">
        <v>7.5720862315240423</v>
      </c>
      <c r="E628" s="5">
        <v>7.5726572941017798</v>
      </c>
      <c r="F628" s="5">
        <v>-1.6813856107225078E-3</v>
      </c>
      <c r="G628" s="5">
        <v>0</v>
      </c>
    </row>
    <row r="629" spans="1:7" x14ac:dyDescent="0.25">
      <c r="A629" s="12">
        <v>45076</v>
      </c>
      <c r="B629" s="13">
        <v>1959.33</v>
      </c>
      <c r="C629" s="13">
        <v>1958</v>
      </c>
      <c r="D629" s="5">
        <v>7.580357857050374</v>
      </c>
      <c r="E629" s="5">
        <v>7.5796788230904557</v>
      </c>
      <c r="F629" s="5">
        <v>8.2716255263317606E-3</v>
      </c>
      <c r="G629" s="5">
        <v>7.021528988675918E-3</v>
      </c>
    </row>
    <row r="630" spans="1:7" x14ac:dyDescent="0.25">
      <c r="A630" s="12">
        <v>45077</v>
      </c>
      <c r="B630" s="13">
        <v>1962.73</v>
      </c>
      <c r="C630" s="13">
        <v>1963.9</v>
      </c>
      <c r="D630" s="5">
        <v>7.5820916402417078</v>
      </c>
      <c r="E630" s="5">
        <v>7.582687571121177</v>
      </c>
      <c r="F630" s="5">
        <v>1.7337831913337709E-3</v>
      </c>
      <c r="G630" s="5">
        <v>3.0087480307212644E-3</v>
      </c>
    </row>
    <row r="631" spans="1:7" x14ac:dyDescent="0.25">
      <c r="A631" s="12">
        <v>45078</v>
      </c>
      <c r="B631" s="13">
        <v>1977.61</v>
      </c>
      <c r="C631" s="13">
        <v>1978</v>
      </c>
      <c r="D631" s="5">
        <v>7.5896443238848912</v>
      </c>
      <c r="E631" s="5">
        <v>7.589841512182657</v>
      </c>
      <c r="F631" s="5">
        <v>7.5526836431833999E-3</v>
      </c>
      <c r="G631" s="5">
        <v>7.1539410614800403E-3</v>
      </c>
    </row>
    <row r="632" spans="1:7" x14ac:dyDescent="0.25">
      <c r="A632" s="12">
        <v>45079</v>
      </c>
      <c r="B632" s="13">
        <v>1947.97</v>
      </c>
      <c r="C632" s="13">
        <v>1952.4</v>
      </c>
      <c r="D632" s="5">
        <v>7.5745430836732153</v>
      </c>
      <c r="E632" s="5">
        <v>7.5768146640129928</v>
      </c>
      <c r="F632" s="5">
        <v>-1.5101240211675915E-2</v>
      </c>
      <c r="G632" s="5">
        <v>-1.3026848169664262E-2</v>
      </c>
    </row>
    <row r="633" spans="1:7" x14ac:dyDescent="0.25">
      <c r="A633" s="12">
        <v>45082</v>
      </c>
      <c r="B633" s="13">
        <v>1961.86</v>
      </c>
      <c r="C633" s="13">
        <v>1958</v>
      </c>
      <c r="D633" s="5">
        <v>7.5816482818199358</v>
      </c>
      <c r="E633" s="5">
        <v>7.5796788230904557</v>
      </c>
      <c r="F633" s="5">
        <v>7.1051981467205039E-3</v>
      </c>
      <c r="G633" s="5">
        <v>2.8641590774629577E-3</v>
      </c>
    </row>
    <row r="634" spans="1:7" x14ac:dyDescent="0.25">
      <c r="A634" s="12">
        <v>45083</v>
      </c>
      <c r="B634" s="13">
        <v>1963.52</v>
      </c>
      <c r="C634" s="13">
        <v>1965.5</v>
      </c>
      <c r="D634" s="5">
        <v>7.5824940598587274</v>
      </c>
      <c r="E634" s="5">
        <v>7.583501944861915</v>
      </c>
      <c r="F634" s="5">
        <v>8.457780387916003E-4</v>
      </c>
      <c r="G634" s="5">
        <v>3.8231217714592702E-3</v>
      </c>
    </row>
    <row r="635" spans="1:7" x14ac:dyDescent="0.25">
      <c r="A635" s="12">
        <v>45084</v>
      </c>
      <c r="B635" s="13">
        <v>1940.02</v>
      </c>
      <c r="C635" s="13">
        <v>1942.7</v>
      </c>
      <c r="D635" s="5">
        <v>7.5704535612825845</v>
      </c>
      <c r="E635" s="5">
        <v>7.5718340370447352</v>
      </c>
      <c r="F635" s="5">
        <v>-1.2040498576142866E-2</v>
      </c>
      <c r="G635" s="5">
        <v>-1.1667907817179746E-2</v>
      </c>
    </row>
    <row r="636" spans="1:7" x14ac:dyDescent="0.25">
      <c r="A636" s="12">
        <v>45085</v>
      </c>
      <c r="B636" s="13">
        <v>1965.46</v>
      </c>
      <c r="C636" s="13">
        <v>1963.6</v>
      </c>
      <c r="D636" s="5">
        <v>7.5834815935991182</v>
      </c>
      <c r="E636" s="5">
        <v>7.582534802183897</v>
      </c>
      <c r="F636" s="5">
        <v>1.3028032316533711E-2</v>
      </c>
      <c r="G636" s="5">
        <v>1.0700765139161739E-2</v>
      </c>
    </row>
    <row r="637" spans="1:7" x14ac:dyDescent="0.25">
      <c r="A637" s="12">
        <v>45086</v>
      </c>
      <c r="B637" s="13">
        <v>1961.19</v>
      </c>
      <c r="C637" s="13">
        <v>1962.2</v>
      </c>
      <c r="D637" s="5">
        <v>7.5813067108450491</v>
      </c>
      <c r="E637" s="5">
        <v>7.5818215717292903</v>
      </c>
      <c r="F637" s="5">
        <v>-2.1748827540690741E-3</v>
      </c>
      <c r="G637" s="5">
        <v>-7.1323045460669476E-4</v>
      </c>
    </row>
    <row r="638" spans="1:7" x14ac:dyDescent="0.25">
      <c r="A638" s="12">
        <v>45089</v>
      </c>
      <c r="B638" s="13">
        <v>1957.84</v>
      </c>
      <c r="C638" s="13">
        <v>1955.3</v>
      </c>
      <c r="D638" s="5">
        <v>7.5795971037147458</v>
      </c>
      <c r="E638" s="5">
        <v>7.5782989133322287</v>
      </c>
      <c r="F638" s="5">
        <v>-1.7096071303033256E-3</v>
      </c>
      <c r="G638" s="5">
        <v>-3.5226583970615621E-3</v>
      </c>
    </row>
    <row r="639" spans="1:7" x14ac:dyDescent="0.25">
      <c r="A639" s="12">
        <v>45090</v>
      </c>
      <c r="B639" s="13">
        <v>1943.74</v>
      </c>
      <c r="C639" s="13">
        <v>1944.6</v>
      </c>
      <c r="D639" s="5">
        <v>7.5723692312197768</v>
      </c>
      <c r="E639" s="5">
        <v>7.572811579375557</v>
      </c>
      <c r="F639" s="5">
        <v>-7.2278724949690343E-3</v>
      </c>
      <c r="G639" s="5">
        <v>-5.4873339566716695E-3</v>
      </c>
    </row>
    <row r="640" spans="1:7" x14ac:dyDescent="0.25">
      <c r="A640" s="12">
        <v>45091</v>
      </c>
      <c r="B640" s="13">
        <v>1942.52</v>
      </c>
      <c r="C640" s="13">
        <v>1955.3</v>
      </c>
      <c r="D640" s="5">
        <v>7.5717413781990945</v>
      </c>
      <c r="E640" s="5">
        <v>7.5782989133322287</v>
      </c>
      <c r="F640" s="5">
        <v>-6.2785302068224524E-4</v>
      </c>
      <c r="G640" s="5">
        <v>5.4873339566716695E-3</v>
      </c>
    </row>
    <row r="641" spans="1:7" x14ac:dyDescent="0.25">
      <c r="A641" s="12">
        <v>45092</v>
      </c>
      <c r="B641" s="13">
        <v>1958.01</v>
      </c>
      <c r="C641" s="13">
        <v>1957.8</v>
      </c>
      <c r="D641" s="5">
        <v>7.5796839303297121</v>
      </c>
      <c r="E641" s="5">
        <v>7.5795766728273302</v>
      </c>
      <c r="F641" s="5">
        <v>7.9425521306175639E-3</v>
      </c>
      <c r="G641" s="5">
        <v>1.2777594951014493E-3</v>
      </c>
    </row>
    <row r="642" spans="1:7" x14ac:dyDescent="0.25">
      <c r="A642" s="12">
        <v>45093</v>
      </c>
      <c r="B642" s="13">
        <v>1957.98</v>
      </c>
      <c r="C642" s="13">
        <v>1958.4</v>
      </c>
      <c r="D642" s="5">
        <v>7.5796686085336908</v>
      </c>
      <c r="E642" s="5">
        <v>7.5798830923180072</v>
      </c>
      <c r="F642" s="5">
        <v>-1.5321796021261491E-5</v>
      </c>
      <c r="G642" s="5">
        <v>3.0641949067700125E-4</v>
      </c>
    </row>
    <row r="643" spans="1:7" x14ac:dyDescent="0.25">
      <c r="A643" s="12">
        <v>45096</v>
      </c>
      <c r="B643" s="13">
        <v>1950.48</v>
      </c>
      <c r="C643" s="13">
        <v>1958.4</v>
      </c>
      <c r="D643" s="5">
        <v>7.5758307751130589</v>
      </c>
      <c r="E643" s="5">
        <v>7.5798830923180072</v>
      </c>
      <c r="F643" s="5">
        <v>-3.8378334206319309E-3</v>
      </c>
      <c r="G643" s="5">
        <v>0</v>
      </c>
    </row>
    <row r="644" spans="1:7" x14ac:dyDescent="0.25">
      <c r="A644" s="12">
        <v>45097</v>
      </c>
      <c r="B644" s="13">
        <v>1936.42</v>
      </c>
      <c r="C644" s="13">
        <v>1935.5</v>
      </c>
      <c r="D644" s="5">
        <v>7.5685961864567375</v>
      </c>
      <c r="E644" s="5">
        <v>7.568120970017703</v>
      </c>
      <c r="F644" s="5">
        <v>-7.2345886563214279E-3</v>
      </c>
      <c r="G644" s="5">
        <v>-1.1762122300304156E-2</v>
      </c>
    </row>
    <row r="645" spans="1:7" x14ac:dyDescent="0.25">
      <c r="A645" s="12">
        <v>45098</v>
      </c>
      <c r="B645" s="13">
        <v>1932.55</v>
      </c>
      <c r="C645" s="13">
        <v>1933.3</v>
      </c>
      <c r="D645" s="5">
        <v>7.5665956533480871</v>
      </c>
      <c r="E645" s="5">
        <v>7.566983666338456</v>
      </c>
      <c r="F645" s="5">
        <v>-2.0005331086503375E-3</v>
      </c>
      <c r="G645" s="5">
        <v>-1.1373036792470259E-3</v>
      </c>
    </row>
    <row r="646" spans="1:7" x14ac:dyDescent="0.25">
      <c r="A646" s="12">
        <v>45099</v>
      </c>
      <c r="B646" s="13">
        <v>1914.01</v>
      </c>
      <c r="C646" s="13">
        <v>1912.7</v>
      </c>
      <c r="D646" s="5">
        <v>7.5569557966596479</v>
      </c>
      <c r="E646" s="5">
        <v>7.5562711353964884</v>
      </c>
      <c r="F646" s="5">
        <v>-9.6398566884392523E-3</v>
      </c>
      <c r="G646" s="5">
        <v>-1.0712530941967557E-2</v>
      </c>
    </row>
    <row r="647" spans="1:7" x14ac:dyDescent="0.25">
      <c r="A647" s="12">
        <v>45100</v>
      </c>
      <c r="B647" s="13">
        <v>1921.2</v>
      </c>
      <c r="C647" s="13">
        <v>1919.1</v>
      </c>
      <c r="D647" s="5">
        <v>7.5607052697906694</v>
      </c>
      <c r="E647" s="5">
        <v>7.5596116051242017</v>
      </c>
      <c r="F647" s="5">
        <v>3.7494731310214746E-3</v>
      </c>
      <c r="G647" s="5">
        <v>3.3404697277132911E-3</v>
      </c>
    </row>
    <row r="648" spans="1:7" x14ac:dyDescent="0.25">
      <c r="A648" s="12">
        <v>45103</v>
      </c>
      <c r="B648" s="13">
        <v>1923.26</v>
      </c>
      <c r="C648" s="13">
        <v>1923.7</v>
      </c>
      <c r="D648" s="5">
        <v>7.5617769418575689</v>
      </c>
      <c r="E648" s="5">
        <v>7.5620056939121358</v>
      </c>
      <c r="F648" s="5">
        <v>1.0716720668995094E-3</v>
      </c>
      <c r="G648" s="5">
        <v>2.3940887879341233E-3</v>
      </c>
    </row>
    <row r="649" spans="1:7" x14ac:dyDescent="0.25">
      <c r="A649" s="12">
        <v>45104</v>
      </c>
      <c r="B649" s="13">
        <v>1913.69</v>
      </c>
      <c r="C649" s="13">
        <v>1914</v>
      </c>
      <c r="D649" s="5">
        <v>7.5567885944229287</v>
      </c>
      <c r="E649" s="5">
        <v>7.5569505720128998</v>
      </c>
      <c r="F649" s="5">
        <v>-4.9883474346401613E-3</v>
      </c>
      <c r="G649" s="5">
        <v>-5.0551218992360702E-3</v>
      </c>
    </row>
    <row r="650" spans="1:7" x14ac:dyDescent="0.25">
      <c r="A650" s="12">
        <v>45105</v>
      </c>
      <c r="B650" s="13">
        <v>1907.32</v>
      </c>
      <c r="C650" s="13">
        <v>1912.3</v>
      </c>
      <c r="D650" s="5">
        <v>7.5534543943547714</v>
      </c>
      <c r="E650" s="5">
        <v>7.5560619850689283</v>
      </c>
      <c r="F650" s="5">
        <v>-3.3342000681573225E-3</v>
      </c>
      <c r="G650" s="5">
        <v>-8.8858694397142557E-4</v>
      </c>
    </row>
    <row r="651" spans="1:7" x14ac:dyDescent="0.25">
      <c r="A651" s="12">
        <v>45106</v>
      </c>
      <c r="B651" s="13">
        <v>1908.2</v>
      </c>
      <c r="C651" s="13">
        <v>1917.9</v>
      </c>
      <c r="D651" s="5">
        <v>7.553915668317746</v>
      </c>
      <c r="E651" s="5">
        <v>7.5589861164407912</v>
      </c>
      <c r="F651" s="5">
        <v>4.6127396297457324E-4</v>
      </c>
      <c r="G651" s="5">
        <v>2.9241313718628703E-3</v>
      </c>
    </row>
    <row r="652" spans="1:7" x14ac:dyDescent="0.25">
      <c r="A652" s="12">
        <v>45107</v>
      </c>
      <c r="B652" s="13">
        <v>1919.35</v>
      </c>
      <c r="C652" s="13">
        <v>1929.4</v>
      </c>
      <c r="D652" s="5">
        <v>7.5597418660369939</v>
      </c>
      <c r="E652" s="5">
        <v>7.5649643527364532</v>
      </c>
      <c r="F652" s="5">
        <v>5.8261977192479719E-3</v>
      </c>
      <c r="G652" s="5">
        <v>5.978236295661965E-3</v>
      </c>
    </row>
    <row r="653" spans="1:7" x14ac:dyDescent="0.25">
      <c r="A653" s="12">
        <v>45110</v>
      </c>
      <c r="B653" s="13">
        <v>1921.64</v>
      </c>
      <c r="C653" s="13">
        <v>1929.5</v>
      </c>
      <c r="D653" s="5">
        <v>7.5609342670957469</v>
      </c>
      <c r="E653" s="5">
        <v>7.5650161809776737</v>
      </c>
      <c r="F653" s="5">
        <v>1.1924010587529565E-3</v>
      </c>
      <c r="G653" s="5">
        <v>5.1828241220519544E-5</v>
      </c>
    </row>
    <row r="654" spans="1:7" x14ac:dyDescent="0.25">
      <c r="A654" s="12">
        <v>45111</v>
      </c>
      <c r="B654" s="13">
        <v>1925.48</v>
      </c>
      <c r="C654" s="13">
        <v>1929.5</v>
      </c>
      <c r="D654" s="5">
        <v>7.5629305662885287</v>
      </c>
      <c r="E654" s="5">
        <v>7.5650161809776737</v>
      </c>
      <c r="F654" s="5">
        <v>1.9962991927817697E-3</v>
      </c>
      <c r="G654" s="5">
        <v>0</v>
      </c>
    </row>
    <row r="655" spans="1:7" x14ac:dyDescent="0.25">
      <c r="A655" s="12">
        <v>45112</v>
      </c>
      <c r="B655" s="13">
        <v>1915.3</v>
      </c>
      <c r="C655" s="13">
        <v>1927.1</v>
      </c>
      <c r="D655" s="5">
        <v>7.5576295473086157</v>
      </c>
      <c r="E655" s="5">
        <v>7.5637715612038745</v>
      </c>
      <c r="F655" s="5">
        <v>-5.3010189799129748E-3</v>
      </c>
      <c r="G655" s="5">
        <v>-1.2446197737991938E-3</v>
      </c>
    </row>
    <row r="656" spans="1:7" x14ac:dyDescent="0.25">
      <c r="A656" s="12">
        <v>45113</v>
      </c>
      <c r="B656" s="13">
        <v>1910.9</v>
      </c>
      <c r="C656" s="13">
        <v>1915.4</v>
      </c>
      <c r="D656" s="5">
        <v>7.5553296142473254</v>
      </c>
      <c r="E656" s="5">
        <v>7.5576817570875185</v>
      </c>
      <c r="F656" s="5">
        <v>-2.2999330612902824E-3</v>
      </c>
      <c r="G656" s="5">
        <v>-6.0898041163559569E-3</v>
      </c>
    </row>
    <row r="657" spans="1:7" x14ac:dyDescent="0.25">
      <c r="A657" s="12">
        <v>45114</v>
      </c>
      <c r="B657" s="13">
        <v>1925.05</v>
      </c>
      <c r="C657" s="13">
        <v>1932.5</v>
      </c>
      <c r="D657" s="5">
        <v>7.5627072204105392</v>
      </c>
      <c r="E657" s="5">
        <v>7.5665697804615775</v>
      </c>
      <c r="F657" s="5">
        <v>7.3776061632138124E-3</v>
      </c>
      <c r="G657" s="5">
        <v>8.8880233740589176E-3</v>
      </c>
    </row>
    <row r="658" spans="1:7" x14ac:dyDescent="0.25">
      <c r="A658" s="12">
        <v>45117</v>
      </c>
      <c r="B658" s="13">
        <v>1925.35</v>
      </c>
      <c r="C658" s="13">
        <v>1931</v>
      </c>
      <c r="D658" s="5">
        <v>7.56286304837678</v>
      </c>
      <c r="E658" s="5">
        <v>7.5657932824285146</v>
      </c>
      <c r="F658" s="5">
        <v>1.5582796624080686E-4</v>
      </c>
      <c r="G658" s="5">
        <v>-7.7649803306290011E-4</v>
      </c>
    </row>
    <row r="659" spans="1:7" x14ac:dyDescent="0.25">
      <c r="A659" s="12">
        <v>45118</v>
      </c>
      <c r="B659" s="13">
        <v>1932.23</v>
      </c>
      <c r="C659" s="13">
        <v>1937.1</v>
      </c>
      <c r="D659" s="5">
        <v>7.5664300553059052</v>
      </c>
      <c r="E659" s="5">
        <v>7.5689472883005307</v>
      </c>
      <c r="F659" s="5">
        <v>3.5670069291251494E-3</v>
      </c>
      <c r="G659" s="5">
        <v>3.1540058720160857E-3</v>
      </c>
    </row>
    <row r="660" spans="1:7" x14ac:dyDescent="0.25">
      <c r="A660" s="12">
        <v>45119</v>
      </c>
      <c r="B660" s="13">
        <v>1957.35</v>
      </c>
      <c r="C660" s="13">
        <v>1961.7</v>
      </c>
      <c r="D660" s="5">
        <v>7.5793467965763659</v>
      </c>
      <c r="E660" s="5">
        <v>7.5815667232353396</v>
      </c>
      <c r="F660" s="5">
        <v>1.2916741270460719E-2</v>
      </c>
      <c r="G660" s="5">
        <v>1.2619434934808993E-2</v>
      </c>
    </row>
    <row r="661" spans="1:7" x14ac:dyDescent="0.25">
      <c r="A661" s="12">
        <v>45120</v>
      </c>
      <c r="B661" s="13">
        <v>1960.51</v>
      </c>
      <c r="C661" s="13">
        <v>1963.8</v>
      </c>
      <c r="D661" s="5">
        <v>7.5809599224589848</v>
      </c>
      <c r="E661" s="5">
        <v>7.5826366507351901</v>
      </c>
      <c r="F661" s="5">
        <v>1.6131258826188599E-3</v>
      </c>
      <c r="G661" s="5">
        <v>1.0699274998504649E-3</v>
      </c>
    </row>
    <row r="662" spans="1:7" x14ac:dyDescent="0.25">
      <c r="A662" s="12">
        <v>45121</v>
      </c>
      <c r="B662" s="13">
        <v>1955.21</v>
      </c>
      <c r="C662" s="13">
        <v>1964.4</v>
      </c>
      <c r="D662" s="5">
        <v>7.5782528835304817</v>
      </c>
      <c r="E662" s="5">
        <v>7.5829421341650898</v>
      </c>
      <c r="F662" s="5">
        <v>-2.7070389285031027E-3</v>
      </c>
      <c r="G662" s="5">
        <v>3.054834298996667E-4</v>
      </c>
    </row>
    <row r="663" spans="1:7" x14ac:dyDescent="0.25">
      <c r="A663" s="12">
        <v>45124</v>
      </c>
      <c r="B663" s="13">
        <v>1955.04</v>
      </c>
      <c r="C663" s="13">
        <v>1956.4</v>
      </c>
      <c r="D663" s="5">
        <v>7.5781659325682122</v>
      </c>
      <c r="E663" s="5">
        <v>7.5788613286652025</v>
      </c>
      <c r="F663" s="5">
        <v>-8.6950962269405352E-5</v>
      </c>
      <c r="G663" s="5">
        <v>-4.0808054998873189E-3</v>
      </c>
    </row>
    <row r="664" spans="1:7" x14ac:dyDescent="0.25">
      <c r="A664" s="12">
        <v>45125</v>
      </c>
      <c r="B664" s="13">
        <v>1978.72</v>
      </c>
      <c r="C664" s="13">
        <v>1980.8</v>
      </c>
      <c r="D664" s="5">
        <v>7.5902054499937472</v>
      </c>
      <c r="E664" s="5">
        <v>7.5912560824902773</v>
      </c>
      <c r="F664" s="5">
        <v>1.2039517425534996E-2</v>
      </c>
      <c r="G664" s="5">
        <v>1.2394753825074822E-2</v>
      </c>
    </row>
    <row r="665" spans="1:7" x14ac:dyDescent="0.25">
      <c r="A665" s="12">
        <v>45126</v>
      </c>
      <c r="B665" s="13">
        <v>1976.64</v>
      </c>
      <c r="C665" s="13">
        <v>1980.8</v>
      </c>
      <c r="D665" s="5">
        <v>7.5891537125075343</v>
      </c>
      <c r="E665" s="5">
        <v>7.5912560824902773</v>
      </c>
      <c r="F665" s="5">
        <v>-1.0517374862129003E-3</v>
      </c>
      <c r="G665" s="5">
        <v>0</v>
      </c>
    </row>
    <row r="666" spans="1:7" x14ac:dyDescent="0.25">
      <c r="A666" s="12">
        <v>45127</v>
      </c>
      <c r="B666" s="13">
        <v>1969.53</v>
      </c>
      <c r="C666" s="13">
        <v>1970.9</v>
      </c>
      <c r="D666" s="5">
        <v>7.5855502145874105</v>
      </c>
      <c r="E666" s="5">
        <v>7.5862455701984484</v>
      </c>
      <c r="F666" s="5">
        <v>-3.6034979201238215E-3</v>
      </c>
      <c r="G666" s="5">
        <v>-5.0105122918289169E-3</v>
      </c>
    </row>
    <row r="667" spans="1:7" x14ac:dyDescent="0.25">
      <c r="A667" s="12">
        <v>45128</v>
      </c>
      <c r="B667" s="13">
        <v>1961.94</v>
      </c>
      <c r="C667" s="13">
        <v>1966.6</v>
      </c>
      <c r="D667" s="5">
        <v>7.5816890586179433</v>
      </c>
      <c r="E667" s="5">
        <v>7.5840614423460559</v>
      </c>
      <c r="F667" s="5">
        <v>-3.8611559694672337E-3</v>
      </c>
      <c r="G667" s="5">
        <v>-2.1841278523924146E-3</v>
      </c>
    </row>
    <row r="668" spans="1:7" x14ac:dyDescent="0.25">
      <c r="A668" s="12">
        <v>45131</v>
      </c>
      <c r="B668" s="13">
        <v>1954.73</v>
      </c>
      <c r="C668" s="13">
        <v>1962.2</v>
      </c>
      <c r="D668" s="5">
        <v>7.5780073554648792</v>
      </c>
      <c r="E668" s="5">
        <v>7.5818215717292903</v>
      </c>
      <c r="F668" s="5">
        <v>-3.6817031530640421E-3</v>
      </c>
      <c r="G668" s="5">
        <v>-2.2398706167656712E-3</v>
      </c>
    </row>
    <row r="669" spans="1:7" x14ac:dyDescent="0.25">
      <c r="A669" s="12">
        <v>45132</v>
      </c>
      <c r="B669" s="13">
        <v>1964.96</v>
      </c>
      <c r="C669" s="13">
        <v>1963.7</v>
      </c>
      <c r="D669" s="5">
        <v>7.5832271678620744</v>
      </c>
      <c r="E669" s="5">
        <v>7.582585727756185</v>
      </c>
      <c r="F669" s="5">
        <v>5.219812397195156E-3</v>
      </c>
      <c r="G669" s="5">
        <v>7.641560268947245E-4</v>
      </c>
    </row>
    <row r="670" spans="1:7" x14ac:dyDescent="0.25">
      <c r="A670" s="12">
        <v>45133</v>
      </c>
      <c r="B670" s="13">
        <v>1972.07</v>
      </c>
      <c r="C670" s="13">
        <v>1970.1</v>
      </c>
      <c r="D670" s="5">
        <v>7.5868390314899825</v>
      </c>
      <c r="E670" s="5">
        <v>7.5858395818650362</v>
      </c>
      <c r="F670" s="5">
        <v>3.6118636279081073E-3</v>
      </c>
      <c r="G670" s="5">
        <v>3.2538541088511508E-3</v>
      </c>
    </row>
    <row r="671" spans="1:7" x14ac:dyDescent="0.25">
      <c r="A671" s="12">
        <v>45134</v>
      </c>
      <c r="B671" s="13">
        <v>1946</v>
      </c>
      <c r="C671" s="13">
        <v>1945.7</v>
      </c>
      <c r="D671" s="5">
        <v>7.5735312627459503</v>
      </c>
      <c r="E671" s="5">
        <v>7.5733770884773302</v>
      </c>
      <c r="F671" s="5">
        <v>-1.3307768744032167E-2</v>
      </c>
      <c r="G671" s="5">
        <v>-1.2462493387705997E-2</v>
      </c>
    </row>
    <row r="672" spans="1:7" x14ac:dyDescent="0.25">
      <c r="A672" s="12">
        <v>45135</v>
      </c>
      <c r="B672" s="13">
        <v>1959.49</v>
      </c>
      <c r="C672" s="13">
        <v>1960.4</v>
      </c>
      <c r="D672" s="5">
        <v>7.5804395142839747</v>
      </c>
      <c r="E672" s="5">
        <v>7.5809038130353921</v>
      </c>
      <c r="F672" s="5">
        <v>6.9082515380243237E-3</v>
      </c>
      <c r="G672" s="5">
        <v>7.5267245580619146E-3</v>
      </c>
    </row>
    <row r="673" spans="1:7" x14ac:dyDescent="0.25">
      <c r="A673" s="12">
        <v>45138</v>
      </c>
      <c r="B673" s="13">
        <v>1965.09</v>
      </c>
      <c r="C673" s="13">
        <v>1970.5</v>
      </c>
      <c r="D673" s="5">
        <v>7.5832933247812209</v>
      </c>
      <c r="E673" s="5">
        <v>7.5860425966350586</v>
      </c>
      <c r="F673" s="5">
        <v>2.8538104972462008E-3</v>
      </c>
      <c r="G673" s="5">
        <v>5.1387835996665743E-3</v>
      </c>
    </row>
    <row r="674" spans="1:7" x14ac:dyDescent="0.25">
      <c r="A674" s="12">
        <v>45139</v>
      </c>
      <c r="B674" s="13">
        <v>1944.29</v>
      </c>
      <c r="C674" s="13">
        <v>1940.7</v>
      </c>
      <c r="D674" s="5">
        <v>7.5726521508493416</v>
      </c>
      <c r="E674" s="5">
        <v>7.5708040117180495</v>
      </c>
      <c r="F674" s="5">
        <v>-1.0641173931879244E-2</v>
      </c>
      <c r="G674" s="5">
        <v>-1.5238584917009135E-2</v>
      </c>
    </row>
    <row r="675" spans="1:7" x14ac:dyDescent="0.25">
      <c r="A675" s="12">
        <v>45140</v>
      </c>
      <c r="B675" s="13">
        <v>1934.45</v>
      </c>
      <c r="C675" s="13">
        <v>1937.4</v>
      </c>
      <c r="D675" s="5">
        <v>7.5675783273345854</v>
      </c>
      <c r="E675" s="5">
        <v>7.569102146992285</v>
      </c>
      <c r="F675" s="5">
        <v>-5.0738235147562705E-3</v>
      </c>
      <c r="G675" s="5">
        <v>-1.7018647257645014E-3</v>
      </c>
    </row>
    <row r="676" spans="1:7" x14ac:dyDescent="0.25">
      <c r="A676" s="12">
        <v>45141</v>
      </c>
      <c r="B676" s="13">
        <v>1934.06</v>
      </c>
      <c r="C676" s="13">
        <v>1932</v>
      </c>
      <c r="D676" s="5">
        <v>7.567376699316914</v>
      </c>
      <c r="E676" s="5">
        <v>7.566311014772463</v>
      </c>
      <c r="F676" s="5">
        <v>-2.016280176713181E-4</v>
      </c>
      <c r="G676" s="5">
        <v>-2.7911322198219679E-3</v>
      </c>
    </row>
    <row r="677" spans="1:7" x14ac:dyDescent="0.25">
      <c r="A677" s="12">
        <v>45142</v>
      </c>
      <c r="B677" s="13">
        <v>1942.91</v>
      </c>
      <c r="C677" s="13">
        <v>1939.6</v>
      </c>
      <c r="D677" s="5">
        <v>7.5719421281811101</v>
      </c>
      <c r="E677" s="5">
        <v>7.5702370452311971</v>
      </c>
      <c r="F677" s="5">
        <v>4.5654288641960861E-3</v>
      </c>
      <c r="G677" s="5">
        <v>3.9260304587340755E-3</v>
      </c>
    </row>
    <row r="678" spans="1:7" x14ac:dyDescent="0.25">
      <c r="A678" s="12">
        <v>45145</v>
      </c>
      <c r="B678" s="13">
        <v>1936.56</v>
      </c>
      <c r="C678" s="13">
        <v>1933.5</v>
      </c>
      <c r="D678" s="5">
        <v>7.568668482208361</v>
      </c>
      <c r="E678" s="5">
        <v>7.5670871110473517</v>
      </c>
      <c r="F678" s="5">
        <v>-3.2736459727491507E-3</v>
      </c>
      <c r="G678" s="5">
        <v>-3.1499341838454598E-3</v>
      </c>
    </row>
    <row r="679" spans="1:7" x14ac:dyDescent="0.25">
      <c r="A679" s="12">
        <v>45146</v>
      </c>
      <c r="B679" s="13">
        <v>1925.24</v>
      </c>
      <c r="C679" s="13">
        <v>1924.1</v>
      </c>
      <c r="D679" s="5">
        <v>7.5628059142752377</v>
      </c>
      <c r="E679" s="5">
        <v>7.5622136049269706</v>
      </c>
      <c r="F679" s="5">
        <v>-5.8625679331232305E-3</v>
      </c>
      <c r="G679" s="5">
        <v>-4.8735061203810659E-3</v>
      </c>
    </row>
    <row r="680" spans="1:7" x14ac:dyDescent="0.25">
      <c r="A680" s="12">
        <v>45147</v>
      </c>
      <c r="B680" s="13">
        <v>1914.46</v>
      </c>
      <c r="C680" s="13">
        <v>1915.4</v>
      </c>
      <c r="D680" s="5">
        <v>7.5571908775154846</v>
      </c>
      <c r="E680" s="5">
        <v>7.5576817570875185</v>
      </c>
      <c r="F680" s="5">
        <v>-5.615036759753167E-3</v>
      </c>
      <c r="G680" s="5">
        <v>-4.5318478394520412E-3</v>
      </c>
    </row>
    <row r="681" spans="1:7" x14ac:dyDescent="0.25">
      <c r="A681" s="12">
        <v>45148</v>
      </c>
      <c r="B681" s="13">
        <v>1912.48</v>
      </c>
      <c r="C681" s="13">
        <v>1914.4</v>
      </c>
      <c r="D681" s="5">
        <v>7.5561561081296711</v>
      </c>
      <c r="E681" s="5">
        <v>7.5571595365941633</v>
      </c>
      <c r="F681" s="5">
        <v>-1.0347693858134832E-3</v>
      </c>
      <c r="G681" s="5">
        <v>-5.2222049335526322E-4</v>
      </c>
    </row>
    <row r="682" spans="1:7" x14ac:dyDescent="0.25">
      <c r="A682" s="12">
        <v>45149</v>
      </c>
      <c r="B682" s="13">
        <v>1913.76</v>
      </c>
      <c r="C682" s="13">
        <v>1912.9</v>
      </c>
      <c r="D682" s="5">
        <v>7.5568251723011546</v>
      </c>
      <c r="E682" s="5">
        <v>7.556375694158608</v>
      </c>
      <c r="F682" s="5">
        <v>6.6906417148349107E-4</v>
      </c>
      <c r="G682" s="5">
        <v>-7.8384243555529309E-4</v>
      </c>
    </row>
    <row r="683" spans="1:7" x14ac:dyDescent="0.25">
      <c r="A683" s="12">
        <v>45152</v>
      </c>
      <c r="B683" s="13">
        <v>1907.1</v>
      </c>
      <c r="C683" s="13">
        <v>1910.6</v>
      </c>
      <c r="D683" s="5">
        <v>7.5533390426104727</v>
      </c>
      <c r="E683" s="5">
        <v>7.5551726078359076</v>
      </c>
      <c r="F683" s="5">
        <v>-3.4861296906818495E-3</v>
      </c>
      <c r="G683" s="5">
        <v>-1.2030863227003863E-3</v>
      </c>
    </row>
    <row r="684" spans="1:7" x14ac:dyDescent="0.25">
      <c r="A684" s="12">
        <v>45153</v>
      </c>
      <c r="B684" s="13">
        <v>1902</v>
      </c>
      <c r="C684" s="13">
        <v>1902.5</v>
      </c>
      <c r="D684" s="5">
        <v>7.5506612431053357</v>
      </c>
      <c r="E684" s="5">
        <v>7.5509240897358412</v>
      </c>
      <c r="F684" s="5">
        <v>-2.677799505137024E-3</v>
      </c>
      <c r="G684" s="5">
        <v>-4.248518100066434E-3</v>
      </c>
    </row>
    <row r="685" spans="1:7" x14ac:dyDescent="0.25">
      <c r="A685" s="12">
        <v>45154</v>
      </c>
      <c r="B685" s="13">
        <v>1891.81</v>
      </c>
      <c r="C685" s="13">
        <v>1896.1</v>
      </c>
      <c r="D685" s="5">
        <v>7.5452893217361323</v>
      </c>
      <c r="E685" s="5">
        <v>7.5475544240401575</v>
      </c>
      <c r="F685" s="5">
        <v>-5.3719213692033918E-3</v>
      </c>
      <c r="G685" s="5">
        <v>-3.3696656956836435E-3</v>
      </c>
    </row>
    <row r="686" spans="1:7" x14ac:dyDescent="0.25">
      <c r="A686" s="12">
        <v>45155</v>
      </c>
      <c r="B686" s="13">
        <v>1889.43</v>
      </c>
      <c r="C686" s="13">
        <v>1884.1</v>
      </c>
      <c r="D686" s="5">
        <v>7.5440304752655045</v>
      </c>
      <c r="E686" s="5">
        <v>7.5412055322839553</v>
      </c>
      <c r="F686" s="5">
        <v>-1.2588464706277946E-3</v>
      </c>
      <c r="G686" s="5">
        <v>-6.3488917562022351E-3</v>
      </c>
    </row>
    <row r="687" spans="1:7" x14ac:dyDescent="0.25">
      <c r="A687" s="12">
        <v>45156</v>
      </c>
      <c r="B687" s="13">
        <v>1889.31</v>
      </c>
      <c r="C687" s="13">
        <v>1886.1</v>
      </c>
      <c r="D687" s="5">
        <v>7.5439669620309129</v>
      </c>
      <c r="E687" s="5">
        <v>7.5422664840571247</v>
      </c>
      <c r="F687" s="5">
        <v>-6.3513234591638934E-5</v>
      </c>
      <c r="G687" s="5">
        <v>1.0609517731694496E-3</v>
      </c>
    </row>
    <row r="688" spans="1:7" x14ac:dyDescent="0.25">
      <c r="A688" s="12">
        <v>45159</v>
      </c>
      <c r="B688" s="13">
        <v>1894.93</v>
      </c>
      <c r="C688" s="13">
        <v>1893.3</v>
      </c>
      <c r="D688" s="5">
        <v>7.5469371775202694</v>
      </c>
      <c r="E688" s="5">
        <v>7.5460766172583034</v>
      </c>
      <c r="F688" s="5">
        <v>2.970215489356498E-3</v>
      </c>
      <c r="G688" s="5">
        <v>3.8101332011786226E-3</v>
      </c>
    </row>
    <row r="689" spans="1:7" x14ac:dyDescent="0.25">
      <c r="A689" s="12">
        <v>45160</v>
      </c>
      <c r="B689" s="13">
        <v>1897.48</v>
      </c>
      <c r="C689" s="13">
        <v>1896.4</v>
      </c>
      <c r="D689" s="5">
        <v>7.5482819690297838</v>
      </c>
      <c r="E689" s="5">
        <v>7.547712631027963</v>
      </c>
      <c r="F689" s="5">
        <v>1.344791509514387E-3</v>
      </c>
      <c r="G689" s="5">
        <v>1.6360137696596055E-3</v>
      </c>
    </row>
    <row r="690" spans="1:7" x14ac:dyDescent="0.25">
      <c r="A690" s="12">
        <v>45161</v>
      </c>
      <c r="B690" s="13">
        <v>1915.48</v>
      </c>
      <c r="C690" s="13">
        <v>1918.5</v>
      </c>
      <c r="D690" s="5">
        <v>7.5577235229481108</v>
      </c>
      <c r="E690" s="5">
        <v>7.5592989096870067</v>
      </c>
      <c r="F690" s="5">
        <v>9.441553918327017E-3</v>
      </c>
      <c r="G690" s="5">
        <v>1.1586278659043714E-2</v>
      </c>
    </row>
    <row r="691" spans="1:7" x14ac:dyDescent="0.25">
      <c r="A691" s="12">
        <v>45162</v>
      </c>
      <c r="B691" s="13">
        <v>1916.91</v>
      </c>
      <c r="C691" s="13">
        <v>1918.2</v>
      </c>
      <c r="D691" s="5">
        <v>7.5584697935867284</v>
      </c>
      <c r="E691" s="5">
        <v>7.5591425252938507</v>
      </c>
      <c r="F691" s="5">
        <v>7.4627063861765208E-4</v>
      </c>
      <c r="G691" s="5">
        <v>-1.5638439315601715E-4</v>
      </c>
    </row>
    <row r="692" spans="1:7" x14ac:dyDescent="0.25">
      <c r="A692" s="12">
        <v>45163</v>
      </c>
      <c r="B692" s="13">
        <v>1914.96</v>
      </c>
      <c r="C692" s="13">
        <v>1911.1</v>
      </c>
      <c r="D692" s="5">
        <v>7.5574520136681356</v>
      </c>
      <c r="E692" s="5">
        <v>7.5554342714949358</v>
      </c>
      <c r="F692" s="5">
        <v>-1.0177799185928649E-3</v>
      </c>
      <c r="G692" s="5">
        <v>-3.7082537989148179E-3</v>
      </c>
    </row>
    <row r="693" spans="1:7" x14ac:dyDescent="0.25">
      <c r="A693" s="12">
        <v>45166</v>
      </c>
      <c r="B693" s="13">
        <v>1920.17</v>
      </c>
      <c r="C693" s="13">
        <v>1917.9</v>
      </c>
      <c r="D693" s="5">
        <v>7.5601690027689123</v>
      </c>
      <c r="E693" s="5">
        <v>7.5589861164407912</v>
      </c>
      <c r="F693" s="5">
        <v>2.7169891007767788E-3</v>
      </c>
      <c r="G693" s="5">
        <v>3.5518449458553647E-3</v>
      </c>
    </row>
    <row r="694" spans="1:7" x14ac:dyDescent="0.25">
      <c r="A694" s="12">
        <v>45167</v>
      </c>
      <c r="B694" s="13">
        <v>1937.54</v>
      </c>
      <c r="C694" s="13">
        <v>1936.5</v>
      </c>
      <c r="D694" s="5">
        <v>7.5691744061756836</v>
      </c>
      <c r="E694" s="5">
        <v>7.5686374989548071</v>
      </c>
      <c r="F694" s="5">
        <v>9.0054034067712507E-3</v>
      </c>
      <c r="G694" s="5">
        <v>9.6513825140158715E-3</v>
      </c>
    </row>
    <row r="695" spans="1:7" x14ac:dyDescent="0.25">
      <c r="A695" s="12">
        <v>45168</v>
      </c>
      <c r="B695" s="13">
        <v>1942.32</v>
      </c>
      <c r="C695" s="13">
        <v>1954</v>
      </c>
      <c r="D695" s="5">
        <v>7.5716384138555561</v>
      </c>
      <c r="E695" s="5">
        <v>7.5776338326027277</v>
      </c>
      <c r="F695" s="5">
        <v>2.4640076798725374E-3</v>
      </c>
      <c r="G695" s="5">
        <v>8.9963336479206291E-3</v>
      </c>
    </row>
    <row r="696" spans="1:7" x14ac:dyDescent="0.25">
      <c r="A696" s="12">
        <v>45169</v>
      </c>
      <c r="B696" s="13">
        <v>1940.19</v>
      </c>
      <c r="C696" s="13">
        <v>1947</v>
      </c>
      <c r="D696" s="5">
        <v>7.5705411854060767</v>
      </c>
      <c r="E696" s="5">
        <v>7.5740450053721995</v>
      </c>
      <c r="F696" s="5">
        <v>-1.0972284494794593E-3</v>
      </c>
      <c r="G696" s="5">
        <v>-3.5888272305282243E-3</v>
      </c>
    </row>
    <row r="697" spans="1:7" x14ac:dyDescent="0.25">
      <c r="A697" s="12">
        <v>45170</v>
      </c>
      <c r="B697" s="13">
        <v>1940.06</v>
      </c>
      <c r="C697" s="13">
        <v>1948.4</v>
      </c>
      <c r="D697" s="5">
        <v>7.5704741794141697</v>
      </c>
      <c r="E697" s="5">
        <v>7.574763801932388</v>
      </c>
      <c r="F697" s="5">
        <v>-6.7005991907009843E-5</v>
      </c>
      <c r="G697" s="5">
        <v>7.1879656018847271E-4</v>
      </c>
    </row>
    <row r="698" spans="1:7" x14ac:dyDescent="0.25">
      <c r="A698" s="12">
        <v>45173</v>
      </c>
      <c r="B698" s="13">
        <v>1942.69</v>
      </c>
      <c r="C698" s="13">
        <v>1948.4</v>
      </c>
      <c r="D698" s="5">
        <v>7.5718288895563237</v>
      </c>
      <c r="E698" s="5">
        <v>7.574763801932388</v>
      </c>
      <c r="F698" s="5">
        <v>1.3547101421540475E-3</v>
      </c>
      <c r="G698" s="5">
        <v>0</v>
      </c>
    </row>
    <row r="699" spans="1:7" x14ac:dyDescent="0.25">
      <c r="A699" s="12">
        <v>45174</v>
      </c>
      <c r="B699" s="13">
        <v>1926.12</v>
      </c>
      <c r="C699" s="13">
        <v>1934.3</v>
      </c>
      <c r="D699" s="5">
        <v>7.5632628957131267</v>
      </c>
      <c r="E699" s="5">
        <v>7.5675007829080521</v>
      </c>
      <c r="F699" s="5">
        <v>-8.5659938431970062E-3</v>
      </c>
      <c r="G699" s="5">
        <v>-7.2630190243359039E-3</v>
      </c>
    </row>
    <row r="700" spans="1:7" x14ac:dyDescent="0.25">
      <c r="A700" s="12">
        <v>45175</v>
      </c>
      <c r="B700" s="13">
        <v>1916.56</v>
      </c>
      <c r="C700" s="13">
        <v>1925.8</v>
      </c>
      <c r="D700" s="5">
        <v>7.5582871914007335</v>
      </c>
      <c r="E700" s="5">
        <v>7.5630967448061837</v>
      </c>
      <c r="F700" s="5">
        <v>-4.9757043123932476E-3</v>
      </c>
      <c r="G700" s="5">
        <v>-4.4040381018684016E-3</v>
      </c>
    </row>
    <row r="701" spans="1:7" x14ac:dyDescent="0.25">
      <c r="A701" s="12">
        <v>45176</v>
      </c>
      <c r="B701" s="13">
        <v>1919.68</v>
      </c>
      <c r="C701" s="13">
        <v>1924.1</v>
      </c>
      <c r="D701" s="5">
        <v>7.5599137844647286</v>
      </c>
      <c r="E701" s="5">
        <v>7.5622136049269706</v>
      </c>
      <c r="F701" s="5">
        <v>1.626593063995152E-3</v>
      </c>
      <c r="G701" s="5">
        <v>-8.8313987921306847E-4</v>
      </c>
    </row>
    <row r="702" spans="1:7" x14ac:dyDescent="0.25">
      <c r="A702" s="12">
        <v>45177</v>
      </c>
      <c r="B702" s="13">
        <v>1919.08</v>
      </c>
      <c r="C702" s="13">
        <v>1924.6</v>
      </c>
      <c r="D702" s="5">
        <v>7.5596011835181276</v>
      </c>
      <c r="E702" s="5">
        <v>7.5624734329223005</v>
      </c>
      <c r="F702" s="5">
        <v>-3.1260094660101601E-4</v>
      </c>
      <c r="G702" s="5">
        <v>2.5982799532986434E-4</v>
      </c>
    </row>
    <row r="703" spans="1:7" x14ac:dyDescent="0.25">
      <c r="A703" s="12">
        <v>45180</v>
      </c>
      <c r="B703" s="13">
        <v>1922.3</v>
      </c>
      <c r="C703" s="13">
        <v>1929.2</v>
      </c>
      <c r="D703" s="5">
        <v>7.5612776647588147</v>
      </c>
      <c r="E703" s="5">
        <v>7.5648606881948171</v>
      </c>
      <c r="F703" s="5">
        <v>1.6764812406870888E-3</v>
      </c>
      <c r="G703" s="5">
        <v>2.3872552725165974E-3</v>
      </c>
    </row>
    <row r="704" spans="1:7" x14ac:dyDescent="0.25">
      <c r="A704" s="12">
        <v>45181</v>
      </c>
      <c r="B704" s="13">
        <v>1913.67</v>
      </c>
      <c r="C704" s="13">
        <v>1917.2</v>
      </c>
      <c r="D704" s="5">
        <v>7.5567781433548298</v>
      </c>
      <c r="E704" s="5">
        <v>7.5586210672854763</v>
      </c>
      <c r="F704" s="5">
        <v>-4.4995214039849074E-3</v>
      </c>
      <c r="G704" s="5">
        <v>-6.2396209093407151E-3</v>
      </c>
    </row>
    <row r="705" spans="1:7" x14ac:dyDescent="0.25">
      <c r="A705" s="12">
        <v>45182</v>
      </c>
      <c r="B705" s="13">
        <v>1908.12</v>
      </c>
      <c r="C705" s="13">
        <v>1914.4</v>
      </c>
      <c r="D705" s="5">
        <v>7.5538737431123062</v>
      </c>
      <c r="E705" s="5">
        <v>7.5571595365941633</v>
      </c>
      <c r="F705" s="5">
        <v>-2.904400242523586E-3</v>
      </c>
      <c r="G705" s="5">
        <v>-1.461530691313051E-3</v>
      </c>
    </row>
    <row r="706" spans="1:7" x14ac:dyDescent="0.25">
      <c r="A706" s="12">
        <v>45183</v>
      </c>
      <c r="B706" s="13">
        <v>1910.79</v>
      </c>
      <c r="C706" s="13">
        <v>1914.4</v>
      </c>
      <c r="D706" s="5">
        <v>7.5552720480920224</v>
      </c>
      <c r="E706" s="5">
        <v>7.5571595365941633</v>
      </c>
      <c r="F706" s="5">
        <v>1.3983049797161584E-3</v>
      </c>
      <c r="G706" s="5">
        <v>0</v>
      </c>
    </row>
    <row r="707" spans="1:7" x14ac:dyDescent="0.25">
      <c r="A707" s="12">
        <v>45184</v>
      </c>
      <c r="B707" s="13">
        <v>1923.91</v>
      </c>
      <c r="C707" s="13">
        <v>1927.9</v>
      </c>
      <c r="D707" s="5">
        <v>7.562114852584771</v>
      </c>
      <c r="E707" s="5">
        <v>7.5641866066054231</v>
      </c>
      <c r="F707" s="5">
        <v>6.8428044927486553E-3</v>
      </c>
      <c r="G707" s="5">
        <v>7.027070011259795E-3</v>
      </c>
    </row>
    <row r="708" spans="1:7" x14ac:dyDescent="0.25">
      <c r="A708" s="12">
        <v>45187</v>
      </c>
      <c r="B708" s="13">
        <v>1933.84</v>
      </c>
      <c r="C708" s="13">
        <v>1935.2</v>
      </c>
      <c r="D708" s="5">
        <v>7.5672629424978455</v>
      </c>
      <c r="E708" s="5">
        <v>7.5679659592958179</v>
      </c>
      <c r="F708" s="5">
        <v>5.1480899130744717E-3</v>
      </c>
      <c r="G708" s="5">
        <v>3.779352690394866E-3</v>
      </c>
    </row>
    <row r="709" spans="1:7" x14ac:dyDescent="0.25">
      <c r="A709" s="12">
        <v>45188</v>
      </c>
      <c r="B709" s="13">
        <v>1931.36</v>
      </c>
      <c r="C709" s="13">
        <v>1935.3</v>
      </c>
      <c r="D709" s="5">
        <v>7.5659796969528168</v>
      </c>
      <c r="E709" s="5">
        <v>7.5680176322063053</v>
      </c>
      <c r="F709" s="5">
        <v>-1.2832455450286773E-3</v>
      </c>
      <c r="G709" s="5">
        <v>5.1672910487354784E-5</v>
      </c>
    </row>
    <row r="710" spans="1:7" x14ac:dyDescent="0.25">
      <c r="A710" s="12">
        <v>45189</v>
      </c>
      <c r="B710" s="13">
        <v>1930.3</v>
      </c>
      <c r="C710" s="13">
        <v>1948.6</v>
      </c>
      <c r="D710" s="5">
        <v>7.5654307102338292</v>
      </c>
      <c r="E710" s="5">
        <v>7.5748664449912404</v>
      </c>
      <c r="F710" s="5">
        <v>-5.4898671898762075E-4</v>
      </c>
      <c r="G710" s="5">
        <v>6.8488127849350988E-3</v>
      </c>
    </row>
    <row r="711" spans="1:7" x14ac:dyDescent="0.25">
      <c r="A711" s="12">
        <v>45190</v>
      </c>
      <c r="B711" s="13">
        <v>1920.02</v>
      </c>
      <c r="C711" s="13">
        <v>1921.2</v>
      </c>
      <c r="D711" s="5">
        <v>7.5600908816342409</v>
      </c>
      <c r="E711" s="5">
        <v>7.5607052697906694</v>
      </c>
      <c r="F711" s="5">
        <v>-5.3398285995882588E-3</v>
      </c>
      <c r="G711" s="5">
        <v>-1.416117520057103E-2</v>
      </c>
    </row>
    <row r="712" spans="1:7" x14ac:dyDescent="0.25">
      <c r="A712" s="12">
        <v>45191</v>
      </c>
      <c r="B712" s="13">
        <v>1925.23</v>
      </c>
      <c r="C712" s="13">
        <v>1927.2</v>
      </c>
      <c r="D712" s="5">
        <v>7.5628007201041365</v>
      </c>
      <c r="E712" s="5">
        <v>7.5638234513006619</v>
      </c>
      <c r="F712" s="5">
        <v>2.7098384698955869E-3</v>
      </c>
      <c r="G712" s="5">
        <v>3.1181815099925458E-3</v>
      </c>
    </row>
    <row r="713" spans="1:7" x14ac:dyDescent="0.25">
      <c r="A713" s="12">
        <v>45194</v>
      </c>
      <c r="B713" s="13">
        <v>1915.92</v>
      </c>
      <c r="C713" s="13">
        <v>1918.2</v>
      </c>
      <c r="D713" s="5">
        <v>7.5579532040056527</v>
      </c>
      <c r="E713" s="5">
        <v>7.5591425252938507</v>
      </c>
      <c r="F713" s="5">
        <v>-4.8475160984837729E-3</v>
      </c>
      <c r="G713" s="5">
        <v>-4.6809260068112479E-3</v>
      </c>
    </row>
    <row r="714" spans="1:7" x14ac:dyDescent="0.25">
      <c r="A714" s="12">
        <v>45195</v>
      </c>
      <c r="B714" s="13">
        <v>1900.65</v>
      </c>
      <c r="C714" s="13">
        <v>1901.6</v>
      </c>
      <c r="D714" s="5">
        <v>7.5499512119130268</v>
      </c>
      <c r="E714" s="5">
        <v>7.5504509160459845</v>
      </c>
      <c r="F714" s="5">
        <v>-8.0019920926259758E-3</v>
      </c>
      <c r="G714" s="5">
        <v>-8.6916092478661611E-3</v>
      </c>
    </row>
    <row r="715" spans="1:7" x14ac:dyDescent="0.25">
      <c r="A715" s="12">
        <v>45196</v>
      </c>
      <c r="B715" s="13">
        <v>1875.12</v>
      </c>
      <c r="C715" s="13">
        <v>1872.3</v>
      </c>
      <c r="D715" s="5">
        <v>7.5364279363565982</v>
      </c>
      <c r="E715" s="5">
        <v>7.5349229006081071</v>
      </c>
      <c r="F715" s="5">
        <v>-1.3523275556428516E-2</v>
      </c>
      <c r="G715" s="5">
        <v>-1.5528015437877407E-2</v>
      </c>
    </row>
    <row r="716" spans="1:7" x14ac:dyDescent="0.25">
      <c r="A716" s="12">
        <v>45197</v>
      </c>
      <c r="B716" s="13">
        <v>1864.87</v>
      </c>
      <c r="C716" s="13">
        <v>1860.4</v>
      </c>
      <c r="D716" s="5">
        <v>7.5309466245545691</v>
      </c>
      <c r="E716" s="5">
        <v>7.528546797349942</v>
      </c>
      <c r="F716" s="5">
        <v>-5.481311802029154E-3</v>
      </c>
      <c r="G716" s="5">
        <v>-6.3761032581650667E-3</v>
      </c>
    </row>
    <row r="717" spans="1:7" x14ac:dyDescent="0.25">
      <c r="A717" s="12">
        <v>45198</v>
      </c>
      <c r="B717" s="13">
        <v>1848.63</v>
      </c>
      <c r="C717" s="13">
        <v>1848.1</v>
      </c>
      <c r="D717" s="5">
        <v>7.522200103196238</v>
      </c>
      <c r="E717" s="5">
        <v>7.5219133632917101</v>
      </c>
      <c r="F717" s="5">
        <v>-8.7465213583310941E-3</v>
      </c>
      <c r="G717" s="5">
        <v>-6.6334340582319129E-3</v>
      </c>
    </row>
    <row r="718" spans="1:7" x14ac:dyDescent="0.25">
      <c r="A718" s="12">
        <v>45201</v>
      </c>
      <c r="B718" s="13">
        <v>1828.03</v>
      </c>
      <c r="C718" s="13">
        <v>1830</v>
      </c>
      <c r="D718" s="5">
        <v>7.510994163257986</v>
      </c>
      <c r="E718" s="5">
        <v>7.5120712458354664</v>
      </c>
      <c r="F718" s="5">
        <v>-1.120593993825203E-2</v>
      </c>
      <c r="G718" s="5">
        <v>-9.8421174562437486E-3</v>
      </c>
    </row>
    <row r="719" spans="1:7" x14ac:dyDescent="0.25">
      <c r="A719" s="12">
        <v>45202</v>
      </c>
      <c r="B719" s="13">
        <v>1823.02</v>
      </c>
      <c r="C719" s="13">
        <v>1824.6</v>
      </c>
      <c r="D719" s="5">
        <v>7.5082497455455259</v>
      </c>
      <c r="E719" s="5">
        <v>7.5091160639113737</v>
      </c>
      <c r="F719" s="5">
        <v>-2.7444177124600344E-3</v>
      </c>
      <c r="G719" s="5">
        <v>-2.9551819240927202E-3</v>
      </c>
    </row>
    <row r="720" spans="1:7" x14ac:dyDescent="0.25">
      <c r="A720" s="12">
        <v>45203</v>
      </c>
      <c r="B720" s="13">
        <v>1821.36</v>
      </c>
      <c r="C720" s="13">
        <v>1818.5</v>
      </c>
      <c r="D720" s="5">
        <v>7.5073387537637668</v>
      </c>
      <c r="E720" s="5">
        <v>7.5057672644270435</v>
      </c>
      <c r="F720" s="5">
        <v>-9.1099178175912954E-4</v>
      </c>
      <c r="G720" s="5">
        <v>-3.3487994843302005E-3</v>
      </c>
    </row>
    <row r="721" spans="1:7" x14ac:dyDescent="0.25">
      <c r="A721" s="12">
        <v>45204</v>
      </c>
      <c r="B721" s="13">
        <v>1820.3</v>
      </c>
      <c r="C721" s="13">
        <v>1816.6</v>
      </c>
      <c r="D721" s="5">
        <v>7.506756601651853</v>
      </c>
      <c r="E721" s="5">
        <v>7.5047219010681134</v>
      </c>
      <c r="F721" s="5">
        <v>-5.82152111913814E-4</v>
      </c>
      <c r="G721" s="5">
        <v>-1.0453633589300182E-3</v>
      </c>
    </row>
    <row r="722" spans="1:7" x14ac:dyDescent="0.25">
      <c r="A722" s="12">
        <v>45205</v>
      </c>
      <c r="B722" s="13">
        <v>1833.01</v>
      </c>
      <c r="C722" s="13">
        <v>1830.2</v>
      </c>
      <c r="D722" s="5">
        <v>7.5137147033621945</v>
      </c>
      <c r="E722" s="5">
        <v>7.5121805294812782</v>
      </c>
      <c r="F722" s="5">
        <v>6.9581017103415022E-3</v>
      </c>
      <c r="G722" s="5">
        <v>7.4586284131648029E-3</v>
      </c>
    </row>
    <row r="723" spans="1:7" x14ac:dyDescent="0.25">
      <c r="A723" s="12">
        <v>45208</v>
      </c>
      <c r="B723" s="13">
        <v>1861.41</v>
      </c>
      <c r="C723" s="13">
        <v>1849.5</v>
      </c>
      <c r="D723" s="5">
        <v>7.529089544037598</v>
      </c>
      <c r="E723" s="5">
        <v>7.5226706112725088</v>
      </c>
      <c r="F723" s="5">
        <v>1.5374840675403512E-2</v>
      </c>
      <c r="G723" s="5">
        <v>1.0490081791230565E-2</v>
      </c>
    </row>
    <row r="724" spans="1:7" x14ac:dyDescent="0.25">
      <c r="A724" s="12">
        <v>45209</v>
      </c>
      <c r="B724" s="13">
        <v>1860.4</v>
      </c>
      <c r="C724" s="13">
        <v>1861</v>
      </c>
      <c r="D724" s="5">
        <v>7.528546797349942</v>
      </c>
      <c r="E724" s="5">
        <v>7.5288692566422508</v>
      </c>
      <c r="F724" s="5">
        <v>-5.4274668765597056E-4</v>
      </c>
      <c r="G724" s="5">
        <v>6.1986453697420174E-3</v>
      </c>
    </row>
    <row r="725" spans="1:7" x14ac:dyDescent="0.25">
      <c r="A725" s="12">
        <v>45210</v>
      </c>
      <c r="B725" s="13">
        <v>1874.36</v>
      </c>
      <c r="C725" s="13">
        <v>1872.8</v>
      </c>
      <c r="D725" s="5">
        <v>7.5360225468036965</v>
      </c>
      <c r="E725" s="5">
        <v>7.5351899161767006</v>
      </c>
      <c r="F725" s="5">
        <v>7.4757494537545099E-3</v>
      </c>
      <c r="G725" s="5">
        <v>6.320659534449824E-3</v>
      </c>
    </row>
    <row r="726" spans="1:7" x14ac:dyDescent="0.25">
      <c r="A726" s="12">
        <v>45211</v>
      </c>
      <c r="B726" s="13">
        <v>1868.9</v>
      </c>
      <c r="C726" s="13">
        <v>1869.3</v>
      </c>
      <c r="D726" s="5">
        <v>7.5331053014762572</v>
      </c>
      <c r="E726" s="5">
        <v>7.5333193082182861</v>
      </c>
      <c r="F726" s="5">
        <v>-2.9172453274393106E-3</v>
      </c>
      <c r="G726" s="5">
        <v>-1.8706079584145385E-3</v>
      </c>
    </row>
    <row r="727" spans="1:7" x14ac:dyDescent="0.25">
      <c r="A727" s="12">
        <v>45212</v>
      </c>
      <c r="B727" s="13">
        <v>1932.82</v>
      </c>
      <c r="C727" s="13">
        <v>1927.4</v>
      </c>
      <c r="D727" s="5">
        <v>7.5667353553690777</v>
      </c>
      <c r="E727" s="5">
        <v>7.5639272234171875</v>
      </c>
      <c r="F727" s="5">
        <v>3.3630053892820477E-2</v>
      </c>
      <c r="G727" s="5">
        <v>3.0607915198901381E-2</v>
      </c>
    </row>
    <row r="728" spans="1:7" x14ac:dyDescent="0.25">
      <c r="A728" s="12">
        <v>45215</v>
      </c>
      <c r="B728" s="13">
        <v>1920.2</v>
      </c>
      <c r="C728" s="13">
        <v>1921.1</v>
      </c>
      <c r="D728" s="5">
        <v>7.5601846262635233</v>
      </c>
      <c r="E728" s="5">
        <v>7.560653217634397</v>
      </c>
      <c r="F728" s="5">
        <v>-6.5507291055544314E-3</v>
      </c>
      <c r="G728" s="5">
        <v>-3.2740057827904678E-3</v>
      </c>
    </row>
    <row r="729" spans="1:7" x14ac:dyDescent="0.25">
      <c r="A729" s="12">
        <v>45216</v>
      </c>
      <c r="B729" s="13">
        <v>1923.18</v>
      </c>
      <c r="C729" s="13">
        <v>1922.7</v>
      </c>
      <c r="D729" s="5">
        <v>7.5617353449523721</v>
      </c>
      <c r="E729" s="5">
        <v>7.5614857271782911</v>
      </c>
      <c r="F729" s="5">
        <v>1.5507186888488178E-3</v>
      </c>
      <c r="G729" s="5">
        <v>8.3250954389413323E-4</v>
      </c>
    </row>
    <row r="730" spans="1:7" x14ac:dyDescent="0.25">
      <c r="A730" s="12">
        <v>45217</v>
      </c>
      <c r="B730" s="13">
        <v>1947.55</v>
      </c>
      <c r="C730" s="13">
        <v>1955.3</v>
      </c>
      <c r="D730" s="5">
        <v>7.5743274513562833</v>
      </c>
      <c r="E730" s="5">
        <v>7.5782989133322287</v>
      </c>
      <c r="F730" s="5">
        <v>1.2592106403911174E-2</v>
      </c>
      <c r="G730" s="5">
        <v>1.6813186153937565E-2</v>
      </c>
    </row>
    <row r="731" spans="1:7" x14ac:dyDescent="0.25">
      <c r="A731" s="12">
        <v>45218</v>
      </c>
      <c r="B731" s="13">
        <v>1974.46</v>
      </c>
      <c r="C731" s="13">
        <v>1968.4</v>
      </c>
      <c r="D731" s="5">
        <v>7.5880502222282633</v>
      </c>
      <c r="E731" s="5">
        <v>7.5849763089918234</v>
      </c>
      <c r="F731" s="5">
        <v>1.3722770871980039E-2</v>
      </c>
      <c r="G731" s="5">
        <v>6.6773956595946871E-3</v>
      </c>
    </row>
    <row r="732" spans="1:7" x14ac:dyDescent="0.25">
      <c r="A732" s="12">
        <v>45219</v>
      </c>
      <c r="B732" s="13">
        <v>1981.4</v>
      </c>
      <c r="C732" s="13">
        <v>1982.5</v>
      </c>
      <c r="D732" s="5">
        <v>7.5915589445389298</v>
      </c>
      <c r="E732" s="5">
        <v>7.5921139535090028</v>
      </c>
      <c r="F732" s="5">
        <v>3.5087223106664567E-3</v>
      </c>
      <c r="G732" s="5">
        <v>7.1376445171793534E-3</v>
      </c>
    </row>
    <row r="733" spans="1:7" x14ac:dyDescent="0.25">
      <c r="A733" s="12">
        <v>45222</v>
      </c>
      <c r="B733" s="13">
        <v>1972.85</v>
      </c>
      <c r="C733" s="13">
        <v>1976.3</v>
      </c>
      <c r="D733" s="5">
        <v>7.5872344767766622</v>
      </c>
      <c r="E733" s="5">
        <v>7.5889816886463883</v>
      </c>
      <c r="F733" s="5">
        <v>-4.3244677622675809E-3</v>
      </c>
      <c r="G733" s="5">
        <v>-3.1322648626144201E-3</v>
      </c>
    </row>
    <row r="734" spans="1:7" x14ac:dyDescent="0.25">
      <c r="A734" s="12">
        <v>45223</v>
      </c>
      <c r="B734" s="13">
        <v>1970.97</v>
      </c>
      <c r="C734" s="13">
        <v>1975</v>
      </c>
      <c r="D734" s="5">
        <v>7.586281086336732</v>
      </c>
      <c r="E734" s="5">
        <v>7.5883236773352225</v>
      </c>
      <c r="F734" s="5">
        <v>-9.5339043993014627E-4</v>
      </c>
      <c r="G734" s="5">
        <v>-6.5801131116582923E-4</v>
      </c>
    </row>
    <row r="735" spans="1:7" x14ac:dyDescent="0.25">
      <c r="A735" s="12">
        <v>45224</v>
      </c>
      <c r="B735" s="13">
        <v>1979.72</v>
      </c>
      <c r="C735" s="13">
        <v>1984.1</v>
      </c>
      <c r="D735" s="5">
        <v>7.5907106995472446</v>
      </c>
      <c r="E735" s="5">
        <v>7.5929206898004242</v>
      </c>
      <c r="F735" s="5">
        <v>4.4296132105126063E-3</v>
      </c>
      <c r="G735" s="5">
        <v>4.5970124652017219E-3</v>
      </c>
    </row>
    <row r="736" spans="1:7" x14ac:dyDescent="0.25">
      <c r="A736" s="12">
        <v>45225</v>
      </c>
      <c r="B736" s="13">
        <v>1984.71</v>
      </c>
      <c r="C736" s="13">
        <v>1987.2</v>
      </c>
      <c r="D736" s="5">
        <v>7.5932280867303881</v>
      </c>
      <c r="E736" s="5">
        <v>7.5944818917391599</v>
      </c>
      <c r="F736" s="5">
        <v>2.5173871831434269E-3</v>
      </c>
      <c r="G736" s="5">
        <v>1.5612019387356568E-3</v>
      </c>
    </row>
    <row r="737" spans="1:7" x14ac:dyDescent="0.25">
      <c r="A737" s="12">
        <v>45226</v>
      </c>
      <c r="B737" s="13">
        <v>2006.37</v>
      </c>
      <c r="C737" s="13">
        <v>1988.6</v>
      </c>
      <c r="D737" s="5">
        <v>7.6040823981737065</v>
      </c>
      <c r="E737" s="5">
        <v>7.5951861525459732</v>
      </c>
      <c r="F737" s="5">
        <v>1.0854311443318387E-2</v>
      </c>
      <c r="G737" s="5">
        <v>7.0426080681329495E-4</v>
      </c>
    </row>
    <row r="738" spans="1:7" x14ac:dyDescent="0.25">
      <c r="A738" s="12">
        <v>45229</v>
      </c>
      <c r="B738" s="13">
        <v>1996.1</v>
      </c>
      <c r="C738" s="13">
        <v>2005.6</v>
      </c>
      <c r="D738" s="5">
        <v>7.5989505558168373</v>
      </c>
      <c r="E738" s="5">
        <v>7.6036985468440834</v>
      </c>
      <c r="F738" s="5">
        <v>-5.1318423568691429E-3</v>
      </c>
      <c r="G738" s="5">
        <v>8.5123942981102374E-3</v>
      </c>
    </row>
    <row r="739" spans="1:7" x14ac:dyDescent="0.25">
      <c r="A739" s="12">
        <v>45230</v>
      </c>
      <c r="B739" s="13">
        <v>1983.88</v>
      </c>
      <c r="C739" s="13">
        <v>1994.3</v>
      </c>
      <c r="D739" s="5">
        <v>7.5928098021446271</v>
      </c>
      <c r="E739" s="5">
        <v>7.5980483905591756</v>
      </c>
      <c r="F739" s="5">
        <v>-6.1407536722102307E-3</v>
      </c>
      <c r="G739" s="5">
        <v>-5.6501562849078368E-3</v>
      </c>
    </row>
    <row r="740" spans="1:7" x14ac:dyDescent="0.25">
      <c r="A740" s="12">
        <v>45231</v>
      </c>
      <c r="B740" s="13">
        <v>1982.53</v>
      </c>
      <c r="C740" s="13">
        <v>1987.5</v>
      </c>
      <c r="D740" s="5">
        <v>7.5921290858030845</v>
      </c>
      <c r="E740" s="5">
        <v>7.5946328465284871</v>
      </c>
      <c r="F740" s="5">
        <v>-6.8071634154254212E-4</v>
      </c>
      <c r="G740" s="5">
        <v>-3.4155440306884444E-3</v>
      </c>
    </row>
    <row r="741" spans="1:7" x14ac:dyDescent="0.25">
      <c r="A741" s="12">
        <v>45232</v>
      </c>
      <c r="B741" s="13">
        <v>1985.78</v>
      </c>
      <c r="C741" s="13">
        <v>1993.5</v>
      </c>
      <c r="D741" s="5">
        <v>7.5937670630410707</v>
      </c>
      <c r="E741" s="5">
        <v>7.5976471668214094</v>
      </c>
      <c r="F741" s="5">
        <v>1.637977237986199E-3</v>
      </c>
      <c r="G741" s="5">
        <v>3.0143202929222568E-3</v>
      </c>
    </row>
    <row r="742" spans="1:7" x14ac:dyDescent="0.25">
      <c r="A742" s="12">
        <v>45233</v>
      </c>
      <c r="B742" s="13">
        <v>1992.65</v>
      </c>
      <c r="C742" s="13">
        <v>1999.2</v>
      </c>
      <c r="D742" s="5">
        <v>7.5972206901394568</v>
      </c>
      <c r="E742" s="5">
        <v>7.6005023795207425</v>
      </c>
      <c r="F742" s="5">
        <v>3.4536270983860362E-3</v>
      </c>
      <c r="G742" s="5">
        <v>2.8552126993330873E-3</v>
      </c>
    </row>
    <row r="743" spans="1:7" x14ac:dyDescent="0.25">
      <c r="A743" s="12">
        <v>45236</v>
      </c>
      <c r="B743" s="13">
        <v>1978.14</v>
      </c>
      <c r="C743" s="13">
        <v>1988.6</v>
      </c>
      <c r="D743" s="5">
        <v>7.5899122882421795</v>
      </c>
      <c r="E743" s="5">
        <v>7.5951861525459732</v>
      </c>
      <c r="F743" s="5">
        <v>-7.3084018972773279E-3</v>
      </c>
      <c r="G743" s="5">
        <v>-5.3162269747693003E-3</v>
      </c>
    </row>
    <row r="744" spans="1:7" x14ac:dyDescent="0.25">
      <c r="A744" s="12">
        <v>45237</v>
      </c>
      <c r="B744" s="13">
        <v>1969.45</v>
      </c>
      <c r="C744" s="13">
        <v>1973.5</v>
      </c>
      <c r="D744" s="5">
        <v>7.5855095949346012</v>
      </c>
      <c r="E744" s="5">
        <v>7.5875638951029014</v>
      </c>
      <c r="F744" s="5">
        <v>-4.4026933075782537E-3</v>
      </c>
      <c r="G744" s="5">
        <v>-7.6222574430717671E-3</v>
      </c>
    </row>
    <row r="745" spans="1:7" x14ac:dyDescent="0.25">
      <c r="A745" s="12">
        <v>45238</v>
      </c>
      <c r="B745" s="13">
        <v>1950.2</v>
      </c>
      <c r="C745" s="13">
        <v>1957.8</v>
      </c>
      <c r="D745" s="5">
        <v>7.5756872104010187</v>
      </c>
      <c r="E745" s="5">
        <v>7.5795766728273302</v>
      </c>
      <c r="F745" s="5">
        <v>-9.8223845335825288E-3</v>
      </c>
      <c r="G745" s="5">
        <v>-7.9872222755712485E-3</v>
      </c>
    </row>
    <row r="746" spans="1:7" x14ac:dyDescent="0.25">
      <c r="A746" s="12">
        <v>45239</v>
      </c>
      <c r="B746" s="13">
        <v>1958.55</v>
      </c>
      <c r="C746" s="13">
        <v>1969.8</v>
      </c>
      <c r="D746" s="5">
        <v>7.5799596825221576</v>
      </c>
      <c r="E746" s="5">
        <v>7.5856872937356021</v>
      </c>
      <c r="F746" s="5">
        <v>4.2724721211389038E-3</v>
      </c>
      <c r="G746" s="5">
        <v>6.1106209082719687E-3</v>
      </c>
    </row>
    <row r="747" spans="1:7" x14ac:dyDescent="0.25">
      <c r="A747" s="12">
        <v>45240</v>
      </c>
      <c r="B747" s="13">
        <v>1940.2</v>
      </c>
      <c r="C747" s="13">
        <v>1937.7</v>
      </c>
      <c r="D747" s="5">
        <v>7.5705463395271835</v>
      </c>
      <c r="E747" s="5">
        <v>7.5692569817065367</v>
      </c>
      <c r="F747" s="5">
        <v>-9.4133429949740943E-3</v>
      </c>
      <c r="G747" s="5">
        <v>-1.6430312029065419E-2</v>
      </c>
    </row>
    <row r="748" spans="1:7" x14ac:dyDescent="0.25">
      <c r="A748" s="12">
        <v>45243</v>
      </c>
      <c r="B748" s="13">
        <v>1946.92</v>
      </c>
      <c r="C748" s="13">
        <v>1950.2</v>
      </c>
      <c r="D748" s="5">
        <v>7.5740039156733818</v>
      </c>
      <c r="E748" s="5">
        <v>7.5756872104010187</v>
      </c>
      <c r="F748" s="5">
        <v>3.457576146198349E-3</v>
      </c>
      <c r="G748" s="5">
        <v>6.4302286944819542E-3</v>
      </c>
    </row>
    <row r="749" spans="1:7" x14ac:dyDescent="0.25">
      <c r="A749" s="12">
        <v>45244</v>
      </c>
      <c r="B749" s="13">
        <v>1964.29</v>
      </c>
      <c r="C749" s="13">
        <v>1966.5</v>
      </c>
      <c r="D749" s="5">
        <v>7.5828861358552055</v>
      </c>
      <c r="E749" s="5">
        <v>7.5840105918718645</v>
      </c>
      <c r="F749" s="5">
        <v>8.882220181823719E-3</v>
      </c>
      <c r="G749" s="5">
        <v>8.3233814708458809E-3</v>
      </c>
    </row>
    <row r="750" spans="1:7" x14ac:dyDescent="0.25">
      <c r="A750" s="12">
        <v>45245</v>
      </c>
      <c r="B750" s="13">
        <v>1959.85</v>
      </c>
      <c r="C750" s="13">
        <v>1964.3</v>
      </c>
      <c r="D750" s="5">
        <v>7.5806232186837015</v>
      </c>
      <c r="E750" s="5">
        <v>7.5828912267402302</v>
      </c>
      <c r="F750" s="5">
        <v>-2.2629171715040641E-3</v>
      </c>
      <c r="G750" s="5">
        <v>-1.1193651316343534E-3</v>
      </c>
    </row>
    <row r="751" spans="1:7" x14ac:dyDescent="0.25">
      <c r="A751" s="12">
        <v>45246</v>
      </c>
      <c r="B751" s="13">
        <v>1980.9</v>
      </c>
      <c r="C751" s="13">
        <v>1987.3</v>
      </c>
      <c r="D751" s="5">
        <v>7.5913065658686358</v>
      </c>
      <c r="E751" s="5">
        <v>7.5945322125342392</v>
      </c>
      <c r="F751" s="5">
        <v>1.0683347184934355E-2</v>
      </c>
      <c r="G751" s="5">
        <v>1.1640985794008962E-2</v>
      </c>
    </row>
    <row r="752" spans="1:7" x14ac:dyDescent="0.25">
      <c r="A752" s="12">
        <v>45247</v>
      </c>
      <c r="B752" s="13">
        <v>1980.82</v>
      </c>
      <c r="C752" s="13">
        <v>1984.7</v>
      </c>
      <c r="D752" s="5">
        <v>7.5912661793698364</v>
      </c>
      <c r="E752" s="5">
        <v>7.5932230481982126</v>
      </c>
      <c r="F752" s="5">
        <v>-4.0386498799449555E-5</v>
      </c>
      <c r="G752" s="5">
        <v>-1.3091643360265692E-3</v>
      </c>
    </row>
    <row r="753" spans="1:7" x14ac:dyDescent="0.25">
      <c r="A753" s="12">
        <v>45250</v>
      </c>
      <c r="B753" s="13">
        <v>1978.07</v>
      </c>
      <c r="C753" s="13">
        <v>1980.3</v>
      </c>
      <c r="D753" s="5">
        <v>7.5898769008385747</v>
      </c>
      <c r="E753" s="5">
        <v>7.5910036273628352</v>
      </c>
      <c r="F753" s="5">
        <v>-1.3892785312616951E-3</v>
      </c>
      <c r="G753" s="5">
        <v>-2.2194208353774059E-3</v>
      </c>
    </row>
    <row r="754" spans="1:7" x14ac:dyDescent="0.25">
      <c r="A754" s="12">
        <v>45251</v>
      </c>
      <c r="B754" s="13">
        <v>1998.29</v>
      </c>
      <c r="C754" s="13">
        <v>2001.6</v>
      </c>
      <c r="D754" s="5">
        <v>7.6000470938211064</v>
      </c>
      <c r="E754" s="5">
        <v>7.6017021397126463</v>
      </c>
      <c r="F754" s="5">
        <v>1.0170192982531745E-2</v>
      </c>
      <c r="G754" s="5">
        <v>1.0698512349811118E-2</v>
      </c>
    </row>
    <row r="755" spans="1:7" x14ac:dyDescent="0.25">
      <c r="A755" s="12">
        <v>45252</v>
      </c>
      <c r="B755" s="13">
        <v>1990.17</v>
      </c>
      <c r="C755" s="13">
        <v>1992.8</v>
      </c>
      <c r="D755" s="5">
        <v>7.5959753412055262</v>
      </c>
      <c r="E755" s="5">
        <v>7.5972959639479702</v>
      </c>
      <c r="F755" s="5">
        <v>-4.0717526155802375E-3</v>
      </c>
      <c r="G755" s="5">
        <v>-4.4061757646760569E-3</v>
      </c>
    </row>
    <row r="756" spans="1:7" x14ac:dyDescent="0.25">
      <c r="A756" s="12">
        <v>45253</v>
      </c>
      <c r="B756" s="13">
        <v>1992.25</v>
      </c>
      <c r="C756" s="13">
        <v>1992.8</v>
      </c>
      <c r="D756" s="5">
        <v>7.5970199322778571</v>
      </c>
      <c r="E756" s="5">
        <v>7.5972959639479702</v>
      </c>
      <c r="F756" s="5">
        <v>1.0445910723309026E-3</v>
      </c>
      <c r="G756" s="5">
        <v>0</v>
      </c>
    </row>
    <row r="757" spans="1:7" x14ac:dyDescent="0.25">
      <c r="A757" s="12">
        <v>45254</v>
      </c>
      <c r="B757" s="13">
        <v>2000.82</v>
      </c>
      <c r="C757" s="13">
        <v>2003</v>
      </c>
      <c r="D757" s="5">
        <v>7.6013123755150493</v>
      </c>
      <c r="E757" s="5">
        <v>7.6024013356658182</v>
      </c>
      <c r="F757" s="5">
        <v>4.292443237192245E-3</v>
      </c>
      <c r="G757" s="5">
        <v>5.1053717178479729E-3</v>
      </c>
    </row>
    <row r="758" spans="1:7" x14ac:dyDescent="0.25">
      <c r="A758" s="12">
        <v>45257</v>
      </c>
      <c r="B758" s="13">
        <v>2014.13</v>
      </c>
      <c r="C758" s="13">
        <v>2012.4</v>
      </c>
      <c r="D758" s="5">
        <v>7.6079426193582247</v>
      </c>
      <c r="E758" s="5">
        <v>7.6070833186171631</v>
      </c>
      <c r="F758" s="5">
        <v>6.630243843175343E-3</v>
      </c>
      <c r="G758" s="5">
        <v>4.6819829513449207E-3</v>
      </c>
    </row>
    <row r="759" spans="1:7" x14ac:dyDescent="0.25">
      <c r="A759" s="12">
        <v>45258</v>
      </c>
      <c r="B759" s="13">
        <v>2040.97</v>
      </c>
      <c r="C759" s="13">
        <v>2040</v>
      </c>
      <c r="D759" s="5">
        <v>7.6211804640246994</v>
      </c>
      <c r="E759" s="5">
        <v>7.620705086838262</v>
      </c>
      <c r="F759" s="5">
        <v>1.3237844666474707E-2</v>
      </c>
      <c r="G759" s="5">
        <v>1.362176822109884E-2</v>
      </c>
    </row>
    <row r="760" spans="1:7" x14ac:dyDescent="0.25">
      <c r="A760" s="12">
        <v>45259</v>
      </c>
      <c r="B760" s="13">
        <v>2044.24</v>
      </c>
      <c r="C760" s="13">
        <v>2047.1</v>
      </c>
      <c r="D760" s="5">
        <v>7.6227813612605244</v>
      </c>
      <c r="E760" s="5">
        <v>7.6241794364465756</v>
      </c>
      <c r="F760" s="5">
        <v>1.6008972358250162E-3</v>
      </c>
      <c r="G760" s="5">
        <v>3.4743496083136094E-3</v>
      </c>
    </row>
    <row r="761" spans="1:7" x14ac:dyDescent="0.25">
      <c r="A761" s="12">
        <v>45260</v>
      </c>
      <c r="B761" s="13">
        <v>2036.41</v>
      </c>
      <c r="C761" s="13">
        <v>2038.1</v>
      </c>
      <c r="D761" s="5">
        <v>7.6189437326427196</v>
      </c>
      <c r="E761" s="5">
        <v>7.6197732802923337</v>
      </c>
      <c r="F761" s="5">
        <v>-3.8376286178047891E-3</v>
      </c>
      <c r="G761" s="5">
        <v>-4.4061561542418914E-3</v>
      </c>
    </row>
    <row r="762" spans="1:7" x14ac:dyDescent="0.25">
      <c r="A762" s="12">
        <v>45261</v>
      </c>
      <c r="B762" s="13">
        <v>2072.2199999999998</v>
      </c>
      <c r="C762" s="13">
        <v>2071</v>
      </c>
      <c r="D762" s="5">
        <v>7.6363757753491077</v>
      </c>
      <c r="E762" s="5">
        <v>7.6357868613955846</v>
      </c>
      <c r="F762" s="5">
        <v>1.7432042706388096E-2</v>
      </c>
      <c r="G762" s="5">
        <v>1.6013581103250907E-2</v>
      </c>
    </row>
    <row r="763" spans="1:7" x14ac:dyDescent="0.25">
      <c r="A763" s="12">
        <v>45264</v>
      </c>
      <c r="B763" s="13">
        <v>2029.42</v>
      </c>
      <c r="C763" s="13">
        <v>2024.1</v>
      </c>
      <c r="D763" s="5">
        <v>7.6155053169260158</v>
      </c>
      <c r="E763" s="5">
        <v>7.6128804363014897</v>
      </c>
      <c r="F763" s="5">
        <v>-2.0870458423091875E-2</v>
      </c>
      <c r="G763" s="5">
        <v>-2.2906425094094907E-2</v>
      </c>
    </row>
    <row r="764" spans="1:7" x14ac:dyDescent="0.25">
      <c r="A764" s="12">
        <v>45265</v>
      </c>
      <c r="B764" s="13">
        <v>2019.36</v>
      </c>
      <c r="C764" s="13">
        <v>2018.5</v>
      </c>
      <c r="D764" s="5">
        <v>7.6105359085103208</v>
      </c>
      <c r="E764" s="5">
        <v>7.6101099402929959</v>
      </c>
      <c r="F764" s="5">
        <v>-4.9694084156950424E-3</v>
      </c>
      <c r="G764" s="5">
        <v>-2.7704960084937724E-3</v>
      </c>
    </row>
    <row r="765" spans="1:7" x14ac:dyDescent="0.25">
      <c r="A765" s="12">
        <v>45266</v>
      </c>
      <c r="B765" s="13">
        <v>2025.55</v>
      </c>
      <c r="C765" s="13">
        <v>2030.5</v>
      </c>
      <c r="D765" s="5">
        <v>7.6135965476009675</v>
      </c>
      <c r="E765" s="5">
        <v>7.6160373471263521</v>
      </c>
      <c r="F765" s="5">
        <v>3.0606390906466885E-3</v>
      </c>
      <c r="G765" s="5">
        <v>5.9274068333561303E-3</v>
      </c>
    </row>
    <row r="766" spans="1:7" x14ac:dyDescent="0.25">
      <c r="A766" s="12">
        <v>45267</v>
      </c>
      <c r="B766" s="13">
        <v>2028.47</v>
      </c>
      <c r="C766" s="13">
        <v>2029.9</v>
      </c>
      <c r="D766" s="5">
        <v>7.6150370932839975</v>
      </c>
      <c r="E766" s="5">
        <v>7.6157418097387222</v>
      </c>
      <c r="F766" s="5">
        <v>1.4405456830299812E-3</v>
      </c>
      <c r="G766" s="5">
        <v>-2.9553738762988502E-4</v>
      </c>
    </row>
    <row r="767" spans="1:7" x14ac:dyDescent="0.25">
      <c r="A767" s="12">
        <v>45268</v>
      </c>
      <c r="B767" s="13">
        <v>2004.67</v>
      </c>
      <c r="C767" s="13">
        <v>1998.3</v>
      </c>
      <c r="D767" s="5">
        <v>7.6032347376658134</v>
      </c>
      <c r="E767" s="5">
        <v>7.600052098087243</v>
      </c>
      <c r="F767" s="5">
        <v>-1.1802355618184102E-2</v>
      </c>
      <c r="G767" s="5">
        <v>-1.5689711651479143E-2</v>
      </c>
    </row>
    <row r="768" spans="1:7" x14ac:dyDescent="0.25">
      <c r="A768" s="12">
        <v>45271</v>
      </c>
      <c r="B768" s="13">
        <v>1981.95</v>
      </c>
      <c r="C768" s="13">
        <v>1978</v>
      </c>
      <c r="D768" s="5">
        <v>7.5918364875283357</v>
      </c>
      <c r="E768" s="5">
        <v>7.589841512182657</v>
      </c>
      <c r="F768" s="5">
        <v>-1.1398250137477639E-2</v>
      </c>
      <c r="G768" s="5">
        <v>-1.0210585904586011E-2</v>
      </c>
    </row>
    <row r="769" spans="1:7" x14ac:dyDescent="0.25">
      <c r="A769" s="12">
        <v>45272</v>
      </c>
      <c r="B769" s="13">
        <v>1979.54</v>
      </c>
      <c r="C769" s="13">
        <v>1977.8</v>
      </c>
      <c r="D769" s="5">
        <v>7.5906197734650354</v>
      </c>
      <c r="E769" s="5">
        <v>7.5897403948358901</v>
      </c>
      <c r="F769" s="5">
        <v>-1.2167140633003726E-3</v>
      </c>
      <c r="G769" s="5">
        <v>-1.0111734676687689E-4</v>
      </c>
    </row>
    <row r="770" spans="1:7" x14ac:dyDescent="0.25">
      <c r="A770" s="12">
        <v>45273</v>
      </c>
      <c r="B770" s="13">
        <v>2027.74</v>
      </c>
      <c r="C770" s="13">
        <v>1982.3</v>
      </c>
      <c r="D770" s="5">
        <v>7.6146771513638889</v>
      </c>
      <c r="E770" s="5">
        <v>7.5920130656961655</v>
      </c>
      <c r="F770" s="5">
        <v>2.4057377898853538E-2</v>
      </c>
      <c r="G770" s="5">
        <v>2.2726708602753831E-3</v>
      </c>
    </row>
    <row r="771" spans="1:7" x14ac:dyDescent="0.25">
      <c r="A771" s="12">
        <v>45274</v>
      </c>
      <c r="B771" s="13">
        <v>2036.36</v>
      </c>
      <c r="C771" s="13">
        <v>2030.2</v>
      </c>
      <c r="D771" s="5">
        <v>7.6189191793288806</v>
      </c>
      <c r="E771" s="5">
        <v>7.6158895893503304</v>
      </c>
      <c r="F771" s="5">
        <v>4.2420279649917347E-3</v>
      </c>
      <c r="G771" s="5">
        <v>2.3876523654164927E-2</v>
      </c>
    </row>
    <row r="772" spans="1:7" x14ac:dyDescent="0.25">
      <c r="A772" s="12">
        <v>45275</v>
      </c>
      <c r="B772" s="13">
        <v>2019.62</v>
      </c>
      <c r="C772" s="13">
        <v>2021.1</v>
      </c>
      <c r="D772" s="5">
        <v>7.6106646538868059</v>
      </c>
      <c r="E772" s="5">
        <v>7.6113971966347238</v>
      </c>
      <c r="F772" s="5">
        <v>-8.2545254420747227E-3</v>
      </c>
      <c r="G772" s="5">
        <v>-4.4923927156066412E-3</v>
      </c>
    </row>
    <row r="773" spans="1:7" x14ac:dyDescent="0.25">
      <c r="A773" s="12">
        <v>45278</v>
      </c>
      <c r="B773" s="13">
        <v>2027.19</v>
      </c>
      <c r="C773" s="13">
        <v>2026.3</v>
      </c>
      <c r="D773" s="5">
        <v>7.6144058766423166</v>
      </c>
      <c r="E773" s="5">
        <v>7.6139667488712837</v>
      </c>
      <c r="F773" s="5">
        <v>3.7412227555106981E-3</v>
      </c>
      <c r="G773" s="5">
        <v>2.5695522365598578E-3</v>
      </c>
    </row>
    <row r="774" spans="1:7" x14ac:dyDescent="0.25">
      <c r="A774" s="12">
        <v>45279</v>
      </c>
      <c r="B774" s="13">
        <v>2040.35</v>
      </c>
      <c r="C774" s="13">
        <v>2038.4</v>
      </c>
      <c r="D774" s="5">
        <v>7.6208766407494997</v>
      </c>
      <c r="E774" s="5">
        <v>7.6199204653778443</v>
      </c>
      <c r="F774" s="5">
        <v>6.4707641071830579E-3</v>
      </c>
      <c r="G774" s="5">
        <v>5.9537165065606246E-3</v>
      </c>
    </row>
    <row r="775" spans="1:7" x14ac:dyDescent="0.25">
      <c r="A775" s="12">
        <v>45280</v>
      </c>
      <c r="B775" s="13">
        <v>2031.39</v>
      </c>
      <c r="C775" s="13">
        <v>2034.5</v>
      </c>
      <c r="D775" s="5">
        <v>7.6164755667798847</v>
      </c>
      <c r="E775" s="5">
        <v>7.6180053674417447</v>
      </c>
      <c r="F775" s="5">
        <v>-4.401073969614977E-3</v>
      </c>
      <c r="G775" s="5">
        <v>-1.9150979360995635E-3</v>
      </c>
    </row>
    <row r="776" spans="1:7" x14ac:dyDescent="0.25">
      <c r="A776" s="12">
        <v>45281</v>
      </c>
      <c r="B776" s="13">
        <v>2045.95</v>
      </c>
      <c r="C776" s="13">
        <v>2039.1</v>
      </c>
      <c r="D776" s="5">
        <v>7.6236175082852968</v>
      </c>
      <c r="E776" s="5">
        <v>7.6202638130207019</v>
      </c>
      <c r="F776" s="5">
        <v>7.1419415054121416E-3</v>
      </c>
      <c r="G776" s="5">
        <v>2.2584455789571578E-3</v>
      </c>
    </row>
    <row r="777" spans="1:7" x14ac:dyDescent="0.25">
      <c r="A777" s="12">
        <v>45282</v>
      </c>
      <c r="B777" s="13">
        <v>2053.08</v>
      </c>
      <c r="C777" s="13">
        <v>2057.1</v>
      </c>
      <c r="D777" s="5">
        <v>7.6270963836245578</v>
      </c>
      <c r="E777" s="5">
        <v>7.6290525029584284</v>
      </c>
      <c r="F777" s="5">
        <v>3.4788753392609451E-3</v>
      </c>
      <c r="G777" s="5">
        <v>8.7886899377265237E-3</v>
      </c>
    </row>
    <row r="778" spans="1:7" x14ac:dyDescent="0.25">
      <c r="A778" s="12">
        <v>45285</v>
      </c>
      <c r="B778" s="13">
        <v>2053.08</v>
      </c>
      <c r="C778" s="13">
        <v>2057.1</v>
      </c>
      <c r="D778" s="5">
        <v>7.6270963836245578</v>
      </c>
      <c r="E778" s="5">
        <v>7.6290525029584284</v>
      </c>
      <c r="F778" s="5">
        <v>0</v>
      </c>
      <c r="G778" s="5">
        <v>0</v>
      </c>
    </row>
    <row r="779" spans="1:7" x14ac:dyDescent="0.25">
      <c r="A779" s="12">
        <v>45286</v>
      </c>
      <c r="B779" s="13">
        <v>2067.81</v>
      </c>
      <c r="C779" s="13">
        <v>2058.1999999999998</v>
      </c>
      <c r="D779" s="5">
        <v>7.6342453551985452</v>
      </c>
      <c r="E779" s="5">
        <v>7.6295870934019909</v>
      </c>
      <c r="F779" s="5">
        <v>7.1489715739874171E-3</v>
      </c>
      <c r="G779" s="5">
        <v>5.345904435625215E-4</v>
      </c>
    </row>
    <row r="780" spans="1:7" x14ac:dyDescent="0.25">
      <c r="A780" s="12">
        <v>45287</v>
      </c>
      <c r="B780" s="13">
        <v>2077.4899999999998</v>
      </c>
      <c r="C780" s="13">
        <v>2081.9</v>
      </c>
      <c r="D780" s="5">
        <v>7.638915713240281</v>
      </c>
      <c r="E780" s="5">
        <v>7.6410362172817283</v>
      </c>
      <c r="F780" s="5">
        <v>4.6703580417357671E-3</v>
      </c>
      <c r="G780" s="5">
        <v>1.14491238797374E-2</v>
      </c>
    </row>
    <row r="781" spans="1:7" x14ac:dyDescent="0.25">
      <c r="A781" s="12">
        <v>45288</v>
      </c>
      <c r="B781" s="13">
        <v>2065.61</v>
      </c>
      <c r="C781" s="13">
        <v>2083.5</v>
      </c>
      <c r="D781" s="5">
        <v>7.6331808612890253</v>
      </c>
      <c r="E781" s="5">
        <v>7.6418044508625078</v>
      </c>
      <c r="F781" s="5">
        <v>-5.7348519512556706E-3</v>
      </c>
      <c r="G781" s="5">
        <v>7.6823358077948711E-4</v>
      </c>
    </row>
    <row r="782" spans="1:7" x14ac:dyDescent="0.25">
      <c r="A782" s="12">
        <v>45289</v>
      </c>
      <c r="B782" s="13">
        <v>2062.98</v>
      </c>
      <c r="C782" s="13">
        <v>2071.8000000000002</v>
      </c>
      <c r="D782" s="5">
        <v>7.6319068184047723</v>
      </c>
      <c r="E782" s="5">
        <v>7.6361730736240014</v>
      </c>
      <c r="F782" s="5">
        <v>-1.2740428842530349E-3</v>
      </c>
      <c r="G782" s="5">
        <v>-5.6313772385063743E-3</v>
      </c>
    </row>
    <row r="783" spans="1:7" x14ac:dyDescent="0.25">
      <c r="A783" s="12">
        <v>45292</v>
      </c>
      <c r="B783" s="13">
        <v>2062.98</v>
      </c>
      <c r="C783" s="13">
        <v>2071.8000000000002</v>
      </c>
      <c r="D783" s="5">
        <v>7.6319068184047723</v>
      </c>
      <c r="E783" s="5">
        <v>7.6361730736240014</v>
      </c>
      <c r="F783" s="5">
        <v>0</v>
      </c>
      <c r="G783" s="5">
        <v>0</v>
      </c>
    </row>
    <row r="784" spans="1:7" x14ac:dyDescent="0.25">
      <c r="A784" s="12">
        <v>45293</v>
      </c>
      <c r="B784" s="13">
        <v>2058.96</v>
      </c>
      <c r="C784" s="13">
        <v>2073.4</v>
      </c>
      <c r="D784" s="5">
        <v>7.6299562799328191</v>
      </c>
      <c r="E784" s="5">
        <v>7.636945050889012</v>
      </c>
      <c r="F784" s="5">
        <v>-1.9505384719531449E-3</v>
      </c>
      <c r="G784" s="5">
        <v>7.7197726501054831E-4</v>
      </c>
    </row>
    <row r="785" spans="1:7" x14ac:dyDescent="0.25">
      <c r="A785" s="12">
        <v>45294</v>
      </c>
      <c r="B785" s="13">
        <v>2041.49</v>
      </c>
      <c r="C785" s="13">
        <v>2042.8</v>
      </c>
      <c r="D785" s="5">
        <v>7.621435212388584</v>
      </c>
      <c r="E785" s="5">
        <v>7.6220766947734893</v>
      </c>
      <c r="F785" s="5">
        <v>-8.5210675442350947E-3</v>
      </c>
      <c r="G785" s="5">
        <v>-1.486835611552273E-2</v>
      </c>
    </row>
    <row r="786" spans="1:7" x14ac:dyDescent="0.25">
      <c r="A786" s="12">
        <v>45295</v>
      </c>
      <c r="B786" s="13">
        <v>2043.65</v>
      </c>
      <c r="C786" s="13">
        <v>2050</v>
      </c>
      <c r="D786" s="5">
        <v>7.62249270378486</v>
      </c>
      <c r="E786" s="5">
        <v>7.6255950721324535</v>
      </c>
      <c r="F786" s="5">
        <v>1.057491396275978E-3</v>
      </c>
      <c r="G786" s="5">
        <v>3.5183773589642087E-3</v>
      </c>
    </row>
    <row r="787" spans="1:7" x14ac:dyDescent="0.25">
      <c r="A787" s="12">
        <v>45296</v>
      </c>
      <c r="B787" s="13">
        <v>2045.45</v>
      </c>
      <c r="C787" s="13">
        <v>2049.8000000000002</v>
      </c>
      <c r="D787" s="5">
        <v>7.6233730931694499</v>
      </c>
      <c r="E787" s="5">
        <v>7.6254975063974628</v>
      </c>
      <c r="F787" s="5">
        <v>8.8038938458989691E-4</v>
      </c>
      <c r="G787" s="5">
        <v>-9.7565734990645581E-5</v>
      </c>
    </row>
    <row r="788" spans="1:7" x14ac:dyDescent="0.25">
      <c r="A788" s="12">
        <v>45299</v>
      </c>
      <c r="B788" s="13">
        <v>2028.07</v>
      </c>
      <c r="C788" s="13">
        <v>2033.5</v>
      </c>
      <c r="D788" s="5">
        <v>7.6148398808806697</v>
      </c>
      <c r="E788" s="5">
        <v>7.6175137253472789</v>
      </c>
      <c r="F788" s="5">
        <v>-8.5332122887802342E-3</v>
      </c>
      <c r="G788" s="5">
        <v>-7.9837810501839357E-3</v>
      </c>
    </row>
    <row r="789" spans="1:7" x14ac:dyDescent="0.25">
      <c r="A789" s="12">
        <v>45300</v>
      </c>
      <c r="B789" s="13">
        <v>2030.2</v>
      </c>
      <c r="C789" s="13">
        <v>2033</v>
      </c>
      <c r="D789" s="5">
        <v>7.6158895893503304</v>
      </c>
      <c r="E789" s="5">
        <v>7.6172678136283469</v>
      </c>
      <c r="F789" s="5">
        <v>1.0497084696607928E-3</v>
      </c>
      <c r="G789" s="5">
        <v>-2.4591171893195707E-4</v>
      </c>
    </row>
    <row r="790" spans="1:7" x14ac:dyDescent="0.25">
      <c r="A790" s="12">
        <v>45301</v>
      </c>
      <c r="B790" s="13">
        <v>2024.41</v>
      </c>
      <c r="C790" s="13">
        <v>2027.8</v>
      </c>
      <c r="D790" s="5">
        <v>7.6130335790629529</v>
      </c>
      <c r="E790" s="5">
        <v>7.6147067405184794</v>
      </c>
      <c r="F790" s="5">
        <v>-2.8560102873775861E-3</v>
      </c>
      <c r="G790" s="5">
        <v>-2.5610731098675288E-3</v>
      </c>
    </row>
    <row r="791" spans="1:7" x14ac:dyDescent="0.25">
      <c r="A791" s="12">
        <v>45302</v>
      </c>
      <c r="B791" s="13">
        <v>2028.91</v>
      </c>
      <c r="C791" s="13">
        <v>2019.2</v>
      </c>
      <c r="D791" s="5">
        <v>7.6152539820159992</v>
      </c>
      <c r="E791" s="5">
        <v>7.6104566723468938</v>
      </c>
      <c r="F791" s="5">
        <v>2.2204029530463743E-3</v>
      </c>
      <c r="G791" s="5">
        <v>-4.2500681715855748E-3</v>
      </c>
    </row>
    <row r="792" spans="1:7" x14ac:dyDescent="0.25">
      <c r="A792" s="12">
        <v>45303</v>
      </c>
      <c r="B792" s="13">
        <v>2049.06</v>
      </c>
      <c r="C792" s="13">
        <v>2051.6</v>
      </c>
      <c r="D792" s="5">
        <v>7.6251364303870401</v>
      </c>
      <c r="E792" s="5">
        <v>7.6263752555151134</v>
      </c>
      <c r="F792" s="5">
        <v>9.8824483710409083E-3</v>
      </c>
      <c r="G792" s="5">
        <v>1.5918583168219591E-2</v>
      </c>
    </row>
    <row r="793" spans="1:7" x14ac:dyDescent="0.25">
      <c r="A793" s="12">
        <v>45306</v>
      </c>
      <c r="B793" s="13">
        <v>2056.5500000000002</v>
      </c>
      <c r="C793" s="13">
        <v>2051.6</v>
      </c>
      <c r="D793" s="5">
        <v>7.6287851005283347</v>
      </c>
      <c r="E793" s="5">
        <v>7.6263752555151134</v>
      </c>
      <c r="F793" s="5">
        <v>3.6486701412945521E-3</v>
      </c>
      <c r="G793" s="5">
        <v>0</v>
      </c>
    </row>
    <row r="794" spans="1:7" x14ac:dyDescent="0.25">
      <c r="A794" s="12">
        <v>45307</v>
      </c>
      <c r="B794" s="13">
        <v>2028.44</v>
      </c>
      <c r="C794" s="13">
        <v>2030.2</v>
      </c>
      <c r="D794" s="5">
        <v>7.615022303702764</v>
      </c>
      <c r="E794" s="5">
        <v>7.6158895893503304</v>
      </c>
      <c r="F794" s="5">
        <v>-1.3762796825570689E-2</v>
      </c>
      <c r="G794" s="5">
        <v>-1.048566616478297E-2</v>
      </c>
    </row>
    <row r="795" spans="1:7" x14ac:dyDescent="0.25">
      <c r="A795" s="12">
        <v>45308</v>
      </c>
      <c r="B795" s="13">
        <v>2006.25</v>
      </c>
      <c r="C795" s="13">
        <v>2006.5</v>
      </c>
      <c r="D795" s="5">
        <v>7.604022586878326</v>
      </c>
      <c r="E795" s="5">
        <v>7.6041471897069712</v>
      </c>
      <c r="F795" s="5">
        <v>-1.0999716824438011E-2</v>
      </c>
      <c r="G795" s="5">
        <v>-1.1742399643359214E-2</v>
      </c>
    </row>
    <row r="796" spans="1:7" x14ac:dyDescent="0.25">
      <c r="A796" s="12">
        <v>45309</v>
      </c>
      <c r="B796" s="13">
        <v>2023.34</v>
      </c>
      <c r="C796" s="13">
        <v>2021.6</v>
      </c>
      <c r="D796" s="5">
        <v>7.6125048902729224</v>
      </c>
      <c r="E796" s="5">
        <v>7.6116445560739843</v>
      </c>
      <c r="F796" s="5">
        <v>8.4823033945964355E-3</v>
      </c>
      <c r="G796" s="5">
        <v>7.4973663670130364E-3</v>
      </c>
    </row>
    <row r="797" spans="1:7" x14ac:dyDescent="0.25">
      <c r="A797" s="12">
        <v>45310</v>
      </c>
      <c r="B797" s="13">
        <v>2029.49</v>
      </c>
      <c r="C797" s="13">
        <v>2029.3</v>
      </c>
      <c r="D797" s="5">
        <v>7.6155398089448125</v>
      </c>
      <c r="E797" s="5">
        <v>7.6154461849829227</v>
      </c>
      <c r="F797" s="5">
        <v>3.0349186718900967E-3</v>
      </c>
      <c r="G797" s="5">
        <v>3.8016289089384259E-3</v>
      </c>
    </row>
    <row r="798" spans="1:7" x14ac:dyDescent="0.25">
      <c r="A798" s="12">
        <v>45313</v>
      </c>
      <c r="B798" s="13">
        <v>2021.7</v>
      </c>
      <c r="C798" s="13">
        <v>2022.2</v>
      </c>
      <c r="D798" s="5">
        <v>7.6116940206202814</v>
      </c>
      <c r="E798" s="5">
        <v>7.6119413066572985</v>
      </c>
      <c r="F798" s="5">
        <v>-3.8457883245310853E-3</v>
      </c>
      <c r="G798" s="5">
        <v>-3.5048783256241833E-3</v>
      </c>
    </row>
    <row r="799" spans="1:7" x14ac:dyDescent="0.25">
      <c r="A799" s="12">
        <v>45314</v>
      </c>
      <c r="B799" s="13">
        <v>2029.28</v>
      </c>
      <c r="C799" s="13">
        <v>2025.8</v>
      </c>
      <c r="D799" s="5">
        <v>7.6154363293191194</v>
      </c>
      <c r="E799" s="5">
        <v>7.6137199632526968</v>
      </c>
      <c r="F799" s="5">
        <v>3.7423086988379595E-3</v>
      </c>
      <c r="G799" s="5">
        <v>1.7786565953983313E-3</v>
      </c>
    </row>
    <row r="800" spans="1:7" x14ac:dyDescent="0.25">
      <c r="A800" s="12">
        <v>45315</v>
      </c>
      <c r="B800" s="13">
        <v>2013.89</v>
      </c>
      <c r="C800" s="13">
        <v>2016</v>
      </c>
      <c r="D800" s="5">
        <v>7.6078234541106422</v>
      </c>
      <c r="E800" s="5">
        <v>7.6088706291912596</v>
      </c>
      <c r="F800" s="5">
        <v>-7.6128752084771989E-3</v>
      </c>
      <c r="G800" s="5">
        <v>-4.8493340614372826E-3</v>
      </c>
    </row>
    <row r="801" spans="1:7" x14ac:dyDescent="0.25">
      <c r="A801" s="12">
        <v>45316</v>
      </c>
      <c r="B801" s="13">
        <v>2020.84</v>
      </c>
      <c r="C801" s="13">
        <v>2017.8</v>
      </c>
      <c r="D801" s="5">
        <v>7.6112685455412592</v>
      </c>
      <c r="E801" s="5">
        <v>7.6097630879742786</v>
      </c>
      <c r="F801" s="5">
        <v>3.4450914306169977E-3</v>
      </c>
      <c r="G801" s="5">
        <v>8.9245878301902337E-4</v>
      </c>
    </row>
    <row r="802" spans="1:7" x14ac:dyDescent="0.25">
      <c r="A802" s="12">
        <v>45317</v>
      </c>
      <c r="B802" s="13">
        <v>2018.52</v>
      </c>
      <c r="C802" s="13">
        <v>2017.3</v>
      </c>
      <c r="D802" s="5">
        <v>7.6101198485916912</v>
      </c>
      <c r="E802" s="5">
        <v>7.6095152626403051</v>
      </c>
      <c r="F802" s="5">
        <v>-1.1486969495679844E-3</v>
      </c>
      <c r="G802" s="5">
        <v>-2.4782533397349482E-4</v>
      </c>
    </row>
    <row r="803" spans="1:7" x14ac:dyDescent="0.25">
      <c r="A803" s="12">
        <v>45320</v>
      </c>
      <c r="B803" s="13">
        <v>2033.23</v>
      </c>
      <c r="C803" s="13">
        <v>2025.4</v>
      </c>
      <c r="D803" s="5">
        <v>7.6173809405297987</v>
      </c>
      <c r="E803" s="5">
        <v>7.6135224908981849</v>
      </c>
      <c r="F803" s="5">
        <v>7.2610919381075334E-3</v>
      </c>
      <c r="G803" s="5">
        <v>4.0072282578798024E-3</v>
      </c>
    </row>
    <row r="804" spans="1:7" x14ac:dyDescent="0.25">
      <c r="A804" s="12">
        <v>45321</v>
      </c>
      <c r="B804" s="13">
        <v>2037.01</v>
      </c>
      <c r="C804" s="13">
        <v>2031.5</v>
      </c>
      <c r="D804" s="5">
        <v>7.6192383253949227</v>
      </c>
      <c r="E804" s="5">
        <v>7.6165297154277818</v>
      </c>
      <c r="F804" s="5">
        <v>1.8573848651239899E-3</v>
      </c>
      <c r="G804" s="5">
        <v>3.0072245295968969E-3</v>
      </c>
    </row>
    <row r="805" spans="1:7" x14ac:dyDescent="0.25">
      <c r="A805" s="12">
        <v>45322</v>
      </c>
      <c r="B805" s="13">
        <v>2039.52</v>
      </c>
      <c r="C805" s="13">
        <v>2048.4</v>
      </c>
      <c r="D805" s="5">
        <v>7.6204697650346107</v>
      </c>
      <c r="E805" s="5">
        <v>7.6248142795883949</v>
      </c>
      <c r="F805" s="5">
        <v>1.2314396396879701E-3</v>
      </c>
      <c r="G805" s="5">
        <v>8.2845641606130727E-3</v>
      </c>
    </row>
    <row r="806" spans="1:7" x14ac:dyDescent="0.25">
      <c r="A806" s="12">
        <v>45323</v>
      </c>
      <c r="B806" s="13">
        <v>2054.9899999999998</v>
      </c>
      <c r="C806" s="13">
        <v>2053</v>
      </c>
      <c r="D806" s="5">
        <v>7.6280262607384461</v>
      </c>
      <c r="E806" s="5">
        <v>7.6270574170189338</v>
      </c>
      <c r="F806" s="5">
        <v>7.5564957038354308E-3</v>
      </c>
      <c r="G806" s="5">
        <v>2.243137430538944E-3</v>
      </c>
    </row>
    <row r="807" spans="1:7" x14ac:dyDescent="0.25">
      <c r="A807" s="12">
        <v>45324</v>
      </c>
      <c r="B807" s="13">
        <v>2039.76</v>
      </c>
      <c r="C807" s="13">
        <v>2036.1</v>
      </c>
      <c r="D807" s="5">
        <v>7.6205874328584802</v>
      </c>
      <c r="E807" s="5">
        <v>7.6187914923778219</v>
      </c>
      <c r="F807" s="5">
        <v>-7.4388278799659702E-3</v>
      </c>
      <c r="G807" s="5">
        <v>-8.2659246411118659E-3</v>
      </c>
    </row>
    <row r="808" spans="1:7" x14ac:dyDescent="0.25">
      <c r="A808" s="12">
        <v>45327</v>
      </c>
      <c r="B808" s="13">
        <v>2025.11</v>
      </c>
      <c r="C808" s="13">
        <v>2025.7</v>
      </c>
      <c r="D808" s="5">
        <v>7.6133792990529621</v>
      </c>
      <c r="E808" s="5">
        <v>7.6136705988197608</v>
      </c>
      <c r="F808" s="5">
        <v>-7.2081338055181021E-3</v>
      </c>
      <c r="G808" s="5">
        <v>-5.1208935580611126E-3</v>
      </c>
    </row>
    <row r="809" spans="1:7" x14ac:dyDescent="0.25">
      <c r="A809" s="12">
        <v>45328</v>
      </c>
      <c r="B809" s="13">
        <v>2036.14</v>
      </c>
      <c r="C809" s="13">
        <v>2034.5</v>
      </c>
      <c r="D809" s="5">
        <v>7.6188111375853751</v>
      </c>
      <c r="E809" s="5">
        <v>7.6180053674417447</v>
      </c>
      <c r="F809" s="5">
        <v>5.4318385324130247E-3</v>
      </c>
      <c r="G809" s="5">
        <v>4.3347686219838977E-3</v>
      </c>
    </row>
    <row r="810" spans="1:7" x14ac:dyDescent="0.25">
      <c r="A810" s="12">
        <v>45329</v>
      </c>
      <c r="B810" s="13">
        <v>2035.36</v>
      </c>
      <c r="C810" s="13">
        <v>2035.2</v>
      </c>
      <c r="D810" s="5">
        <v>7.6184279864079008</v>
      </c>
      <c r="E810" s="5">
        <v>7.6183493731458034</v>
      </c>
      <c r="F810" s="5">
        <v>-3.8315117747433902E-4</v>
      </c>
      <c r="G810" s="5">
        <v>3.4400570405868081E-4</v>
      </c>
    </row>
    <row r="811" spans="1:7" x14ac:dyDescent="0.25">
      <c r="A811" s="12">
        <v>45330</v>
      </c>
      <c r="B811" s="13">
        <v>2034.52</v>
      </c>
      <c r="C811" s="13">
        <v>2032.2</v>
      </c>
      <c r="D811" s="5">
        <v>7.6180151978185924</v>
      </c>
      <c r="E811" s="5">
        <v>7.6168742290517812</v>
      </c>
      <c r="F811" s="5">
        <v>-4.1278858930837714E-4</v>
      </c>
      <c r="G811" s="5">
        <v>-1.4751440940221627E-3</v>
      </c>
    </row>
    <row r="812" spans="1:7" x14ac:dyDescent="0.25">
      <c r="A812" s="12">
        <v>45331</v>
      </c>
      <c r="B812" s="13">
        <v>2024.26</v>
      </c>
      <c r="C812" s="13">
        <v>2023.3</v>
      </c>
      <c r="D812" s="5">
        <v>7.6129594806552934</v>
      </c>
      <c r="E812" s="5">
        <v>7.6124851207851485</v>
      </c>
      <c r="F812" s="5">
        <v>-5.0557171632990006E-3</v>
      </c>
      <c r="G812" s="5">
        <v>-4.3891082666327463E-3</v>
      </c>
    </row>
    <row r="813" spans="1:7" x14ac:dyDescent="0.25">
      <c r="A813" s="12">
        <v>45334</v>
      </c>
      <c r="B813" s="13">
        <v>2020.05</v>
      </c>
      <c r="C813" s="13">
        <v>2018.2</v>
      </c>
      <c r="D813" s="5">
        <v>7.6108775425641602</v>
      </c>
      <c r="E813" s="5">
        <v>7.6099613040304286</v>
      </c>
      <c r="F813" s="5">
        <v>-2.0819380911332175E-3</v>
      </c>
      <c r="G813" s="5">
        <v>-2.5238167547199097E-3</v>
      </c>
    </row>
    <row r="814" spans="1:7" x14ac:dyDescent="0.25">
      <c r="A814" s="12">
        <v>45335</v>
      </c>
      <c r="B814" s="13">
        <v>1993.15</v>
      </c>
      <c r="C814" s="13">
        <v>1992.9</v>
      </c>
      <c r="D814" s="5">
        <v>7.5974715808026225</v>
      </c>
      <c r="E814" s="5">
        <v>7.5973461433393048</v>
      </c>
      <c r="F814" s="5">
        <v>-1.3405961761537633E-2</v>
      </c>
      <c r="G814" s="5">
        <v>-1.2615160691123783E-2</v>
      </c>
    </row>
    <row r="815" spans="1:7" x14ac:dyDescent="0.25">
      <c r="A815" s="12">
        <v>45336</v>
      </c>
      <c r="B815" s="13">
        <v>1992.33</v>
      </c>
      <c r="C815" s="13">
        <v>1990.3</v>
      </c>
      <c r="D815" s="5">
        <v>7.5970600870746043</v>
      </c>
      <c r="E815" s="5">
        <v>7.5960406601251744</v>
      </c>
      <c r="F815" s="5">
        <v>-4.1149372801818629E-4</v>
      </c>
      <c r="G815" s="5">
        <v>-1.3054832141303763E-3</v>
      </c>
    </row>
    <row r="816" spans="1:7" x14ac:dyDescent="0.25">
      <c r="A816" s="12">
        <v>45337</v>
      </c>
      <c r="B816" s="13">
        <v>2004.4</v>
      </c>
      <c r="C816" s="13">
        <v>2002.1</v>
      </c>
      <c r="D816" s="5">
        <v>7.6031000430855693</v>
      </c>
      <c r="E816" s="5">
        <v>7.6019519086776537</v>
      </c>
      <c r="F816" s="5">
        <v>6.0399560109649642E-3</v>
      </c>
      <c r="G816" s="5">
        <v>5.9112485524792646E-3</v>
      </c>
    </row>
    <row r="817" spans="1:7" x14ac:dyDescent="0.25">
      <c r="A817" s="12">
        <v>45338</v>
      </c>
      <c r="B817" s="13">
        <v>2013.59</v>
      </c>
      <c r="C817" s="13">
        <v>2011.5</v>
      </c>
      <c r="D817" s="5">
        <v>7.6076744775791356</v>
      </c>
      <c r="E817" s="5">
        <v>7.6066359913898429</v>
      </c>
      <c r="F817" s="5">
        <v>4.574434493566315E-3</v>
      </c>
      <c r="G817" s="5">
        <v>4.6840827121892303E-3</v>
      </c>
    </row>
    <row r="818" spans="1:7" x14ac:dyDescent="0.25">
      <c r="A818" s="12">
        <v>45341</v>
      </c>
      <c r="B818" s="13">
        <v>2017.21</v>
      </c>
      <c r="C818" s="13">
        <v>2011.5</v>
      </c>
      <c r="D818" s="5">
        <v>7.6094706475569298</v>
      </c>
      <c r="E818" s="5">
        <v>7.6066359913898429</v>
      </c>
      <c r="F818" s="5">
        <v>1.7961699777941931E-3</v>
      </c>
      <c r="G818" s="5">
        <v>0</v>
      </c>
    </row>
    <row r="819" spans="1:7" x14ac:dyDescent="0.25">
      <c r="A819" s="12">
        <v>45342</v>
      </c>
      <c r="B819" s="13">
        <v>2024.41</v>
      </c>
      <c r="C819" s="13">
        <v>2027.5</v>
      </c>
      <c r="D819" s="5">
        <v>7.6130335790629529</v>
      </c>
      <c r="E819" s="5">
        <v>7.6145587859895683</v>
      </c>
      <c r="F819" s="5">
        <v>3.5629315060230482E-3</v>
      </c>
      <c r="G819" s="5">
        <v>7.9227945997253357E-3</v>
      </c>
    </row>
    <row r="820" spans="1:7" x14ac:dyDescent="0.25">
      <c r="A820" s="12">
        <v>45343</v>
      </c>
      <c r="B820" s="13">
        <v>2025.99</v>
      </c>
      <c r="C820" s="13">
        <v>2022.3</v>
      </c>
      <c r="D820" s="5">
        <v>7.6138137489622917</v>
      </c>
      <c r="E820" s="5">
        <v>7.6119907565275025</v>
      </c>
      <c r="F820" s="5">
        <v>7.8016989933882286E-4</v>
      </c>
      <c r="G820" s="5">
        <v>-2.5680294620658017E-3</v>
      </c>
    </row>
    <row r="821" spans="1:7" x14ac:dyDescent="0.25">
      <c r="A821" s="12">
        <v>45344</v>
      </c>
      <c r="B821" s="13">
        <v>2024.39</v>
      </c>
      <c r="C821" s="13">
        <v>2019.7</v>
      </c>
      <c r="D821" s="5">
        <v>7.6130236995924925</v>
      </c>
      <c r="E821" s="5">
        <v>7.610704264514343</v>
      </c>
      <c r="F821" s="5">
        <v>-7.9004936979920615E-4</v>
      </c>
      <c r="G821" s="5">
        <v>-1.2864920131594459E-3</v>
      </c>
    </row>
    <row r="822" spans="1:7" x14ac:dyDescent="0.25">
      <c r="A822" s="12">
        <v>45345</v>
      </c>
      <c r="B822" s="13">
        <v>2035.4</v>
      </c>
      <c r="C822" s="13">
        <v>2038.6</v>
      </c>
      <c r="D822" s="5">
        <v>7.6184476387578313</v>
      </c>
      <c r="E822" s="5">
        <v>7.6200185767343127</v>
      </c>
      <c r="F822" s="5">
        <v>5.4239391653387869E-3</v>
      </c>
      <c r="G822" s="5">
        <v>9.3143122199697004E-3</v>
      </c>
    </row>
    <row r="823" spans="1:7" x14ac:dyDescent="0.25">
      <c r="A823" s="12">
        <v>45348</v>
      </c>
      <c r="B823" s="13">
        <v>2031.24</v>
      </c>
      <c r="C823" s="13">
        <v>2028.5</v>
      </c>
      <c r="D823" s="5">
        <v>7.6164017229890062</v>
      </c>
      <c r="E823" s="5">
        <v>7.6150518826465019</v>
      </c>
      <c r="F823" s="5">
        <v>-2.0459157688250684E-3</v>
      </c>
      <c r="G823" s="5">
        <v>-4.9666940878108079E-3</v>
      </c>
    </row>
    <row r="824" spans="1:7" x14ac:dyDescent="0.25">
      <c r="A824" s="12">
        <v>45349</v>
      </c>
      <c r="B824" s="13">
        <v>2030.48</v>
      </c>
      <c r="C824" s="13">
        <v>2034</v>
      </c>
      <c r="D824" s="5">
        <v>7.6160274972871509</v>
      </c>
      <c r="E824" s="5">
        <v>7.6177595766085053</v>
      </c>
      <c r="F824" s="5">
        <v>-3.7422570185530191E-4</v>
      </c>
      <c r="G824" s="5">
        <v>2.7076939620034324E-3</v>
      </c>
    </row>
    <row r="825" spans="1:7" x14ac:dyDescent="0.25">
      <c r="A825" s="12">
        <v>45350</v>
      </c>
      <c r="B825" s="13">
        <v>2034.55</v>
      </c>
      <c r="C825" s="13">
        <v>2042.7</v>
      </c>
      <c r="D825" s="5">
        <v>7.6180299432026732</v>
      </c>
      <c r="E825" s="5">
        <v>7.622027741157031</v>
      </c>
      <c r="F825" s="5">
        <v>2.002445915522344E-3</v>
      </c>
      <c r="G825" s="5">
        <v>4.2681645485256325E-3</v>
      </c>
    </row>
    <row r="826" spans="1:7" x14ac:dyDescent="0.25">
      <c r="A826" s="12">
        <v>45351</v>
      </c>
      <c r="B826" s="13">
        <v>2044.3</v>
      </c>
      <c r="C826" s="13">
        <v>2054.6999999999998</v>
      </c>
      <c r="D826" s="5">
        <v>7.6228107115909625</v>
      </c>
      <c r="E826" s="5">
        <v>7.6278851308719693</v>
      </c>
      <c r="F826" s="5">
        <v>4.7807683882892249E-3</v>
      </c>
      <c r="G826" s="5">
        <v>5.8573897149383214E-3</v>
      </c>
    </row>
    <row r="827" spans="1:7" x14ac:dyDescent="0.25">
      <c r="A827" s="12">
        <v>45352</v>
      </c>
      <c r="B827" s="13">
        <v>2082.92</v>
      </c>
      <c r="C827" s="13">
        <v>2095.6999999999998</v>
      </c>
      <c r="D827" s="5">
        <v>7.6415260343784537</v>
      </c>
      <c r="E827" s="5">
        <v>7.6476429054258972</v>
      </c>
      <c r="F827" s="5">
        <v>1.8715322787491218E-2</v>
      </c>
      <c r="G827" s="5">
        <v>1.9757774553927909E-2</v>
      </c>
    </row>
    <row r="828" spans="1:7" x14ac:dyDescent="0.25">
      <c r="A828" s="12">
        <v>45355</v>
      </c>
      <c r="B828" s="13">
        <v>2114.48</v>
      </c>
      <c r="C828" s="13">
        <v>2126.3000000000002</v>
      </c>
      <c r="D828" s="5">
        <v>7.6565641983669837</v>
      </c>
      <c r="E828" s="5">
        <v>7.6621386590126557</v>
      </c>
      <c r="F828" s="5">
        <v>1.5038163988529973E-2</v>
      </c>
      <c r="G828" s="5">
        <v>1.4495753586758475E-2</v>
      </c>
    </row>
    <row r="829" spans="1:7" x14ac:dyDescent="0.25">
      <c r="A829" s="12">
        <v>45356</v>
      </c>
      <c r="B829" s="13">
        <v>2128.04</v>
      </c>
      <c r="C829" s="13">
        <v>2141.9</v>
      </c>
      <c r="D829" s="5">
        <v>7.6629566472773547</v>
      </c>
      <c r="E829" s="5">
        <v>7.6694485645770971</v>
      </c>
      <c r="F829" s="5">
        <v>6.3924489103710513E-3</v>
      </c>
      <c r="G829" s="5">
        <v>7.3099055644414435E-3</v>
      </c>
    </row>
    <row r="830" spans="1:7" x14ac:dyDescent="0.25">
      <c r="A830" s="12">
        <v>45357</v>
      </c>
      <c r="B830" s="13">
        <v>2148.1799999999998</v>
      </c>
      <c r="C830" s="13">
        <v>2158.1999999999998</v>
      </c>
      <c r="D830" s="5">
        <v>7.6723762510005065</v>
      </c>
      <c r="E830" s="5">
        <v>7.6770298199296327</v>
      </c>
      <c r="F830" s="5">
        <v>9.4196037231517593E-3</v>
      </c>
      <c r="G830" s="5">
        <v>7.5812553525356208E-3</v>
      </c>
    </row>
    <row r="831" spans="1:7" x14ac:dyDescent="0.25">
      <c r="A831" s="12">
        <v>45358</v>
      </c>
      <c r="B831" s="13">
        <v>2159.98</v>
      </c>
      <c r="C831" s="13">
        <v>2165.1999999999998</v>
      </c>
      <c r="D831" s="5">
        <v>7.6778542413760844</v>
      </c>
      <c r="E831" s="5">
        <v>7.6802680149228229</v>
      </c>
      <c r="F831" s="5">
        <v>5.4779903755779458E-3</v>
      </c>
      <c r="G831" s="5">
        <v>3.2381949931901133E-3</v>
      </c>
    </row>
    <row r="832" spans="1:7" x14ac:dyDescent="0.25">
      <c r="A832" s="12">
        <v>45359</v>
      </c>
      <c r="B832" s="13">
        <v>2178.9499999999998</v>
      </c>
      <c r="C832" s="13">
        <v>2185.5</v>
      </c>
      <c r="D832" s="5">
        <v>7.6865983883757041</v>
      </c>
      <c r="E832" s="5">
        <v>7.6895999143033693</v>
      </c>
      <c r="F832" s="5">
        <v>8.744146999619673E-3</v>
      </c>
      <c r="G832" s="5">
        <v>9.3318993805464601E-3</v>
      </c>
    </row>
    <row r="833" spans="1:7" x14ac:dyDescent="0.25">
      <c r="A833" s="12">
        <v>45362</v>
      </c>
      <c r="B833" s="13">
        <v>2182.75</v>
      </c>
      <c r="C833" s="13">
        <v>2188.6</v>
      </c>
      <c r="D833" s="5">
        <v>7.688340828690917</v>
      </c>
      <c r="E833" s="5">
        <v>7.6910173489843423</v>
      </c>
      <c r="F833" s="5">
        <v>1.7424403152128676E-3</v>
      </c>
      <c r="G833" s="5">
        <v>1.4174346809729954E-3</v>
      </c>
    </row>
    <row r="834" spans="1:7" x14ac:dyDescent="0.25">
      <c r="A834" s="12">
        <v>45363</v>
      </c>
      <c r="B834" s="13">
        <v>2158.34</v>
      </c>
      <c r="C834" s="13">
        <v>2166.1</v>
      </c>
      <c r="D834" s="5">
        <v>7.6770946866979477</v>
      </c>
      <c r="E834" s="5">
        <v>7.6806835945469327</v>
      </c>
      <c r="F834" s="5">
        <v>-1.124614199296925E-2</v>
      </c>
      <c r="G834" s="5">
        <v>-1.0333754437409581E-2</v>
      </c>
    </row>
    <row r="835" spans="1:7" x14ac:dyDescent="0.25">
      <c r="A835" s="12">
        <v>45364</v>
      </c>
      <c r="B835" s="13">
        <v>2174.41</v>
      </c>
      <c r="C835" s="13">
        <v>2180.8000000000002</v>
      </c>
      <c r="D835" s="5">
        <v>7.6845126423561343</v>
      </c>
      <c r="E835" s="5">
        <v>7.6874470609422678</v>
      </c>
      <c r="F835" s="5">
        <v>7.4179556581865924E-3</v>
      </c>
      <c r="G835" s="5">
        <v>6.7634663953350938E-3</v>
      </c>
    </row>
    <row r="836" spans="1:7" x14ac:dyDescent="0.25">
      <c r="A836" s="12">
        <v>45365</v>
      </c>
      <c r="B836" s="13">
        <v>2162.19</v>
      </c>
      <c r="C836" s="13">
        <v>2167.5</v>
      </c>
      <c r="D836" s="5">
        <v>7.6788768759289123</v>
      </c>
      <c r="E836" s="5">
        <v>7.6813297086546966</v>
      </c>
      <c r="F836" s="5">
        <v>-5.6357664272219665E-3</v>
      </c>
      <c r="G836" s="5">
        <v>-6.1173522875712649E-3</v>
      </c>
    </row>
    <row r="837" spans="1:7" x14ac:dyDescent="0.25">
      <c r="A837" s="12">
        <v>45366</v>
      </c>
      <c r="B837" s="13">
        <v>2155.9</v>
      </c>
      <c r="C837" s="13">
        <v>2161.5</v>
      </c>
      <c r="D837" s="5">
        <v>7.6759635487639617</v>
      </c>
      <c r="E837" s="5">
        <v>7.6785577041076865</v>
      </c>
      <c r="F837" s="5">
        <v>-2.9133271649506298E-3</v>
      </c>
      <c r="G837" s="5">
        <v>-2.7720045470100985E-3</v>
      </c>
    </row>
    <row r="838" spans="1:7" x14ac:dyDescent="0.25">
      <c r="A838" s="12">
        <v>45369</v>
      </c>
      <c r="B838" s="13">
        <v>2160.36</v>
      </c>
      <c r="C838" s="13">
        <v>2164.3000000000002</v>
      </c>
      <c r="D838" s="5">
        <v>7.6780301534575317</v>
      </c>
      <c r="E838" s="5">
        <v>7.6798522625204839</v>
      </c>
      <c r="F838" s="5">
        <v>2.0666046935700066E-3</v>
      </c>
      <c r="G838" s="5">
        <v>1.2945584127974641E-3</v>
      </c>
    </row>
    <row r="839" spans="1:7" x14ac:dyDescent="0.25">
      <c r="A839" s="12">
        <v>45370</v>
      </c>
      <c r="B839" s="13">
        <v>2157.59</v>
      </c>
      <c r="C839" s="13">
        <v>2159.6999999999998</v>
      </c>
      <c r="D839" s="5">
        <v>7.6767471370353952</v>
      </c>
      <c r="E839" s="5">
        <v>7.6777246021433667</v>
      </c>
      <c r="F839" s="5">
        <v>-1.2830164221364626E-3</v>
      </c>
      <c r="G839" s="5">
        <v>-2.127660377117202E-3</v>
      </c>
    </row>
    <row r="840" spans="1:7" x14ac:dyDescent="0.25">
      <c r="A840" s="12">
        <v>45371</v>
      </c>
      <c r="B840" s="13">
        <v>2186.39</v>
      </c>
      <c r="C840" s="13">
        <v>2161</v>
      </c>
      <c r="D840" s="5">
        <v>7.6900070608748949</v>
      </c>
      <c r="E840" s="5">
        <v>7.6783263565068856</v>
      </c>
      <c r="F840" s="5">
        <v>1.3259923839499699E-2</v>
      </c>
      <c r="G840" s="5">
        <v>6.0175436351883604E-4</v>
      </c>
    </row>
    <row r="841" spans="1:7" x14ac:dyDescent="0.25">
      <c r="A841" s="12">
        <v>45372</v>
      </c>
      <c r="B841" s="13">
        <v>2181.33</v>
      </c>
      <c r="C841" s="13">
        <v>2184.6999999999998</v>
      </c>
      <c r="D841" s="5">
        <v>7.687690061495946</v>
      </c>
      <c r="E841" s="5">
        <v>7.6892337983320473</v>
      </c>
      <c r="F841" s="5">
        <v>-2.3169993789489141E-3</v>
      </c>
      <c r="G841" s="5">
        <v>1.090744182516179E-2</v>
      </c>
    </row>
    <row r="842" spans="1:7" x14ac:dyDescent="0.25">
      <c r="A842" s="12">
        <v>45373</v>
      </c>
      <c r="B842" s="13">
        <v>2165.44</v>
      </c>
      <c r="C842" s="13">
        <v>2160</v>
      </c>
      <c r="D842" s="5">
        <v>7.6803788530438606</v>
      </c>
      <c r="E842" s="5">
        <v>7.6778635006782103</v>
      </c>
      <c r="F842" s="5">
        <v>-7.3112084520854381E-3</v>
      </c>
      <c r="G842" s="5">
        <v>-1.1370297653837014E-2</v>
      </c>
    </row>
    <row r="843" spans="1:7" x14ac:dyDescent="0.25">
      <c r="A843" s="12">
        <v>45376</v>
      </c>
      <c r="B843" s="13">
        <v>2171.83</v>
      </c>
      <c r="C843" s="13">
        <v>2176.4</v>
      </c>
      <c r="D843" s="5">
        <v>7.6833254091140466</v>
      </c>
      <c r="E843" s="5">
        <v>7.6854274146117705</v>
      </c>
      <c r="F843" s="5">
        <v>2.9465560701860127E-3</v>
      </c>
      <c r="G843" s="5">
        <v>7.5639139335601513E-3</v>
      </c>
    </row>
    <row r="844" spans="1:7" x14ac:dyDescent="0.25">
      <c r="A844" s="12">
        <v>45377</v>
      </c>
      <c r="B844" s="13">
        <v>2178.8000000000002</v>
      </c>
      <c r="C844" s="13">
        <v>2177.1999999999998</v>
      </c>
      <c r="D844" s="5">
        <v>7.6865295455095195</v>
      </c>
      <c r="E844" s="5">
        <v>7.6857949265600451</v>
      </c>
      <c r="F844" s="5">
        <v>3.2041363954729007E-3</v>
      </c>
      <c r="G844" s="5">
        <v>3.6751194827466804E-4</v>
      </c>
    </row>
    <row r="845" spans="1:7" x14ac:dyDescent="0.25">
      <c r="A845" s="12">
        <v>45378</v>
      </c>
      <c r="B845" s="13">
        <v>2194.79</v>
      </c>
      <c r="C845" s="13">
        <v>2190.6</v>
      </c>
      <c r="D845" s="5">
        <v>7.6938416489506389</v>
      </c>
      <c r="E845" s="5">
        <v>7.6919307578896463</v>
      </c>
      <c r="F845" s="5">
        <v>7.312103441119433E-3</v>
      </c>
      <c r="G845" s="5">
        <v>6.1358313296011602E-3</v>
      </c>
    </row>
    <row r="846" spans="1:7" x14ac:dyDescent="0.25">
      <c r="A846" s="12">
        <v>45379</v>
      </c>
      <c r="B846" s="13">
        <v>2229.87</v>
      </c>
      <c r="C846" s="13">
        <v>2217.4</v>
      </c>
      <c r="D846" s="5">
        <v>7.7096985667907632</v>
      </c>
      <c r="E846" s="5">
        <v>7.7040906173382515</v>
      </c>
      <c r="F846" s="5">
        <v>1.5856917840124218E-2</v>
      </c>
      <c r="G846" s="5">
        <v>1.2159859448605204E-2</v>
      </c>
    </row>
    <row r="847" spans="1:7" x14ac:dyDescent="0.25">
      <c r="A847" s="12">
        <v>45380</v>
      </c>
      <c r="B847" s="13">
        <v>2229.87</v>
      </c>
      <c r="C847" s="13">
        <v>2217.4</v>
      </c>
      <c r="D847" s="5">
        <v>7.7096985667907632</v>
      </c>
      <c r="E847" s="5">
        <v>7.7040906173382515</v>
      </c>
      <c r="F847" s="5">
        <v>0</v>
      </c>
      <c r="G847" s="5">
        <v>0</v>
      </c>
    </row>
    <row r="848" spans="1:7" x14ac:dyDescent="0.25">
      <c r="A848" s="12">
        <v>45383</v>
      </c>
      <c r="B848" s="13">
        <v>2251.44</v>
      </c>
      <c r="C848" s="13">
        <v>2236.5</v>
      </c>
      <c r="D848" s="5">
        <v>7.7193252904858056</v>
      </c>
      <c r="E848" s="5">
        <v>7.7126674228729026</v>
      </c>
      <c r="F848" s="5">
        <v>9.6267236950424717E-3</v>
      </c>
      <c r="G848" s="5">
        <v>8.5768055346511218E-3</v>
      </c>
    </row>
    <row r="849" spans="1:7" x14ac:dyDescent="0.25">
      <c r="A849" s="12">
        <v>45384</v>
      </c>
      <c r="B849" s="13">
        <v>2280.67</v>
      </c>
      <c r="C849" s="13">
        <v>2261</v>
      </c>
      <c r="D849" s="5">
        <v>7.7322245384293193</v>
      </c>
      <c r="E849" s="5">
        <v>7.7235624722779699</v>
      </c>
      <c r="F849" s="5">
        <v>1.2899247943513714E-2</v>
      </c>
      <c r="G849" s="5">
        <v>1.0895049405067248E-2</v>
      </c>
    </row>
    <row r="850" spans="1:7" x14ac:dyDescent="0.25">
      <c r="A850" s="12">
        <v>45385</v>
      </c>
      <c r="B850" s="13">
        <v>2300</v>
      </c>
      <c r="C850" s="13">
        <v>2294.4</v>
      </c>
      <c r="D850" s="5">
        <v>7.7406644019172415</v>
      </c>
      <c r="E850" s="5">
        <v>7.7382266504053012</v>
      </c>
      <c r="F850" s="5">
        <v>8.439863487922139E-3</v>
      </c>
      <c r="G850" s="5">
        <v>1.466417812733134E-2</v>
      </c>
    </row>
    <row r="851" spans="1:7" x14ac:dyDescent="0.25">
      <c r="A851" s="12">
        <v>45386</v>
      </c>
      <c r="B851" s="13">
        <v>2290.94</v>
      </c>
      <c r="C851" s="13">
        <v>2288.8000000000002</v>
      </c>
      <c r="D851" s="5">
        <v>7.7367174926736189</v>
      </c>
      <c r="E851" s="5">
        <v>7.7357829417359003</v>
      </c>
      <c r="F851" s="5">
        <v>-3.9469092436226205E-3</v>
      </c>
      <c r="G851" s="5">
        <v>-2.4437086694009125E-3</v>
      </c>
    </row>
    <row r="852" spans="1:7" x14ac:dyDescent="0.25">
      <c r="A852" s="12">
        <v>45387</v>
      </c>
      <c r="B852" s="13">
        <v>2329.75</v>
      </c>
      <c r="C852" s="13">
        <v>2325.6999999999998</v>
      </c>
      <c r="D852" s="5">
        <v>7.7535162446657653</v>
      </c>
      <c r="E852" s="5">
        <v>7.7517763479762101</v>
      </c>
      <c r="F852" s="5">
        <v>1.6798751992146421E-2</v>
      </c>
      <c r="G852" s="5">
        <v>1.599340624030976E-2</v>
      </c>
    </row>
    <row r="853" spans="1:7" x14ac:dyDescent="0.25">
      <c r="A853" s="12">
        <v>45390</v>
      </c>
      <c r="B853" s="13">
        <v>2339.0300000000002</v>
      </c>
      <c r="C853" s="13">
        <v>2331.6999999999998</v>
      </c>
      <c r="D853" s="5">
        <v>7.7574915924959411</v>
      </c>
      <c r="E853" s="5">
        <v>7.7543528942549473</v>
      </c>
      <c r="F853" s="5">
        <v>3.9753478301758349E-3</v>
      </c>
      <c r="G853" s="5">
        <v>2.5765462787372684E-3</v>
      </c>
    </row>
    <row r="854" spans="1:7" x14ac:dyDescent="0.25">
      <c r="A854" s="12">
        <v>45391</v>
      </c>
      <c r="B854" s="13">
        <v>2352.7800000000002</v>
      </c>
      <c r="C854" s="13">
        <v>2343.5</v>
      </c>
      <c r="D854" s="5">
        <v>7.7633528866936254</v>
      </c>
      <c r="E854" s="5">
        <v>7.7594008173627609</v>
      </c>
      <c r="F854" s="5">
        <v>5.8612941976843302E-3</v>
      </c>
      <c r="G854" s="5">
        <v>5.0479231078135456E-3</v>
      </c>
    </row>
    <row r="855" spans="1:7" x14ac:dyDescent="0.25">
      <c r="A855" s="12">
        <v>45392</v>
      </c>
      <c r="B855" s="13">
        <v>2334.04</v>
      </c>
      <c r="C855" s="13">
        <v>2329.6</v>
      </c>
      <c r="D855" s="5">
        <v>7.7553559506602312</v>
      </c>
      <c r="E855" s="5">
        <v>7.753451858002367</v>
      </c>
      <c r="F855" s="5">
        <v>-7.9969360333942419E-3</v>
      </c>
      <c r="G855" s="5">
        <v>-5.9489593603938573E-3</v>
      </c>
    </row>
    <row r="856" spans="1:7" x14ac:dyDescent="0.25">
      <c r="A856" s="12">
        <v>45393</v>
      </c>
      <c r="B856" s="13">
        <v>2372.52</v>
      </c>
      <c r="C856" s="13">
        <v>2354.8000000000002</v>
      </c>
      <c r="D856" s="5">
        <v>7.7717079603747896</v>
      </c>
      <c r="E856" s="5">
        <v>7.7642110771541066</v>
      </c>
      <c r="F856" s="5">
        <v>1.6352009714558413E-2</v>
      </c>
      <c r="G856" s="5">
        <v>1.0759219151739607E-2</v>
      </c>
    </row>
    <row r="857" spans="1:7" x14ac:dyDescent="0.25">
      <c r="A857" s="12">
        <v>45394</v>
      </c>
      <c r="B857" s="13">
        <v>2344.37</v>
      </c>
      <c r="C857" s="13">
        <v>2356.1999999999998</v>
      </c>
      <c r="D857" s="5">
        <v>7.7597719880692813</v>
      </c>
      <c r="E857" s="5">
        <v>7.7648054308120189</v>
      </c>
      <c r="F857" s="5">
        <v>-1.1935972305508358E-2</v>
      </c>
      <c r="G857" s="5">
        <v>5.9435365791227213E-4</v>
      </c>
    </row>
    <row r="858" spans="1:7" x14ac:dyDescent="0.25">
      <c r="A858" s="12">
        <v>45397</v>
      </c>
      <c r="B858" s="13">
        <v>2383.34</v>
      </c>
      <c r="C858" s="13">
        <v>2365.8000000000002</v>
      </c>
      <c r="D858" s="5">
        <v>7.7762581442188283</v>
      </c>
      <c r="E858" s="5">
        <v>7.7688715101116363</v>
      </c>
      <c r="F858" s="5">
        <v>1.6486156149547071E-2</v>
      </c>
      <c r="G858" s="5">
        <v>4.0660792996174422E-3</v>
      </c>
    </row>
    <row r="859" spans="1:7" x14ac:dyDescent="0.25">
      <c r="A859" s="12">
        <v>45398</v>
      </c>
      <c r="B859" s="13">
        <v>2382.89</v>
      </c>
      <c r="C859" s="13">
        <v>2390.8000000000002</v>
      </c>
      <c r="D859" s="5">
        <v>7.7760693157311822</v>
      </c>
      <c r="E859" s="5">
        <v>7.7793833169500992</v>
      </c>
      <c r="F859" s="5">
        <v>-1.8882848764611992E-4</v>
      </c>
      <c r="G859" s="5">
        <v>1.0511806838462867E-2</v>
      </c>
    </row>
    <row r="860" spans="1:7" x14ac:dyDescent="0.25">
      <c r="A860" s="12">
        <v>45399</v>
      </c>
      <c r="B860" s="13">
        <v>2361.02</v>
      </c>
      <c r="C860" s="13">
        <v>2371.6999999999998</v>
      </c>
      <c r="D860" s="5">
        <v>7.7668490080365045</v>
      </c>
      <c r="E860" s="5">
        <v>7.7713622765708488</v>
      </c>
      <c r="F860" s="5">
        <v>-9.2203076946777429E-3</v>
      </c>
      <c r="G860" s="5">
        <v>-8.0210403792504437E-3</v>
      </c>
    </row>
    <row r="861" spans="1:7" x14ac:dyDescent="0.25">
      <c r="A861" s="12">
        <v>45400</v>
      </c>
      <c r="B861" s="13">
        <v>2379.04</v>
      </c>
      <c r="C861" s="13">
        <v>2382.3000000000002</v>
      </c>
      <c r="D861" s="5">
        <v>7.7744523239489132</v>
      </c>
      <c r="E861" s="5">
        <v>7.7758216865692749</v>
      </c>
      <c r="F861" s="5">
        <v>7.6033159124087035E-3</v>
      </c>
      <c r="G861" s="5">
        <v>4.4594099984260893E-3</v>
      </c>
    </row>
    <row r="862" spans="1:7" x14ac:dyDescent="0.25">
      <c r="A862" s="12">
        <v>45401</v>
      </c>
      <c r="B862" s="13">
        <v>2391.9299999999998</v>
      </c>
      <c r="C862" s="13">
        <v>2398.4</v>
      </c>
      <c r="D862" s="5">
        <v>7.7798558504282704</v>
      </c>
      <c r="E862" s="5">
        <v>7.7825571273483334</v>
      </c>
      <c r="F862" s="5">
        <v>5.4035264793572679E-3</v>
      </c>
      <c r="G862" s="5">
        <v>6.7354407790585213E-3</v>
      </c>
    </row>
    <row r="863" spans="1:7" x14ac:dyDescent="0.25">
      <c r="A863" s="12">
        <v>45404</v>
      </c>
      <c r="B863" s="13">
        <v>2327.3000000000002</v>
      </c>
      <c r="C863" s="13">
        <v>2332.1999999999998</v>
      </c>
      <c r="D863" s="5">
        <v>7.752464076350619</v>
      </c>
      <c r="E863" s="5">
        <v>7.7545673070862327</v>
      </c>
      <c r="F863" s="5">
        <v>-2.7391774077651476E-2</v>
      </c>
      <c r="G863" s="5">
        <v>-2.7989820262100729E-2</v>
      </c>
    </row>
    <row r="864" spans="1:7" x14ac:dyDescent="0.25">
      <c r="A864" s="12">
        <v>45405</v>
      </c>
      <c r="B864" s="13">
        <v>2322.02</v>
      </c>
      <c r="C864" s="13">
        <v>2327.6999999999998</v>
      </c>
      <c r="D864" s="5">
        <v>7.7501927754851705</v>
      </c>
      <c r="E864" s="5">
        <v>7.7526359345680129</v>
      </c>
      <c r="F864" s="5">
        <v>-2.2713008654484668E-3</v>
      </c>
      <c r="G864" s="5">
        <v>-1.9313725182197317E-3</v>
      </c>
    </row>
    <row r="865" spans="1:7" x14ac:dyDescent="0.25">
      <c r="A865" s="12">
        <v>45406</v>
      </c>
      <c r="B865" s="13">
        <v>2316.17</v>
      </c>
      <c r="C865" s="13">
        <v>2324.5</v>
      </c>
      <c r="D865" s="5">
        <v>7.7476702384170224</v>
      </c>
      <c r="E865" s="5">
        <v>7.7512602411306393</v>
      </c>
      <c r="F865" s="5">
        <v>-2.5225370681480896E-3</v>
      </c>
      <c r="G865" s="5">
        <v>-1.3756934373736485E-3</v>
      </c>
    </row>
    <row r="866" spans="1:7" x14ac:dyDescent="0.25">
      <c r="A866" s="12">
        <v>45407</v>
      </c>
      <c r="B866" s="13">
        <v>2332.46</v>
      </c>
      <c r="C866" s="13">
        <v>2329.8000000000002</v>
      </c>
      <c r="D866" s="5">
        <v>7.7546787835926745</v>
      </c>
      <c r="E866" s="5">
        <v>7.7535377059656767</v>
      </c>
      <c r="F866" s="5">
        <v>7.0085451756520811E-3</v>
      </c>
      <c r="G866" s="5">
        <v>2.2774648350374349E-3</v>
      </c>
    </row>
    <row r="867" spans="1:7" x14ac:dyDescent="0.25">
      <c r="A867" s="12">
        <v>45408</v>
      </c>
      <c r="B867" s="13">
        <v>2337.96</v>
      </c>
      <c r="C867" s="13">
        <v>2334.8000000000002</v>
      </c>
      <c r="D867" s="5">
        <v>7.7570340332457963</v>
      </c>
      <c r="E867" s="5">
        <v>7.7556815133296357</v>
      </c>
      <c r="F867" s="5">
        <v>2.3552496531218381E-3</v>
      </c>
      <c r="G867" s="5">
        <v>2.1438073639590272E-3</v>
      </c>
    </row>
    <row r="868" spans="1:7" x14ac:dyDescent="0.25">
      <c r="A868" s="12">
        <v>45411</v>
      </c>
      <c r="B868" s="13">
        <v>2335.66</v>
      </c>
      <c r="C868" s="13">
        <v>2357.6999999999998</v>
      </c>
      <c r="D868" s="5">
        <v>7.7560497854097825</v>
      </c>
      <c r="E868" s="5">
        <v>7.7654418465402388</v>
      </c>
      <c r="F868" s="5">
        <v>-9.8424783601380739E-4</v>
      </c>
      <c r="G868" s="5">
        <v>9.7603332106031004E-3</v>
      </c>
    </row>
    <row r="869" spans="1:7" x14ac:dyDescent="0.25">
      <c r="A869" s="12">
        <v>45412</v>
      </c>
      <c r="B869" s="13">
        <v>2286.25</v>
      </c>
      <c r="C869" s="13">
        <v>2302.9</v>
      </c>
      <c r="D869" s="5">
        <v>7.7346681997050757</v>
      </c>
      <c r="E869" s="5">
        <v>7.7419244772539706</v>
      </c>
      <c r="F869" s="5">
        <v>-2.1381585704706829E-2</v>
      </c>
      <c r="G869" s="5">
        <v>-2.3517369286268242E-2</v>
      </c>
    </row>
    <row r="870" spans="1:7" x14ac:dyDescent="0.25">
      <c r="A870" s="12">
        <v>45413</v>
      </c>
      <c r="B870" s="13">
        <v>2319.56</v>
      </c>
      <c r="C870" s="13">
        <v>2311</v>
      </c>
      <c r="D870" s="5">
        <v>7.7491327915011254</v>
      </c>
      <c r="E870" s="5">
        <v>7.7454356102743809</v>
      </c>
      <c r="F870" s="5">
        <v>1.4464591796049753E-2</v>
      </c>
      <c r="G870" s="5">
        <v>3.5111330204102842E-3</v>
      </c>
    </row>
    <row r="871" spans="1:7" x14ac:dyDescent="0.25">
      <c r="A871" s="12">
        <v>45414</v>
      </c>
      <c r="B871" s="13">
        <v>2303.83</v>
      </c>
      <c r="C871" s="13">
        <v>2309.6</v>
      </c>
      <c r="D871" s="5">
        <v>7.7423282343713327</v>
      </c>
      <c r="E871" s="5">
        <v>7.7448296283487252</v>
      </c>
      <c r="F871" s="5">
        <v>-6.8045571297927765E-3</v>
      </c>
      <c r="G871" s="5">
        <v>-6.0598192565564091E-4</v>
      </c>
    </row>
    <row r="872" spans="1:7" x14ac:dyDescent="0.25">
      <c r="A872" s="12">
        <v>45415</v>
      </c>
      <c r="B872" s="13">
        <v>2301.7399999999998</v>
      </c>
      <c r="C872" s="13">
        <v>2308.6</v>
      </c>
      <c r="D872" s="5">
        <v>7.7414206376380443</v>
      </c>
      <c r="E872" s="5">
        <v>7.7443965591808119</v>
      </c>
      <c r="F872" s="5">
        <v>-9.0759673328832946E-4</v>
      </c>
      <c r="G872" s="5">
        <v>-4.3306916791330252E-4</v>
      </c>
    </row>
    <row r="873" spans="1:7" x14ac:dyDescent="0.25">
      <c r="A873" s="12">
        <v>45418</v>
      </c>
      <c r="B873" s="13">
        <v>2323.9699999999998</v>
      </c>
      <c r="C873" s="13">
        <v>2331.1999999999998</v>
      </c>
      <c r="D873" s="5">
        <v>7.7510322091105142</v>
      </c>
      <c r="E873" s="5">
        <v>7.7541384354409404</v>
      </c>
      <c r="F873" s="5">
        <v>9.6115714724698265E-3</v>
      </c>
      <c r="G873" s="5">
        <v>9.741876260128457E-3</v>
      </c>
    </row>
    <row r="874" spans="1:7" x14ac:dyDescent="0.25">
      <c r="A874" s="12">
        <v>45419</v>
      </c>
      <c r="B874" s="13">
        <v>2314.1</v>
      </c>
      <c r="C874" s="13">
        <v>2324.1999999999998</v>
      </c>
      <c r="D874" s="5">
        <v>7.7467761220316262</v>
      </c>
      <c r="E874" s="5">
        <v>7.7511311727887735</v>
      </c>
      <c r="F874" s="5">
        <v>-4.2560870788879157E-3</v>
      </c>
      <c r="G874" s="5">
        <v>-3.0072626521668866E-3</v>
      </c>
    </row>
    <row r="875" spans="1:7" x14ac:dyDescent="0.25">
      <c r="A875" s="12">
        <v>45420</v>
      </c>
      <c r="B875" s="13">
        <v>2308.85</v>
      </c>
      <c r="C875" s="13">
        <v>2322.3000000000002</v>
      </c>
      <c r="D875" s="5">
        <v>7.7445048440567694</v>
      </c>
      <c r="E875" s="5">
        <v>7.7503133528787771</v>
      </c>
      <c r="F875" s="5">
        <v>-2.2712779748568224E-3</v>
      </c>
      <c r="G875" s="5">
        <v>-8.1781990999640897E-4</v>
      </c>
    </row>
    <row r="876" spans="1:7" x14ac:dyDescent="0.25">
      <c r="A876" s="12">
        <v>45421</v>
      </c>
      <c r="B876" s="13">
        <v>2346.33</v>
      </c>
      <c r="C876" s="13">
        <v>2340.3000000000002</v>
      </c>
      <c r="D876" s="5">
        <v>7.7606076842826699</v>
      </c>
      <c r="E876" s="5">
        <v>7.7580344052623769</v>
      </c>
      <c r="F876" s="5">
        <v>1.6102840225900472E-2</v>
      </c>
      <c r="G876" s="5">
        <v>7.7210523835997691E-3</v>
      </c>
    </row>
    <row r="877" spans="1:7" x14ac:dyDescent="0.25">
      <c r="A877" s="12">
        <v>45422</v>
      </c>
      <c r="B877" s="13">
        <v>2360.5</v>
      </c>
      <c r="C877" s="13">
        <v>2375</v>
      </c>
      <c r="D877" s="5">
        <v>7.7666287399863414</v>
      </c>
      <c r="E877" s="5">
        <v>7.7727527164687418</v>
      </c>
      <c r="F877" s="5">
        <v>6.0210557036715073E-3</v>
      </c>
      <c r="G877" s="5">
        <v>1.4718311206364909E-2</v>
      </c>
    </row>
    <row r="878" spans="1:7" x14ac:dyDescent="0.25">
      <c r="A878" s="12">
        <v>45425</v>
      </c>
      <c r="B878" s="13">
        <v>2336.3200000000002</v>
      </c>
      <c r="C878" s="13">
        <v>2343</v>
      </c>
      <c r="D878" s="5">
        <v>7.7563323208677213</v>
      </c>
      <c r="E878" s="5">
        <v>7.7591874385077952</v>
      </c>
      <c r="F878" s="5">
        <v>-1.0296419118620115E-2</v>
      </c>
      <c r="G878" s="5">
        <v>-1.3565277960946531E-2</v>
      </c>
    </row>
    <row r="879" spans="1:7" x14ac:dyDescent="0.25">
      <c r="A879" s="12">
        <v>45426</v>
      </c>
      <c r="B879" s="13">
        <v>2358.12</v>
      </c>
      <c r="C879" s="13">
        <v>2359.9</v>
      </c>
      <c r="D879" s="5">
        <v>7.765619970387676</v>
      </c>
      <c r="E879" s="5">
        <v>7.7663745242405442</v>
      </c>
      <c r="F879" s="5">
        <v>9.2876495199547549E-3</v>
      </c>
      <c r="G879" s="5">
        <v>7.1870857327489546E-3</v>
      </c>
    </row>
    <row r="880" spans="1:7" x14ac:dyDescent="0.25">
      <c r="A880" s="12">
        <v>45427</v>
      </c>
      <c r="B880" s="13">
        <v>2385.9899999999998</v>
      </c>
      <c r="C880" s="13">
        <v>2394.9</v>
      </c>
      <c r="D880" s="5">
        <v>7.7773694115342424</v>
      </c>
      <c r="E880" s="5">
        <v>7.7810967553198633</v>
      </c>
      <c r="F880" s="5">
        <v>1.1749441146566397E-2</v>
      </c>
      <c r="G880" s="5">
        <v>1.4722231079319137E-2</v>
      </c>
    </row>
    <row r="881" spans="1:7" x14ac:dyDescent="0.25">
      <c r="A881" s="12">
        <v>45428</v>
      </c>
      <c r="B881" s="13">
        <v>2376.86</v>
      </c>
      <c r="C881" s="13">
        <v>2385.5</v>
      </c>
      <c r="D881" s="5">
        <v>7.7735355678553537</v>
      </c>
      <c r="E881" s="5">
        <v>7.7771640249561615</v>
      </c>
      <c r="F881" s="5">
        <v>-3.8338436788887265E-3</v>
      </c>
      <c r="G881" s="5">
        <v>-3.9327303637017863E-3</v>
      </c>
    </row>
    <row r="882" spans="1:7" x14ac:dyDescent="0.25">
      <c r="A882" s="12">
        <v>45429</v>
      </c>
      <c r="B882" s="13">
        <v>2415.2199999999998</v>
      </c>
      <c r="C882" s="13">
        <v>2417.4</v>
      </c>
      <c r="D882" s="5">
        <v>7.7895456592460537</v>
      </c>
      <c r="E882" s="5">
        <v>7.7904478614253563</v>
      </c>
      <c r="F882" s="5">
        <v>1.6010091390699976E-2</v>
      </c>
      <c r="G882" s="5">
        <v>1.3283836469194732E-2</v>
      </c>
    </row>
    <row r="883" spans="1:7" x14ac:dyDescent="0.25">
      <c r="A883" s="12">
        <v>45432</v>
      </c>
      <c r="B883" s="13">
        <v>2425.31</v>
      </c>
      <c r="C883" s="13">
        <v>2438.5</v>
      </c>
      <c r="D883" s="5">
        <v>7.7937146302529259</v>
      </c>
      <c r="E883" s="5">
        <v>7.7991383751501075</v>
      </c>
      <c r="F883" s="5">
        <v>4.1689710068721908E-3</v>
      </c>
      <c r="G883" s="5">
        <v>8.6905137247512698E-3</v>
      </c>
    </row>
    <row r="884" spans="1:7" x14ac:dyDescent="0.25">
      <c r="A884" s="12">
        <v>45433</v>
      </c>
      <c r="B884" s="13">
        <v>2421.0500000000002</v>
      </c>
      <c r="C884" s="13">
        <v>2425.9</v>
      </c>
      <c r="D884" s="5">
        <v>7.7919566093476789</v>
      </c>
      <c r="E884" s="5">
        <v>7.7939578685390067</v>
      </c>
      <c r="F884" s="5">
        <v>-1.7580209052470153E-3</v>
      </c>
      <c r="G884" s="5">
        <v>-5.1805066111008102E-3</v>
      </c>
    </row>
    <row r="885" spans="1:7" x14ac:dyDescent="0.25">
      <c r="A885" s="12">
        <v>45434</v>
      </c>
      <c r="B885" s="13">
        <v>2378.85</v>
      </c>
      <c r="C885" s="13">
        <v>2392.9</v>
      </c>
      <c r="D885" s="5">
        <v>7.7743724566127197</v>
      </c>
      <c r="E885" s="5">
        <v>7.7802612984852706</v>
      </c>
      <c r="F885" s="5">
        <v>-1.7584152734959169E-2</v>
      </c>
      <c r="G885" s="5">
        <v>-1.3696570053736146E-2</v>
      </c>
    </row>
    <row r="886" spans="1:7" x14ac:dyDescent="0.25">
      <c r="A886" s="12">
        <v>45435</v>
      </c>
      <c r="B886" s="13">
        <v>2329.27</v>
      </c>
      <c r="C886" s="13">
        <v>2337.1999999999998</v>
      </c>
      <c r="D886" s="5">
        <v>7.7533101927485379</v>
      </c>
      <c r="E886" s="5">
        <v>7.756708910680282</v>
      </c>
      <c r="F886" s="5">
        <v>-2.1062263864181752E-2</v>
      </c>
      <c r="G886" s="5">
        <v>-2.3552387804988584E-2</v>
      </c>
    </row>
    <row r="887" spans="1:7" x14ac:dyDescent="0.25">
      <c r="A887" s="12">
        <v>45436</v>
      </c>
      <c r="B887" s="13">
        <v>2333.83</v>
      </c>
      <c r="C887" s="13">
        <v>2334.5</v>
      </c>
      <c r="D887" s="5">
        <v>7.7552659738613308</v>
      </c>
      <c r="E887" s="5">
        <v>7.7555530144109914</v>
      </c>
      <c r="F887" s="5">
        <v>1.9557811127928204E-3</v>
      </c>
      <c r="G887" s="5">
        <v>-1.1558962692905794E-3</v>
      </c>
    </row>
    <row r="888" spans="1:7" x14ac:dyDescent="0.25">
      <c r="A888" s="12">
        <v>45439</v>
      </c>
      <c r="B888" s="13">
        <v>2350.9699999999998</v>
      </c>
      <c r="C888" s="13">
        <v>2334.5</v>
      </c>
      <c r="D888" s="5">
        <v>7.7625832879312178</v>
      </c>
      <c r="E888" s="5">
        <v>7.7555530144109914</v>
      </c>
      <c r="F888" s="5">
        <v>7.3173140698870043E-3</v>
      </c>
      <c r="G888" s="5">
        <v>0</v>
      </c>
    </row>
    <row r="889" spans="1:7" x14ac:dyDescent="0.25">
      <c r="A889" s="12">
        <v>45440</v>
      </c>
      <c r="B889" s="13">
        <v>2361.31</v>
      </c>
      <c r="C889" s="13">
        <v>2356.5</v>
      </c>
      <c r="D889" s="5">
        <v>7.766971828762868</v>
      </c>
      <c r="E889" s="5">
        <v>7.7649327463637858</v>
      </c>
      <c r="F889" s="5">
        <v>4.3885408316501895E-3</v>
      </c>
      <c r="G889" s="5">
        <v>9.3797319527944012E-3</v>
      </c>
    </row>
    <row r="890" spans="1:7" x14ac:dyDescent="0.25">
      <c r="A890" s="12">
        <v>45441</v>
      </c>
      <c r="B890" s="13">
        <v>2338.12</v>
      </c>
      <c r="C890" s="13">
        <v>2341.1999999999998</v>
      </c>
      <c r="D890" s="5">
        <v>7.757102466634473</v>
      </c>
      <c r="E890" s="5">
        <v>7.7584188974170658</v>
      </c>
      <c r="F890" s="5">
        <v>-9.869362128394954E-3</v>
      </c>
      <c r="G890" s="5">
        <v>-6.5138489467200245E-3</v>
      </c>
    </row>
    <row r="891" spans="1:7" x14ac:dyDescent="0.25">
      <c r="A891" s="12">
        <v>45442</v>
      </c>
      <c r="B891" s="13">
        <v>2343.0700000000002</v>
      </c>
      <c r="C891" s="13">
        <v>2342.9</v>
      </c>
      <c r="D891" s="5">
        <v>7.7592173142885699</v>
      </c>
      <c r="E891" s="5">
        <v>7.759144757272594</v>
      </c>
      <c r="F891" s="5">
        <v>2.114847654096863E-3</v>
      </c>
      <c r="G891" s="5">
        <v>7.258598555281992E-4</v>
      </c>
    </row>
    <row r="892" spans="1:7" x14ac:dyDescent="0.25">
      <c r="A892" s="12">
        <v>45443</v>
      </c>
      <c r="B892" s="13">
        <v>2327.33</v>
      </c>
      <c r="C892" s="13">
        <v>2322.9</v>
      </c>
      <c r="D892" s="5">
        <v>7.7524769667414777</v>
      </c>
      <c r="E892" s="5">
        <v>7.7505716840607874</v>
      </c>
      <c r="F892" s="5">
        <v>-6.7403475470921848E-3</v>
      </c>
      <c r="G892" s="5">
        <v>-8.5730732118065589E-3</v>
      </c>
    </row>
    <row r="893" spans="1:7" x14ac:dyDescent="0.25">
      <c r="A893" s="12">
        <v>45446</v>
      </c>
      <c r="B893" s="13">
        <v>2350.75</v>
      </c>
      <c r="C893" s="13">
        <v>2346.6</v>
      </c>
      <c r="D893" s="5">
        <v>7.7624897051571864</v>
      </c>
      <c r="E893" s="5">
        <v>7.7607227509895234</v>
      </c>
      <c r="F893" s="5">
        <v>1.0012738415708711E-2</v>
      </c>
      <c r="G893" s="5">
        <v>1.0151066928735908E-2</v>
      </c>
    </row>
    <row r="894" spans="1:7" x14ac:dyDescent="0.25">
      <c r="A894" s="12">
        <v>45447</v>
      </c>
      <c r="B894" s="13">
        <v>2327.0100000000002</v>
      </c>
      <c r="C894" s="13">
        <v>2325.5</v>
      </c>
      <c r="D894" s="5">
        <v>7.7523394606716574</v>
      </c>
      <c r="E894" s="5">
        <v>7.7516903486641517</v>
      </c>
      <c r="F894" s="5">
        <v>-1.0150244485529036E-2</v>
      </c>
      <c r="G894" s="5">
        <v>-9.0324023253716135E-3</v>
      </c>
    </row>
    <row r="895" spans="1:7" x14ac:dyDescent="0.25">
      <c r="A895" s="12">
        <v>45448</v>
      </c>
      <c r="B895" s="13">
        <v>2355.3200000000002</v>
      </c>
      <c r="C895" s="13">
        <v>2354.1</v>
      </c>
      <c r="D895" s="5">
        <v>7.7644318783235509</v>
      </c>
      <c r="E895" s="5">
        <v>7.7639137678015375</v>
      </c>
      <c r="F895" s="5">
        <v>1.2092417651893506E-2</v>
      </c>
      <c r="G895" s="5">
        <v>1.2223419137385783E-2</v>
      </c>
    </row>
    <row r="896" spans="1:7" x14ac:dyDescent="0.25">
      <c r="A896" s="12">
        <v>45449</v>
      </c>
      <c r="B896" s="13">
        <v>2376.06</v>
      </c>
      <c r="C896" s="13">
        <v>2370.3000000000002</v>
      </c>
      <c r="D896" s="5">
        <v>7.7731989326889481</v>
      </c>
      <c r="E896" s="5">
        <v>7.7707718083967974</v>
      </c>
      <c r="F896" s="5">
        <v>8.7670543653972643E-3</v>
      </c>
      <c r="G896" s="5">
        <v>6.8580405952598511E-3</v>
      </c>
    </row>
    <row r="897" spans="1:7" x14ac:dyDescent="0.25">
      <c r="A897" s="12">
        <v>45450</v>
      </c>
      <c r="B897" s="13">
        <v>2293.7800000000002</v>
      </c>
      <c r="C897" s="13">
        <v>2305.1999999999998</v>
      </c>
      <c r="D897" s="5">
        <v>7.7379563907364242</v>
      </c>
      <c r="E897" s="5">
        <v>7.742922719562511</v>
      </c>
      <c r="F897" s="5">
        <v>-3.5242541952523965E-2</v>
      </c>
      <c r="G897" s="5">
        <v>-2.7849088834286384E-2</v>
      </c>
    </row>
    <row r="898" spans="1:7" x14ac:dyDescent="0.25">
      <c r="A898" s="12">
        <v>45453</v>
      </c>
      <c r="B898" s="13">
        <v>2310.88</v>
      </c>
      <c r="C898" s="13">
        <v>2307.6999999999998</v>
      </c>
      <c r="D898" s="5">
        <v>7.7453836833528564</v>
      </c>
      <c r="E898" s="5">
        <v>7.7440066365105338</v>
      </c>
      <c r="F898" s="5">
        <v>7.4272926164322683E-3</v>
      </c>
      <c r="G898" s="5">
        <v>1.0839169480227895E-3</v>
      </c>
    </row>
    <row r="899" spans="1:7" x14ac:dyDescent="0.25">
      <c r="A899" s="12">
        <v>45454</v>
      </c>
      <c r="B899" s="13">
        <v>2317.0100000000002</v>
      </c>
      <c r="C899" s="13">
        <v>2307.5</v>
      </c>
      <c r="D899" s="5">
        <v>7.748032840348829</v>
      </c>
      <c r="E899" s="5">
        <v>7.7439199663770069</v>
      </c>
      <c r="F899" s="5">
        <v>2.649156995972568E-3</v>
      </c>
      <c r="G899" s="5">
        <v>-8.6670133526922655E-5</v>
      </c>
    </row>
    <row r="900" spans="1:7" x14ac:dyDescent="0.25">
      <c r="A900" s="12">
        <v>45455</v>
      </c>
      <c r="B900" s="13">
        <v>2324.98</v>
      </c>
      <c r="C900" s="13">
        <v>2336</v>
      </c>
      <c r="D900" s="5">
        <v>7.7514667158339208</v>
      </c>
      <c r="E900" s="5">
        <v>7.7561953439481179</v>
      </c>
      <c r="F900" s="5">
        <v>3.4338754850917752E-3</v>
      </c>
      <c r="G900" s="5">
        <v>1.2275377571111079E-2</v>
      </c>
    </row>
    <row r="901" spans="1:7" x14ac:dyDescent="0.25">
      <c r="A901" s="12">
        <v>45456</v>
      </c>
      <c r="B901" s="13">
        <v>2304.21</v>
      </c>
      <c r="C901" s="13">
        <v>2300.1999999999998</v>
      </c>
      <c r="D901" s="5">
        <v>7.7424931634955865</v>
      </c>
      <c r="E901" s="5">
        <v>7.7407513546584807</v>
      </c>
      <c r="F901" s="5">
        <v>-8.9735523383343008E-3</v>
      </c>
      <c r="G901" s="5">
        <v>-1.5443989289637194E-2</v>
      </c>
    </row>
    <row r="902" spans="1:7" x14ac:dyDescent="0.25">
      <c r="A902" s="12">
        <v>45457</v>
      </c>
      <c r="B902" s="13">
        <v>2333.04</v>
      </c>
      <c r="C902" s="13">
        <v>2331.4</v>
      </c>
      <c r="D902" s="5">
        <v>7.754927417180923</v>
      </c>
      <c r="E902" s="5">
        <v>7.754224224485732</v>
      </c>
      <c r="F902" s="5">
        <v>1.2434253685336571E-2</v>
      </c>
      <c r="G902" s="5">
        <v>1.3472869827251266E-2</v>
      </c>
    </row>
    <row r="903" spans="1:7" x14ac:dyDescent="0.25">
      <c r="A903" s="12">
        <v>45460</v>
      </c>
      <c r="B903" s="13">
        <v>2319.14</v>
      </c>
      <c r="C903" s="13">
        <v>2312.4</v>
      </c>
      <c r="D903" s="5">
        <v>7.7489517062827895</v>
      </c>
      <c r="E903" s="5">
        <v>7.7460412252083213</v>
      </c>
      <c r="F903" s="5">
        <v>-5.975710898133535E-3</v>
      </c>
      <c r="G903" s="5">
        <v>-8.1829992774107296E-3</v>
      </c>
    </row>
    <row r="904" spans="1:7" x14ac:dyDescent="0.25">
      <c r="A904" s="12">
        <v>45461</v>
      </c>
      <c r="B904" s="13">
        <v>2329.46</v>
      </c>
      <c r="C904" s="13">
        <v>2330.4</v>
      </c>
      <c r="D904" s="5">
        <v>7.7533917600426747</v>
      </c>
      <c r="E904" s="5">
        <v>7.7537952056452246</v>
      </c>
      <c r="F904" s="5">
        <v>4.4400537598852097E-3</v>
      </c>
      <c r="G904" s="5">
        <v>7.7539804369033405E-3</v>
      </c>
    </row>
    <row r="905" spans="1:7" x14ac:dyDescent="0.25">
      <c r="A905" s="12">
        <v>45462</v>
      </c>
      <c r="B905" s="13">
        <v>2328.16</v>
      </c>
      <c r="C905" s="13">
        <v>2330.4</v>
      </c>
      <c r="D905" s="5">
        <v>7.7528335350119688</v>
      </c>
      <c r="E905" s="5">
        <v>7.7537952056452246</v>
      </c>
      <c r="F905" s="5">
        <v>-5.5822503070590557E-4</v>
      </c>
      <c r="G905" s="5">
        <v>0</v>
      </c>
    </row>
    <row r="906" spans="1:7" x14ac:dyDescent="0.25">
      <c r="A906" s="12">
        <v>45463</v>
      </c>
      <c r="B906" s="13">
        <v>2360.09</v>
      </c>
      <c r="C906" s="13">
        <v>2353.8000000000002</v>
      </c>
      <c r="D906" s="5">
        <v>7.7664550328857329</v>
      </c>
      <c r="E906" s="5">
        <v>7.7637863224435621</v>
      </c>
      <c r="F906" s="5">
        <v>1.3621497873764099E-2</v>
      </c>
      <c r="G906" s="5">
        <v>9.9911167983375293E-3</v>
      </c>
    </row>
    <row r="907" spans="1:7" x14ac:dyDescent="0.25">
      <c r="A907" s="12">
        <v>45464</v>
      </c>
      <c r="B907" s="13">
        <v>2321.98</v>
      </c>
      <c r="C907" s="13">
        <v>2316.4</v>
      </c>
      <c r="D907" s="5">
        <v>7.7501755489563156</v>
      </c>
      <c r="E907" s="5">
        <v>7.7477695353516349</v>
      </c>
      <c r="F907" s="5">
        <v>-1.627948392941736E-2</v>
      </c>
      <c r="G907" s="5">
        <v>-1.601678709192722E-2</v>
      </c>
    </row>
    <row r="908" spans="1:7" x14ac:dyDescent="0.25">
      <c r="A908" s="12">
        <v>45467</v>
      </c>
      <c r="B908" s="13">
        <v>2334.65</v>
      </c>
      <c r="C908" s="13">
        <v>2330</v>
      </c>
      <c r="D908" s="5">
        <v>7.7556172659343101</v>
      </c>
      <c r="E908" s="5">
        <v>7.7536235465597461</v>
      </c>
      <c r="F908" s="5">
        <v>5.4417169779945596E-3</v>
      </c>
      <c r="G908" s="5">
        <v>5.8540112081111317E-3</v>
      </c>
    </row>
    <row r="909" spans="1:7" x14ac:dyDescent="0.25">
      <c r="A909" s="12">
        <v>45468</v>
      </c>
      <c r="B909" s="13">
        <v>2319.62</v>
      </c>
      <c r="C909" s="13">
        <v>2316.6</v>
      </c>
      <c r="D909" s="5">
        <v>7.7491586581413516</v>
      </c>
      <c r="E909" s="5">
        <v>7.7478558724982456</v>
      </c>
      <c r="F909" s="5">
        <v>-6.4586077929584818E-3</v>
      </c>
      <c r="G909" s="5">
        <v>-5.7676740615004718E-3</v>
      </c>
    </row>
    <row r="910" spans="1:7" x14ac:dyDescent="0.25">
      <c r="A910" s="12">
        <v>45469</v>
      </c>
      <c r="B910" s="13">
        <v>2298.23</v>
      </c>
      <c r="C910" s="13">
        <v>2299.1999999999998</v>
      </c>
      <c r="D910" s="5">
        <v>7.7398945404325303</v>
      </c>
      <c r="E910" s="5">
        <v>7.7403165153247606</v>
      </c>
      <c r="F910" s="5">
        <v>-9.2641177088212956E-3</v>
      </c>
      <c r="G910" s="5">
        <v>-7.5393571734849729E-3</v>
      </c>
    </row>
    <row r="911" spans="1:7" x14ac:dyDescent="0.25">
      <c r="A911" s="12">
        <v>45470</v>
      </c>
      <c r="B911" s="13">
        <v>2327.73</v>
      </c>
      <c r="C911" s="13">
        <v>2336.6</v>
      </c>
      <c r="D911" s="5">
        <v>7.7526488227437564</v>
      </c>
      <c r="E911" s="5">
        <v>7.7564521602830476</v>
      </c>
      <c r="F911" s="5">
        <v>1.2754282311226106E-2</v>
      </c>
      <c r="G911" s="5">
        <v>1.613564495828701E-2</v>
      </c>
    </row>
    <row r="912" spans="1:7" x14ac:dyDescent="0.25">
      <c r="A912" s="12">
        <v>45471</v>
      </c>
      <c r="B912" s="13">
        <v>2326.75</v>
      </c>
      <c r="C912" s="13">
        <v>2339.6</v>
      </c>
      <c r="D912" s="5">
        <v>7.7522277230658201</v>
      </c>
      <c r="E912" s="5">
        <v>7.7577352535688711</v>
      </c>
      <c r="F912" s="5">
        <v>-4.2109967793635406E-4</v>
      </c>
      <c r="G912" s="5">
        <v>1.2830932858234334E-3</v>
      </c>
    </row>
    <row r="913" spans="1:7" x14ac:dyDescent="0.25">
      <c r="A913" s="12">
        <v>45474</v>
      </c>
      <c r="B913" s="13">
        <v>2331.9</v>
      </c>
      <c r="C913" s="13">
        <v>2338.9</v>
      </c>
      <c r="D913" s="5">
        <v>7.754438664904284</v>
      </c>
      <c r="E913" s="5">
        <v>7.7574360123568482</v>
      </c>
      <c r="F913" s="5">
        <v>2.2109418384639312E-3</v>
      </c>
      <c r="G913" s="5">
        <v>-2.9924121202284937E-4</v>
      </c>
    </row>
    <row r="914" spans="1:7" x14ac:dyDescent="0.25">
      <c r="A914" s="12">
        <v>45475</v>
      </c>
      <c r="B914" s="13">
        <v>2329.46</v>
      </c>
      <c r="C914" s="13">
        <v>2333.4</v>
      </c>
      <c r="D914" s="5">
        <v>7.7533917600426747</v>
      </c>
      <c r="E914" s="5">
        <v>7.7550817103897565</v>
      </c>
      <c r="F914" s="5">
        <v>-1.0469048616092991E-3</v>
      </c>
      <c r="G914" s="5">
        <v>-2.3543019670917431E-3</v>
      </c>
    </row>
    <row r="915" spans="1:7" x14ac:dyDescent="0.25">
      <c r="A915" s="12">
        <v>45476</v>
      </c>
      <c r="B915" s="13">
        <v>2356.1999999999998</v>
      </c>
      <c r="C915" s="13">
        <v>2369.4</v>
      </c>
      <c r="D915" s="5">
        <v>7.7648054308120189</v>
      </c>
      <c r="E915" s="5">
        <v>7.7703920375206588</v>
      </c>
      <c r="F915" s="5">
        <v>1.1413670769344186E-2</v>
      </c>
      <c r="G915" s="5">
        <v>1.5310327130902301E-2</v>
      </c>
    </row>
    <row r="916" spans="1:7" x14ac:dyDescent="0.25">
      <c r="A916" s="12">
        <v>45477</v>
      </c>
      <c r="B916" s="13">
        <v>2356.69</v>
      </c>
      <c r="C916" s="13">
        <v>2369.4</v>
      </c>
      <c r="D916" s="5">
        <v>7.7650133711635929</v>
      </c>
      <c r="E916" s="5">
        <v>7.7703920375206588</v>
      </c>
      <c r="F916" s="5">
        <v>2.079403515740097E-4</v>
      </c>
      <c r="G916" s="5">
        <v>0</v>
      </c>
    </row>
    <row r="917" spans="1:7" x14ac:dyDescent="0.25">
      <c r="A917" s="12">
        <v>45478</v>
      </c>
      <c r="B917" s="13">
        <v>2392.16</v>
      </c>
      <c r="C917" s="13">
        <v>2397.6999999999998</v>
      </c>
      <c r="D917" s="5">
        <v>7.7799520024656177</v>
      </c>
      <c r="E917" s="5">
        <v>7.782265223507725</v>
      </c>
      <c r="F917" s="5">
        <v>1.4938631302024774E-2</v>
      </c>
      <c r="G917" s="5">
        <v>1.1873185987066215E-2</v>
      </c>
    </row>
    <row r="918" spans="1:7" x14ac:dyDescent="0.25">
      <c r="A918" s="12">
        <v>45481</v>
      </c>
      <c r="B918" s="13">
        <v>2359.13</v>
      </c>
      <c r="C918" s="13">
        <v>2363.5</v>
      </c>
      <c r="D918" s="5">
        <v>7.7660481859859312</v>
      </c>
      <c r="E918" s="5">
        <v>7.7678988502332906</v>
      </c>
      <c r="F918" s="5">
        <v>-1.3903816479686526E-2</v>
      </c>
      <c r="G918" s="5">
        <v>-1.4366373274434352E-2</v>
      </c>
    </row>
    <row r="919" spans="1:7" x14ac:dyDescent="0.25">
      <c r="A919" s="12">
        <v>45482</v>
      </c>
      <c r="B919" s="13">
        <v>2364.09</v>
      </c>
      <c r="C919" s="13">
        <v>2367.9</v>
      </c>
      <c r="D919" s="5">
        <v>7.7681484488672945</v>
      </c>
      <c r="E919" s="5">
        <v>7.7697587653824662</v>
      </c>
      <c r="F919" s="5">
        <v>2.1002628813633351E-3</v>
      </c>
      <c r="G919" s="5">
        <v>1.8599151491756061E-3</v>
      </c>
    </row>
    <row r="920" spans="1:7" x14ac:dyDescent="0.25">
      <c r="A920" s="12">
        <v>45483</v>
      </c>
      <c r="B920" s="13">
        <v>2371.2600000000002</v>
      </c>
      <c r="C920" s="13">
        <v>2379.6999999999998</v>
      </c>
      <c r="D920" s="5">
        <v>7.7711767384253605</v>
      </c>
      <c r="E920" s="5">
        <v>7.7747297083003302</v>
      </c>
      <c r="F920" s="5">
        <v>3.0282895580659996E-3</v>
      </c>
      <c r="G920" s="5">
        <v>4.9709429178639297E-3</v>
      </c>
    </row>
    <row r="921" spans="1:7" x14ac:dyDescent="0.25">
      <c r="A921" s="12">
        <v>45484</v>
      </c>
      <c r="B921" s="13">
        <v>2415.48</v>
      </c>
      <c r="C921" s="13">
        <v>2421.9</v>
      </c>
      <c r="D921" s="5">
        <v>7.7896533041009404</v>
      </c>
      <c r="E921" s="5">
        <v>7.7923076350690792</v>
      </c>
      <c r="F921" s="5">
        <v>1.847656567557987E-2</v>
      </c>
      <c r="G921" s="5">
        <v>1.757792676874903E-2</v>
      </c>
    </row>
    <row r="922" spans="1:7" x14ac:dyDescent="0.25">
      <c r="A922" s="12">
        <v>45485</v>
      </c>
      <c r="B922" s="13">
        <v>2411.4299999999998</v>
      </c>
      <c r="C922" s="13">
        <v>2420.6999999999998</v>
      </c>
      <c r="D922" s="5">
        <v>7.7879752115115206</v>
      </c>
      <c r="E922" s="5">
        <v>7.7918120335225707</v>
      </c>
      <c r="F922" s="5">
        <v>-1.6780925894197551E-3</v>
      </c>
      <c r="G922" s="5">
        <v>-4.9560154650851729E-4</v>
      </c>
    </row>
    <row r="923" spans="1:7" x14ac:dyDescent="0.25">
      <c r="A923" s="12">
        <v>45488</v>
      </c>
      <c r="B923" s="13">
        <v>2422.27</v>
      </c>
      <c r="C923" s="13">
        <v>2428.9</v>
      </c>
      <c r="D923" s="5">
        <v>7.7924603960170726</v>
      </c>
      <c r="E923" s="5">
        <v>7.7951937589492628</v>
      </c>
      <c r="F923" s="5">
        <v>4.4851845055520201E-3</v>
      </c>
      <c r="G923" s="5">
        <v>3.3817254266921282E-3</v>
      </c>
    </row>
    <row r="924" spans="1:7" x14ac:dyDescent="0.25">
      <c r="A924" s="12">
        <v>45489</v>
      </c>
      <c r="B924" s="13">
        <v>2469.08</v>
      </c>
      <c r="C924" s="13">
        <v>2467.8000000000002</v>
      </c>
      <c r="D924" s="5">
        <v>7.8116008906023513</v>
      </c>
      <c r="E924" s="5">
        <v>7.8110823444644337</v>
      </c>
      <c r="F924" s="5">
        <v>1.9140494585278667E-2</v>
      </c>
      <c r="G924" s="5">
        <v>1.5888585515170917E-2</v>
      </c>
    </row>
    <row r="925" spans="1:7" x14ac:dyDescent="0.25">
      <c r="A925" s="12">
        <v>45490</v>
      </c>
      <c r="B925" s="13">
        <v>2458.79</v>
      </c>
      <c r="C925" s="13">
        <v>2459.9</v>
      </c>
      <c r="D925" s="5">
        <v>7.8074246380000192</v>
      </c>
      <c r="E925" s="5">
        <v>7.8078759776936542</v>
      </c>
      <c r="F925" s="5">
        <v>-4.17625260233212E-3</v>
      </c>
      <c r="G925" s="5">
        <v>-3.2063667707795673E-3</v>
      </c>
    </row>
    <row r="926" spans="1:7" x14ac:dyDescent="0.25">
      <c r="A926" s="12">
        <v>45491</v>
      </c>
      <c r="B926" s="13">
        <v>2445.08</v>
      </c>
      <c r="C926" s="13">
        <v>2456.4</v>
      </c>
      <c r="D926" s="5">
        <v>7.8018331212100911</v>
      </c>
      <c r="E926" s="5">
        <v>7.8064521424552442</v>
      </c>
      <c r="F926" s="5">
        <v>-5.591516789928086E-3</v>
      </c>
      <c r="G926" s="5">
        <v>-1.4238352384099429E-3</v>
      </c>
    </row>
    <row r="927" spans="1:7" x14ac:dyDescent="0.25">
      <c r="A927" s="12">
        <v>45492</v>
      </c>
      <c r="B927" s="13">
        <v>2400.83</v>
      </c>
      <c r="C927" s="13">
        <v>2399.1</v>
      </c>
      <c r="D927" s="5">
        <v>7.7835697898828071</v>
      </c>
      <c r="E927" s="5">
        <v>7.782848946005954</v>
      </c>
      <c r="F927" s="5">
        <v>-1.8263331327283971E-2</v>
      </c>
      <c r="G927" s="5">
        <v>-2.3603196449290209E-2</v>
      </c>
    </row>
    <row r="928" spans="1:7" x14ac:dyDescent="0.25">
      <c r="A928" s="12">
        <v>45495</v>
      </c>
      <c r="B928" s="13">
        <v>2396.59</v>
      </c>
      <c r="C928" s="13">
        <v>2394.6999999999998</v>
      </c>
      <c r="D928" s="5">
        <v>7.7818021726618927</v>
      </c>
      <c r="E928" s="5">
        <v>7.7810132410388722</v>
      </c>
      <c r="F928" s="5">
        <v>-1.7676172209144525E-3</v>
      </c>
      <c r="G928" s="5">
        <v>-1.8357049670818526E-3</v>
      </c>
    </row>
    <row r="929" spans="1:7" x14ac:dyDescent="0.25">
      <c r="A929" s="12">
        <v>45496</v>
      </c>
      <c r="B929" s="13">
        <v>2409.64</v>
      </c>
      <c r="C929" s="13">
        <v>2407.3000000000002</v>
      </c>
      <c r="D929" s="5">
        <v>7.7872326377333954</v>
      </c>
      <c r="E929" s="5">
        <v>7.7862610664935339</v>
      </c>
      <c r="F929" s="5">
        <v>5.4304650715026881E-3</v>
      </c>
      <c r="G929" s="5">
        <v>5.2478254546617364E-3</v>
      </c>
    </row>
    <row r="930" spans="1:7" x14ac:dyDescent="0.25">
      <c r="A930" s="12">
        <v>45497</v>
      </c>
      <c r="B930" s="13">
        <v>2397.6999999999998</v>
      </c>
      <c r="C930" s="13">
        <v>2415.6999999999998</v>
      </c>
      <c r="D930" s="5">
        <v>7.782265223507725</v>
      </c>
      <c r="E930" s="5">
        <v>7.7897443791592709</v>
      </c>
      <c r="F930" s="5">
        <v>-4.9674142256703746E-3</v>
      </c>
      <c r="G930" s="5">
        <v>3.4833126657369817E-3</v>
      </c>
    </row>
    <row r="931" spans="1:7" x14ac:dyDescent="0.25">
      <c r="A931" s="12">
        <v>45498</v>
      </c>
      <c r="B931" s="13">
        <v>2364.56</v>
      </c>
      <c r="C931" s="13">
        <v>2353.5</v>
      </c>
      <c r="D931" s="5">
        <v>7.7683472371056066</v>
      </c>
      <c r="E931" s="5">
        <v>7.7636588608411969</v>
      </c>
      <c r="F931" s="5">
        <v>-1.3917986402118387E-2</v>
      </c>
      <c r="G931" s="5">
        <v>-2.608551831807393E-2</v>
      </c>
    </row>
    <row r="932" spans="1:7" x14ac:dyDescent="0.25">
      <c r="A932" s="12">
        <v>45499</v>
      </c>
      <c r="B932" s="13">
        <v>2387.19</v>
      </c>
      <c r="C932" s="13">
        <v>2381</v>
      </c>
      <c r="D932" s="5">
        <v>7.7778722209926245</v>
      </c>
      <c r="E932" s="5">
        <v>7.7752758464868625</v>
      </c>
      <c r="F932" s="5">
        <v>9.524983887017946E-3</v>
      </c>
      <c r="G932" s="5">
        <v>1.1616985645665601E-2</v>
      </c>
    </row>
    <row r="933" spans="1:7" x14ac:dyDescent="0.25">
      <c r="A933" s="12">
        <v>45502</v>
      </c>
      <c r="B933" s="13">
        <v>2384.19</v>
      </c>
      <c r="C933" s="13">
        <v>2377.8000000000002</v>
      </c>
      <c r="D933" s="5">
        <v>7.7766147229961016</v>
      </c>
      <c r="E933" s="5">
        <v>7.7739309694244447</v>
      </c>
      <c r="F933" s="5">
        <v>-1.2574979965229716E-3</v>
      </c>
      <c r="G933" s="5">
        <v>-1.3448770624178152E-3</v>
      </c>
    </row>
    <row r="934" spans="1:7" x14ac:dyDescent="0.25">
      <c r="A934" s="12">
        <v>45503</v>
      </c>
      <c r="B934" s="13">
        <v>2410.7800000000002</v>
      </c>
      <c r="C934" s="13">
        <v>2405</v>
      </c>
      <c r="D934" s="5">
        <v>7.7877056255731496</v>
      </c>
      <c r="E934" s="5">
        <v>7.7853051825398616</v>
      </c>
      <c r="F934" s="5">
        <v>1.1090902577048034E-2</v>
      </c>
      <c r="G934" s="5">
        <v>1.1374213115416865E-2</v>
      </c>
    </row>
    <row r="935" spans="1:7" x14ac:dyDescent="0.25">
      <c r="A935" s="12">
        <v>45504</v>
      </c>
      <c r="B935" s="13">
        <v>2447.6</v>
      </c>
      <c r="C935" s="13">
        <v>2426.5</v>
      </c>
      <c r="D935" s="5">
        <v>7.8028632315883852</v>
      </c>
      <c r="E935" s="5">
        <v>7.7942051688452709</v>
      </c>
      <c r="F935" s="5">
        <v>1.5157606015235636E-2</v>
      </c>
      <c r="G935" s="5">
        <v>8.8999863054093353E-3</v>
      </c>
    </row>
    <row r="936" spans="1:7" x14ac:dyDescent="0.25">
      <c r="A936" s="12">
        <v>45505</v>
      </c>
      <c r="B936" s="13">
        <v>2446.2600000000002</v>
      </c>
      <c r="C936" s="13">
        <v>2435</v>
      </c>
      <c r="D936" s="5">
        <v>7.8023156065915575</v>
      </c>
      <c r="E936" s="5">
        <v>7.7977020355166902</v>
      </c>
      <c r="F936" s="5">
        <v>-5.4762499682770027E-4</v>
      </c>
      <c r="G936" s="5">
        <v>3.4968666714192409E-3</v>
      </c>
    </row>
    <row r="937" spans="1:7" x14ac:dyDescent="0.25">
      <c r="A937" s="12">
        <v>45506</v>
      </c>
      <c r="B937" s="13">
        <v>2443.2399999999998</v>
      </c>
      <c r="C937" s="13">
        <v>2425.6999999999998</v>
      </c>
      <c r="D937" s="5">
        <v>7.8010803063015342</v>
      </c>
      <c r="E937" s="5">
        <v>7.7938754215111752</v>
      </c>
      <c r="F937" s="5">
        <v>-1.2353002900233889E-3</v>
      </c>
      <c r="G937" s="5">
        <v>-3.8266140055149833E-3</v>
      </c>
    </row>
    <row r="938" spans="1:7" x14ac:dyDescent="0.25">
      <c r="A938" s="12">
        <v>45509</v>
      </c>
      <c r="B938" s="13">
        <v>2410.79</v>
      </c>
      <c r="C938" s="13">
        <v>2401.6999999999998</v>
      </c>
      <c r="D938" s="5">
        <v>7.7877097735996221</v>
      </c>
      <c r="E938" s="5">
        <v>7.7839320989197169</v>
      </c>
      <c r="F938" s="5">
        <v>-1.3370532701912019E-2</v>
      </c>
      <c r="G938" s="5">
        <v>-9.9433225914582479E-3</v>
      </c>
    </row>
    <row r="939" spans="1:7" x14ac:dyDescent="0.25">
      <c r="A939" s="12">
        <v>45510</v>
      </c>
      <c r="B939" s="13">
        <v>2390.8200000000002</v>
      </c>
      <c r="C939" s="13">
        <v>2389.1</v>
      </c>
      <c r="D939" s="5">
        <v>7.7793916823158122</v>
      </c>
      <c r="E939" s="5">
        <v>7.7786720049679747</v>
      </c>
      <c r="F939" s="5">
        <v>-8.3180912838098919E-3</v>
      </c>
      <c r="G939" s="5">
        <v>-5.2600939517422063E-3</v>
      </c>
    </row>
    <row r="940" spans="1:7" x14ac:dyDescent="0.25">
      <c r="A940" s="12">
        <v>45511</v>
      </c>
      <c r="B940" s="13">
        <v>2382.92</v>
      </c>
      <c r="C940" s="13">
        <v>2390.5</v>
      </c>
      <c r="D940" s="5">
        <v>7.7760819054063903</v>
      </c>
      <c r="E940" s="5">
        <v>7.7792578280661582</v>
      </c>
      <c r="F940" s="5">
        <v>-3.3097769094219132E-3</v>
      </c>
      <c r="G940" s="5">
        <v>5.8582309818344669E-4</v>
      </c>
    </row>
    <row r="941" spans="1:7" x14ac:dyDescent="0.25">
      <c r="A941" s="12">
        <v>45512</v>
      </c>
      <c r="B941" s="13">
        <v>2427.5300000000002</v>
      </c>
      <c r="C941" s="13">
        <v>2422.1999999999998</v>
      </c>
      <c r="D941" s="5">
        <v>7.7946295584825247</v>
      </c>
      <c r="E941" s="5">
        <v>7.7924314970869499</v>
      </c>
      <c r="F941" s="5">
        <v>1.8547653076134374E-2</v>
      </c>
      <c r="G941" s="5">
        <v>1.3173669020791756E-2</v>
      </c>
    </row>
    <row r="942" spans="1:7" x14ac:dyDescent="0.25">
      <c r="A942" s="12">
        <v>45513</v>
      </c>
      <c r="B942" s="13">
        <v>2431.3200000000002</v>
      </c>
      <c r="C942" s="13">
        <v>2432.1</v>
      </c>
      <c r="D942" s="5">
        <v>7.7961895987260599</v>
      </c>
      <c r="E942" s="5">
        <v>7.7965103606617712</v>
      </c>
      <c r="F942" s="5">
        <v>1.5600402435351768E-3</v>
      </c>
      <c r="G942" s="5">
        <v>4.0788635748212343E-3</v>
      </c>
    </row>
    <row r="943" spans="1:7" x14ac:dyDescent="0.25">
      <c r="A943" s="12">
        <v>45516</v>
      </c>
      <c r="B943" s="13">
        <v>2472.9</v>
      </c>
      <c r="C943" s="13">
        <v>2462.4</v>
      </c>
      <c r="D943" s="5">
        <v>7.8131468299872919</v>
      </c>
      <c r="E943" s="5">
        <v>7.8088917630846151</v>
      </c>
      <c r="F943" s="5">
        <v>1.6957231261232053E-2</v>
      </c>
      <c r="G943" s="5">
        <v>1.2381402422843912E-2</v>
      </c>
    </row>
    <row r="944" spans="1:7" x14ac:dyDescent="0.25">
      <c r="A944" s="12">
        <v>45517</v>
      </c>
      <c r="B944" s="13">
        <v>2465.16</v>
      </c>
      <c r="C944" s="13">
        <v>2466.6999999999998</v>
      </c>
      <c r="D944" s="5">
        <v>7.8100119930924201</v>
      </c>
      <c r="E944" s="5">
        <v>7.8106365039463581</v>
      </c>
      <c r="F944" s="5">
        <v>-3.1348368948718175E-3</v>
      </c>
      <c r="G944" s="5">
        <v>1.7447408617430327E-3</v>
      </c>
    </row>
    <row r="945" spans="1:7" x14ac:dyDescent="0.25">
      <c r="A945" s="12">
        <v>45518</v>
      </c>
      <c r="B945" s="13">
        <v>2447.85</v>
      </c>
      <c r="C945" s="13">
        <v>2439.4</v>
      </c>
      <c r="D945" s="5">
        <v>7.8029653672450534</v>
      </c>
      <c r="E945" s="5">
        <v>7.7995073864091378</v>
      </c>
      <c r="F945" s="5">
        <v>-7.0466258473667054E-3</v>
      </c>
      <c r="G945" s="5">
        <v>-1.1129117537220345E-2</v>
      </c>
    </row>
    <row r="946" spans="1:7" x14ac:dyDescent="0.25">
      <c r="A946" s="12">
        <v>45519</v>
      </c>
      <c r="B946" s="13">
        <v>2456.79</v>
      </c>
      <c r="C946" s="13">
        <v>2453.1</v>
      </c>
      <c r="D946" s="5">
        <v>7.8066108987829335</v>
      </c>
      <c r="E946" s="5">
        <v>7.8051078098360414</v>
      </c>
      <c r="F946" s="5">
        <v>3.6455315378800535E-3</v>
      </c>
      <c r="G946" s="5">
        <v>5.6004234269035891E-3</v>
      </c>
    </row>
    <row r="947" spans="1:7" x14ac:dyDescent="0.25">
      <c r="A947" s="12">
        <v>45520</v>
      </c>
      <c r="B947" s="13">
        <v>2508.0100000000002</v>
      </c>
      <c r="C947" s="13">
        <v>2498.6</v>
      </c>
      <c r="D947" s="5">
        <v>7.8272448889856916</v>
      </c>
      <c r="E947" s="5">
        <v>7.8234858539977292</v>
      </c>
      <c r="F947" s="5">
        <v>2.0633990202758135E-2</v>
      </c>
      <c r="G947" s="5">
        <v>1.8378044161687868E-2</v>
      </c>
    </row>
    <row r="948" spans="1:7" x14ac:dyDescent="0.25">
      <c r="A948" s="12">
        <v>45523</v>
      </c>
      <c r="B948" s="13">
        <v>2504.2800000000002</v>
      </c>
      <c r="C948" s="13">
        <v>2501.8000000000002</v>
      </c>
      <c r="D948" s="5">
        <v>7.8257565470547394</v>
      </c>
      <c r="E948" s="5">
        <v>7.8247657517806415</v>
      </c>
      <c r="F948" s="5">
        <v>-1.4883419309521528E-3</v>
      </c>
      <c r="G948" s="5">
        <v>1.2798977829122649E-3</v>
      </c>
    </row>
    <row r="949" spans="1:7" x14ac:dyDescent="0.25">
      <c r="A949" s="12">
        <v>45524</v>
      </c>
      <c r="B949" s="13">
        <v>2513.9899999999998</v>
      </c>
      <c r="C949" s="13">
        <v>2511.3000000000002</v>
      </c>
      <c r="D949" s="5">
        <v>7.8296264114175402</v>
      </c>
      <c r="E949" s="5">
        <v>7.8285558263341208</v>
      </c>
      <c r="F949" s="5">
        <v>3.86986436280079E-3</v>
      </c>
      <c r="G949" s="5">
        <v>3.7900745534793501E-3</v>
      </c>
    </row>
    <row r="950" spans="1:7" x14ac:dyDescent="0.25">
      <c r="A950" s="12">
        <v>45525</v>
      </c>
      <c r="B950" s="13">
        <v>2512.56</v>
      </c>
      <c r="C950" s="13">
        <v>2508.4</v>
      </c>
      <c r="D950" s="5">
        <v>7.8290574326792095</v>
      </c>
      <c r="E950" s="5">
        <v>7.827400378668866</v>
      </c>
      <c r="F950" s="5">
        <v>-5.6897873833072765E-4</v>
      </c>
      <c r="G950" s="5">
        <v>-1.1554476652548828E-3</v>
      </c>
    </row>
    <row r="951" spans="1:7" x14ac:dyDescent="0.25">
      <c r="A951" s="12">
        <v>45526</v>
      </c>
      <c r="B951" s="13">
        <v>2484.75</v>
      </c>
      <c r="C951" s="13">
        <v>2478.9</v>
      </c>
      <c r="D951" s="5">
        <v>7.8179273298481151</v>
      </c>
      <c r="E951" s="5">
        <v>7.8155701923752483</v>
      </c>
      <c r="F951" s="5">
        <v>-1.1130102831094391E-2</v>
      </c>
      <c r="G951" s="5">
        <v>-1.1830186293617651E-2</v>
      </c>
    </row>
    <row r="952" spans="1:7" x14ac:dyDescent="0.25">
      <c r="A952" s="12">
        <v>45527</v>
      </c>
      <c r="B952" s="13">
        <v>2512.59</v>
      </c>
      <c r="C952" s="13">
        <v>2508.4</v>
      </c>
      <c r="D952" s="5">
        <v>7.8290693726213005</v>
      </c>
      <c r="E952" s="5">
        <v>7.827400378668866</v>
      </c>
      <c r="F952" s="5">
        <v>1.1142042773185423E-2</v>
      </c>
      <c r="G952" s="5">
        <v>1.1830186293617651E-2</v>
      </c>
    </row>
    <row r="953" spans="1:7" x14ac:dyDescent="0.25">
      <c r="A953" s="12">
        <v>45530</v>
      </c>
      <c r="B953" s="13">
        <v>2518.0300000000002</v>
      </c>
      <c r="C953" s="13">
        <v>2517.6999999999998</v>
      </c>
      <c r="D953" s="5">
        <v>7.8312321287509521</v>
      </c>
      <c r="E953" s="5">
        <v>7.8311010653299693</v>
      </c>
      <c r="F953" s="5">
        <v>2.1627561296515552E-3</v>
      </c>
      <c r="G953" s="5">
        <v>3.7006866611033473E-3</v>
      </c>
    </row>
    <row r="954" spans="1:7" x14ac:dyDescent="0.25">
      <c r="A954" s="12">
        <v>45531</v>
      </c>
      <c r="B954" s="13">
        <v>2524.64</v>
      </c>
      <c r="C954" s="13">
        <v>2516</v>
      </c>
      <c r="D954" s="5">
        <v>7.8338537572873586</v>
      </c>
      <c r="E954" s="5">
        <v>7.8304256178203309</v>
      </c>
      <c r="F954" s="5">
        <v>2.6216285364064618E-3</v>
      </c>
      <c r="G954" s="5">
        <v>-6.7544750963843825E-4</v>
      </c>
    </row>
    <row r="955" spans="1:7" x14ac:dyDescent="0.25">
      <c r="A955" s="12">
        <v>45532</v>
      </c>
      <c r="B955" s="13">
        <v>2504.61</v>
      </c>
      <c r="C955" s="13">
        <v>2501</v>
      </c>
      <c r="D955" s="5">
        <v>7.8258883127754792</v>
      </c>
      <c r="E955" s="5">
        <v>7.8244459308776193</v>
      </c>
      <c r="F955" s="5">
        <v>-7.9654445118793049E-3</v>
      </c>
      <c r="G955" s="5">
        <v>-5.9796869427115595E-3</v>
      </c>
    </row>
    <row r="956" spans="1:7" x14ac:dyDescent="0.25">
      <c r="A956" s="12">
        <v>45533</v>
      </c>
      <c r="B956" s="13">
        <v>2521.4</v>
      </c>
      <c r="C956" s="13">
        <v>2536.6999999999998</v>
      </c>
      <c r="D956" s="5">
        <v>7.832569581797169</v>
      </c>
      <c r="E956" s="5">
        <v>7.8386193027057525</v>
      </c>
      <c r="F956" s="5">
        <v>6.6812690216897508E-3</v>
      </c>
      <c r="G956" s="5">
        <v>1.4173371828133163E-2</v>
      </c>
    </row>
    <row r="957" spans="1:7" x14ac:dyDescent="0.25">
      <c r="A957" s="12">
        <v>45534</v>
      </c>
      <c r="B957" s="13">
        <v>2503.39</v>
      </c>
      <c r="C957" s="13">
        <v>2504.5</v>
      </c>
      <c r="D957" s="5">
        <v>7.8254010923185566</v>
      </c>
      <c r="E957" s="5">
        <v>7.8258443927976717</v>
      </c>
      <c r="F957" s="5">
        <v>-7.1684894786123721E-3</v>
      </c>
      <c r="G957" s="5">
        <v>-1.2774909908080723E-2</v>
      </c>
    </row>
    <row r="958" spans="1:7" x14ac:dyDescent="0.25">
      <c r="A958" s="12">
        <v>45537</v>
      </c>
      <c r="B958" s="13">
        <v>2499.5100000000002</v>
      </c>
      <c r="C958" s="13">
        <v>2504.5</v>
      </c>
      <c r="D958" s="5">
        <v>7.8238499916457824</v>
      </c>
      <c r="E958" s="5">
        <v>7.8258443927976717</v>
      </c>
      <c r="F958" s="5">
        <v>-1.5511006727741972E-3</v>
      </c>
      <c r="G958" s="5">
        <v>0</v>
      </c>
    </row>
    <row r="959" spans="1:7" x14ac:dyDescent="0.25">
      <c r="A959" s="12">
        <v>45538</v>
      </c>
      <c r="B959" s="13">
        <v>2492.91</v>
      </c>
      <c r="C959" s="13">
        <v>2499.6999999999998</v>
      </c>
      <c r="D959" s="5">
        <v>7.8212059817888653</v>
      </c>
      <c r="E959" s="5">
        <v>7.8239260036557159</v>
      </c>
      <c r="F959" s="5">
        <v>-2.6440098569171511E-3</v>
      </c>
      <c r="G959" s="5">
        <v>-1.9183891419558563E-3</v>
      </c>
    </row>
    <row r="960" spans="1:7" x14ac:dyDescent="0.25">
      <c r="A960" s="12">
        <v>45539</v>
      </c>
      <c r="B960" s="13">
        <v>2495.7199999999998</v>
      </c>
      <c r="C960" s="13">
        <v>2502.6999999999998</v>
      </c>
      <c r="D960" s="5">
        <v>7.8223325437095497</v>
      </c>
      <c r="E960" s="5">
        <v>7.8251254280758564</v>
      </c>
      <c r="F960" s="5">
        <v>1.126561920684388E-3</v>
      </c>
      <c r="G960" s="5">
        <v>1.199424420140538E-3</v>
      </c>
    </row>
    <row r="961" spans="1:7" x14ac:dyDescent="0.25">
      <c r="A961" s="12">
        <v>45540</v>
      </c>
      <c r="B961" s="13">
        <v>2516.7600000000002</v>
      </c>
      <c r="C961" s="13">
        <v>2519.6999999999998</v>
      </c>
      <c r="D961" s="5">
        <v>7.8307276389800036</v>
      </c>
      <c r="E961" s="5">
        <v>7.8318951257996909</v>
      </c>
      <c r="F961" s="5">
        <v>8.3950952704539006E-3</v>
      </c>
      <c r="G961" s="5">
        <v>6.7696977238345113E-3</v>
      </c>
    </row>
    <row r="962" spans="1:7" x14ac:dyDescent="0.25">
      <c r="A962" s="12">
        <v>45541</v>
      </c>
      <c r="B962" s="13">
        <v>2497.41</v>
      </c>
      <c r="C962" s="13">
        <v>2501.5</v>
      </c>
      <c r="D962" s="5">
        <v>7.8230094738373586</v>
      </c>
      <c r="E962" s="5">
        <v>7.8246458309282598</v>
      </c>
      <c r="F962" s="5">
        <v>-7.718165142645006E-3</v>
      </c>
      <c r="G962" s="5">
        <v>-7.2492948714311112E-3</v>
      </c>
    </row>
    <row r="963" spans="1:7" x14ac:dyDescent="0.25">
      <c r="A963" s="12">
        <v>45544</v>
      </c>
      <c r="B963" s="13">
        <v>2506.38</v>
      </c>
      <c r="C963" s="13">
        <v>2509.3000000000002</v>
      </c>
      <c r="D963" s="5">
        <v>7.8265947600338501</v>
      </c>
      <c r="E963" s="5">
        <v>7.8277591087681753</v>
      </c>
      <c r="F963" s="5">
        <v>3.5852861964915661E-3</v>
      </c>
      <c r="G963" s="5">
        <v>3.1132778399154404E-3</v>
      </c>
    </row>
    <row r="964" spans="1:7" x14ac:dyDescent="0.25">
      <c r="A964" s="12">
        <v>45545</v>
      </c>
      <c r="B964" s="13">
        <v>2516.73</v>
      </c>
      <c r="C964" s="13">
        <v>2519.5</v>
      </c>
      <c r="D964" s="5">
        <v>7.8307157188212271</v>
      </c>
      <c r="E964" s="5">
        <v>7.8318157481206532</v>
      </c>
      <c r="F964" s="5">
        <v>4.1209587873769493E-3</v>
      </c>
      <c r="G964" s="5">
        <v>4.0566393524779087E-3</v>
      </c>
    </row>
    <row r="965" spans="1:7" x14ac:dyDescent="0.25">
      <c r="A965" s="12">
        <v>45546</v>
      </c>
      <c r="B965" s="13">
        <v>2511.7600000000002</v>
      </c>
      <c r="C965" s="13">
        <v>2519</v>
      </c>
      <c r="D965" s="5">
        <v>7.8287389816224451</v>
      </c>
      <c r="E965" s="5">
        <v>7.8316172763526106</v>
      </c>
      <c r="F965" s="5">
        <v>-1.9767371987819971E-3</v>
      </c>
      <c r="G965" s="5">
        <v>-1.9847176804255184E-4</v>
      </c>
    </row>
    <row r="966" spans="1:7" x14ac:dyDescent="0.25">
      <c r="A966" s="12">
        <v>45547</v>
      </c>
      <c r="B966" s="13">
        <v>2557.9</v>
      </c>
      <c r="C966" s="13">
        <v>2557.1</v>
      </c>
      <c r="D966" s="5">
        <v>7.8469418883331965</v>
      </c>
      <c r="E966" s="5">
        <v>7.8466290828565501</v>
      </c>
      <c r="F966" s="5">
        <v>1.8202906710751421E-2</v>
      </c>
      <c r="G966" s="5">
        <v>1.5011806503939518E-2</v>
      </c>
    </row>
    <row r="967" spans="1:7" x14ac:dyDescent="0.25">
      <c r="A967" s="12">
        <v>45548</v>
      </c>
      <c r="B967" s="13">
        <v>2577.6999999999998</v>
      </c>
      <c r="C967" s="13">
        <v>2586.8000000000002</v>
      </c>
      <c r="D967" s="5">
        <v>7.8546528074491926</v>
      </c>
      <c r="E967" s="5">
        <v>7.8581768695724374</v>
      </c>
      <c r="F967" s="5">
        <v>7.7109191159960844E-3</v>
      </c>
      <c r="G967" s="5">
        <v>1.1547786715887298E-2</v>
      </c>
    </row>
    <row r="968" spans="1:7" x14ac:dyDescent="0.25">
      <c r="A968" s="12">
        <v>45551</v>
      </c>
      <c r="B968" s="13">
        <v>2582.4499999999998</v>
      </c>
      <c r="C968" s="13">
        <v>2585.1999999999998</v>
      </c>
      <c r="D968" s="5">
        <v>7.8564938397221447</v>
      </c>
      <c r="E968" s="5">
        <v>7.85755815338874</v>
      </c>
      <c r="F968" s="5">
        <v>1.8410322729520701E-3</v>
      </c>
      <c r="G968" s="5">
        <v>-6.1871618369746528E-4</v>
      </c>
    </row>
    <row r="969" spans="1:7" x14ac:dyDescent="0.25">
      <c r="A969" s="12">
        <v>45552</v>
      </c>
      <c r="B969" s="13">
        <v>2569.5</v>
      </c>
      <c r="C969" s="13">
        <v>2568.9</v>
      </c>
      <c r="D969" s="5">
        <v>7.8514666064322842</v>
      </c>
      <c r="E969" s="5">
        <v>7.851233070700256</v>
      </c>
      <c r="F969" s="5">
        <v>-5.0272332898604333E-3</v>
      </c>
      <c r="G969" s="5">
        <v>-6.3250826884839739E-3</v>
      </c>
    </row>
    <row r="970" spans="1:7" x14ac:dyDescent="0.25">
      <c r="A970" s="12">
        <v>45553</v>
      </c>
      <c r="B970" s="13">
        <v>2558.91</v>
      </c>
      <c r="C970" s="13">
        <v>2574.9</v>
      </c>
      <c r="D970" s="5">
        <v>7.8473366655530334</v>
      </c>
      <c r="E970" s="5">
        <v>7.8535659773922841</v>
      </c>
      <c r="F970" s="5">
        <v>-4.1299408792507819E-3</v>
      </c>
      <c r="G970" s="5">
        <v>2.332906692028125E-3</v>
      </c>
    </row>
    <row r="971" spans="1:7" x14ac:dyDescent="0.25">
      <c r="A971" s="12">
        <v>45554</v>
      </c>
      <c r="B971" s="13">
        <v>2586.7399999999998</v>
      </c>
      <c r="C971" s="13">
        <v>2590.9</v>
      </c>
      <c r="D971" s="5">
        <v>7.8581536746227503</v>
      </c>
      <c r="E971" s="5">
        <v>7.859760584680286</v>
      </c>
      <c r="F971" s="5">
        <v>1.0817009069716832E-2</v>
      </c>
      <c r="G971" s="5">
        <v>6.1946072880019187E-3</v>
      </c>
    </row>
    <row r="972" spans="1:7" x14ac:dyDescent="0.25">
      <c r="A972" s="12">
        <v>45555</v>
      </c>
      <c r="B972" s="13">
        <v>2621.88</v>
      </c>
      <c r="C972" s="13">
        <v>2622.4</v>
      </c>
      <c r="D972" s="5">
        <v>7.8716468966859336</v>
      </c>
      <c r="E972" s="5">
        <v>7.8718452079895656</v>
      </c>
      <c r="F972" s="5">
        <v>1.3493222063183374E-2</v>
      </c>
      <c r="G972" s="5">
        <v>1.2084623309279507E-2</v>
      </c>
    </row>
    <row r="973" spans="1:7" x14ac:dyDescent="0.25">
      <c r="A973" s="12">
        <v>45558</v>
      </c>
      <c r="B973" s="13">
        <v>2628.72</v>
      </c>
      <c r="C973" s="13">
        <v>2628.6</v>
      </c>
      <c r="D973" s="5">
        <v>7.8742523146836003</v>
      </c>
      <c r="E973" s="5">
        <v>7.8742066640479074</v>
      </c>
      <c r="F973" s="5">
        <v>2.6054179976666703E-3</v>
      </c>
      <c r="G973" s="5">
        <v>2.3614560583418154E-3</v>
      </c>
    </row>
    <row r="974" spans="1:7" x14ac:dyDescent="0.25">
      <c r="A974" s="12">
        <v>45559</v>
      </c>
      <c r="B974" s="13">
        <v>2657.1</v>
      </c>
      <c r="C974" s="13">
        <v>2653</v>
      </c>
      <c r="D974" s="5">
        <v>7.8849905814836472</v>
      </c>
      <c r="E974" s="5">
        <v>7.8834463541377398</v>
      </c>
      <c r="F974" s="5">
        <v>1.0738266800046858E-2</v>
      </c>
      <c r="G974" s="5">
        <v>9.2396900898323864E-3</v>
      </c>
    </row>
    <row r="975" spans="1:7" x14ac:dyDescent="0.25">
      <c r="A975" s="12">
        <v>45560</v>
      </c>
      <c r="B975" s="13">
        <v>2656.89</v>
      </c>
      <c r="C975" s="13">
        <v>2660.7</v>
      </c>
      <c r="D975" s="5">
        <v>7.884911544827534</v>
      </c>
      <c r="E975" s="5">
        <v>7.8863445250505162</v>
      </c>
      <c r="F975" s="5">
        <v>-7.9036656113196102E-5</v>
      </c>
      <c r="G975" s="5">
        <v>2.8981709127764432E-3</v>
      </c>
    </row>
    <row r="976" spans="1:7" x14ac:dyDescent="0.25">
      <c r="A976" s="12">
        <v>45561</v>
      </c>
      <c r="B976" s="13">
        <v>2672.38</v>
      </c>
      <c r="C976" s="13">
        <v>2670.4</v>
      </c>
      <c r="D976" s="5">
        <v>7.8907247401137237</v>
      </c>
      <c r="E976" s="5">
        <v>7.8899835529075704</v>
      </c>
      <c r="F976" s="5">
        <v>5.8131952861897318E-3</v>
      </c>
      <c r="G976" s="5">
        <v>3.6390278570541668E-3</v>
      </c>
    </row>
    <row r="977" spans="1:7" x14ac:dyDescent="0.25">
      <c r="A977" s="12">
        <v>45562</v>
      </c>
      <c r="B977" s="13">
        <v>2658.24</v>
      </c>
      <c r="C977" s="13">
        <v>2644.3</v>
      </c>
      <c r="D977" s="5">
        <v>7.8854195286507069</v>
      </c>
      <c r="E977" s="5">
        <v>7.8801616589827796</v>
      </c>
      <c r="F977" s="5">
        <v>-5.3052114630167679E-3</v>
      </c>
      <c r="G977" s="5">
        <v>-9.8218939247907144E-3</v>
      </c>
    </row>
    <row r="978" spans="1:7" x14ac:dyDescent="0.25">
      <c r="A978" s="12">
        <v>45565</v>
      </c>
      <c r="B978" s="13">
        <v>2634.58</v>
      </c>
      <c r="C978" s="13">
        <v>2636.1</v>
      </c>
      <c r="D978" s="5">
        <v>7.8764790554817079</v>
      </c>
      <c r="E978" s="5">
        <v>7.8770558311699075</v>
      </c>
      <c r="F978" s="5">
        <v>-8.9404731689990413E-3</v>
      </c>
      <c r="G978" s="5">
        <v>-3.1058278128721639E-3</v>
      </c>
    </row>
    <row r="979" spans="1:7" x14ac:dyDescent="0.25">
      <c r="A979" s="12">
        <v>45566</v>
      </c>
      <c r="B979" s="13">
        <v>2663.23</v>
      </c>
      <c r="C979" s="13">
        <v>2667.3</v>
      </c>
      <c r="D979" s="5">
        <v>7.8872949508414072</v>
      </c>
      <c r="E979" s="5">
        <v>7.8888220037952035</v>
      </c>
      <c r="F979" s="5">
        <v>1.081589535969929E-2</v>
      </c>
      <c r="G979" s="5">
        <v>1.1766172625296001E-2</v>
      </c>
    </row>
    <row r="980" spans="1:7" x14ac:dyDescent="0.25">
      <c r="A980" s="12">
        <v>45567</v>
      </c>
      <c r="B980" s="13">
        <v>2658.69</v>
      </c>
      <c r="C980" s="13">
        <v>2647.1</v>
      </c>
      <c r="D980" s="5">
        <v>7.8855887992640401</v>
      </c>
      <c r="E980" s="5">
        <v>7.88121998013081</v>
      </c>
      <c r="F980" s="5">
        <v>-1.7061515773670877E-3</v>
      </c>
      <c r="G980" s="5">
        <v>-7.6020236643934425E-3</v>
      </c>
    </row>
    <row r="981" spans="1:7" x14ac:dyDescent="0.25">
      <c r="A981" s="12">
        <v>45568</v>
      </c>
      <c r="B981" s="13">
        <v>2655.89</v>
      </c>
      <c r="C981" s="13">
        <v>2657.1</v>
      </c>
      <c r="D981" s="5">
        <v>7.8845350940760213</v>
      </c>
      <c r="E981" s="5">
        <v>7.8849905814836472</v>
      </c>
      <c r="F981" s="5">
        <v>-1.0537051880188386E-3</v>
      </c>
      <c r="G981" s="5">
        <v>3.7706013528371329E-3</v>
      </c>
    </row>
    <row r="982" spans="1:7" x14ac:dyDescent="0.25">
      <c r="A982" s="12">
        <v>45569</v>
      </c>
      <c r="B982" s="13">
        <v>2653.6</v>
      </c>
      <c r="C982" s="13">
        <v>2645.8</v>
      </c>
      <c r="D982" s="5">
        <v>7.8836724876328423</v>
      </c>
      <c r="E982" s="5">
        <v>7.8807287560282795</v>
      </c>
      <c r="F982" s="5">
        <v>-8.6260644317892599E-4</v>
      </c>
      <c r="G982" s="5">
        <v>-4.2618254553676849E-3</v>
      </c>
    </row>
    <row r="983" spans="1:7" x14ac:dyDescent="0.25">
      <c r="A983" s="12">
        <v>45572</v>
      </c>
      <c r="B983" s="13">
        <v>2642.59</v>
      </c>
      <c r="C983" s="13">
        <v>2644.8</v>
      </c>
      <c r="D983" s="5">
        <v>7.8795147758209847</v>
      </c>
      <c r="E983" s="5">
        <v>7.8803507270667597</v>
      </c>
      <c r="F983" s="5">
        <v>-4.157711811857645E-3</v>
      </c>
      <c r="G983" s="5">
        <v>-3.7802896151983845E-4</v>
      </c>
    </row>
    <row r="984" spans="1:7" x14ac:dyDescent="0.25">
      <c r="A984" s="12">
        <v>45573</v>
      </c>
      <c r="B984" s="13">
        <v>2621.83</v>
      </c>
      <c r="C984" s="13">
        <v>2615</v>
      </c>
      <c r="D984" s="5">
        <v>7.8716278262186492</v>
      </c>
      <c r="E984" s="5">
        <v>7.8690193764990228</v>
      </c>
      <c r="F984" s="5">
        <v>-7.8869496023354912E-3</v>
      </c>
      <c r="G984" s="5">
        <v>-1.133135056773682E-2</v>
      </c>
    </row>
    <row r="985" spans="1:7" x14ac:dyDescent="0.25">
      <c r="A985" s="12">
        <v>45574</v>
      </c>
      <c r="B985" s="13">
        <v>2607.77</v>
      </c>
      <c r="C985" s="13">
        <v>2606</v>
      </c>
      <c r="D985" s="5">
        <v>7.8662507289735117</v>
      </c>
      <c r="E985" s="5">
        <v>7.8655717576847906</v>
      </c>
      <c r="F985" s="5">
        <v>-5.3770972451374632E-3</v>
      </c>
      <c r="G985" s="5">
        <v>-3.4476188142322783E-3</v>
      </c>
    </row>
    <row r="986" spans="1:7" x14ac:dyDescent="0.25">
      <c r="A986" s="12">
        <v>45575</v>
      </c>
      <c r="B986" s="13">
        <v>2629.74</v>
      </c>
      <c r="C986" s="13">
        <v>2620.6</v>
      </c>
      <c r="D986" s="5">
        <v>7.8746402609693167</v>
      </c>
      <c r="E986" s="5">
        <v>7.8711585781704851</v>
      </c>
      <c r="F986" s="5">
        <v>8.3895319958049441E-3</v>
      </c>
      <c r="G986" s="5">
        <v>5.586820485694588E-3</v>
      </c>
    </row>
    <row r="987" spans="1:7" x14ac:dyDescent="0.25">
      <c r="A987" s="12">
        <v>45576</v>
      </c>
      <c r="B987" s="13">
        <v>2656.59</v>
      </c>
      <c r="C987" s="13">
        <v>2657.6</v>
      </c>
      <c r="D987" s="5">
        <v>7.8847986244814257</v>
      </c>
      <c r="E987" s="5">
        <v>7.8851787388590306</v>
      </c>
      <c r="F987" s="5">
        <v>1.015836351210897E-2</v>
      </c>
      <c r="G987" s="5">
        <v>1.4020160688545502E-2</v>
      </c>
    </row>
    <row r="988" spans="1:7" x14ac:dyDescent="0.25">
      <c r="A988" s="12">
        <v>45579</v>
      </c>
      <c r="B988" s="13">
        <v>2648.54</v>
      </c>
      <c r="C988" s="13">
        <v>2647.8</v>
      </c>
      <c r="D988" s="5">
        <v>7.8817638237589609</v>
      </c>
      <c r="E988" s="5">
        <v>7.8814843855035566</v>
      </c>
      <c r="F988" s="5">
        <v>-3.0348007224647588E-3</v>
      </c>
      <c r="G988" s="5">
        <v>-3.6943533554740782E-3</v>
      </c>
    </row>
    <row r="989" spans="1:7" x14ac:dyDescent="0.25">
      <c r="A989" s="12">
        <v>45580</v>
      </c>
      <c r="B989" s="13">
        <v>2662.58</v>
      </c>
      <c r="C989" s="13">
        <v>2661.4</v>
      </c>
      <c r="D989" s="5">
        <v>7.8870508565146364</v>
      </c>
      <c r="E989" s="5">
        <v>7.8866075791096417</v>
      </c>
      <c r="F989" s="5">
        <v>5.287032755675547E-3</v>
      </c>
      <c r="G989" s="5">
        <v>5.1231936060851524E-3</v>
      </c>
    </row>
    <row r="990" spans="1:7" x14ac:dyDescent="0.25">
      <c r="A990" s="12">
        <v>45581</v>
      </c>
      <c r="B990" s="13">
        <v>2673.83</v>
      </c>
      <c r="C990" s="13">
        <v>2674</v>
      </c>
      <c r="D990" s="5">
        <v>7.8912671804726147</v>
      </c>
      <c r="E990" s="5">
        <v>7.8913307576618887</v>
      </c>
      <c r="F990" s="5">
        <v>4.2163239579782186E-3</v>
      </c>
      <c r="G990" s="5">
        <v>4.7231785522470204E-3</v>
      </c>
    </row>
    <row r="991" spans="1:7" x14ac:dyDescent="0.25">
      <c r="A991" s="12">
        <v>45582</v>
      </c>
      <c r="B991" s="13">
        <v>2692.71</v>
      </c>
      <c r="C991" s="13">
        <v>2691</v>
      </c>
      <c r="D991" s="5">
        <v>7.8983034004181061</v>
      </c>
      <c r="E991" s="5">
        <v>7.897668150726906</v>
      </c>
      <c r="F991" s="5">
        <v>7.0362199454914176E-3</v>
      </c>
      <c r="G991" s="5">
        <v>6.3373930650172383E-3</v>
      </c>
    </row>
    <row r="992" spans="1:7" x14ac:dyDescent="0.25">
      <c r="A992" s="12">
        <v>45583</v>
      </c>
      <c r="B992" s="13">
        <v>2721.46</v>
      </c>
      <c r="C992" s="13">
        <v>2713.7</v>
      </c>
      <c r="D992" s="5">
        <v>7.90892377998928</v>
      </c>
      <c r="E992" s="5">
        <v>7.9060682963336815</v>
      </c>
      <c r="F992" s="5">
        <v>1.0620379571173899E-2</v>
      </c>
      <c r="G992" s="5">
        <v>8.4001456067754887E-3</v>
      </c>
    </row>
    <row r="993" spans="1:7" x14ac:dyDescent="0.25">
      <c r="A993" s="12">
        <v>45586</v>
      </c>
      <c r="B993" s="13">
        <v>2719.85</v>
      </c>
      <c r="C993" s="13">
        <v>2723.1</v>
      </c>
      <c r="D993" s="5">
        <v>7.9083320107105646</v>
      </c>
      <c r="E993" s="5">
        <v>7.9095262162006916</v>
      </c>
      <c r="F993" s="5">
        <v>-5.9176927871540386E-4</v>
      </c>
      <c r="G993" s="5">
        <v>3.4579198670101619E-3</v>
      </c>
    </row>
    <row r="994" spans="1:7" x14ac:dyDescent="0.25">
      <c r="A994" s="12">
        <v>45587</v>
      </c>
      <c r="B994" s="13">
        <v>2749.01</v>
      </c>
      <c r="C994" s="13">
        <v>2744.2</v>
      </c>
      <c r="D994" s="5">
        <v>7.9189961258450605</v>
      </c>
      <c r="E994" s="5">
        <v>7.9172448724870748</v>
      </c>
      <c r="F994" s="5">
        <v>1.0664115134495944E-2</v>
      </c>
      <c r="G994" s="5">
        <v>7.7186562863831298E-3</v>
      </c>
    </row>
    <row r="995" spans="1:7" x14ac:dyDescent="0.25">
      <c r="A995" s="12">
        <v>45588</v>
      </c>
      <c r="B995" s="13">
        <v>2715.55</v>
      </c>
      <c r="C995" s="13">
        <v>2714.4</v>
      </c>
      <c r="D995" s="5">
        <v>7.9067497901207053</v>
      </c>
      <c r="E995" s="5">
        <v>7.9063262134700203</v>
      </c>
      <c r="F995" s="5">
        <v>-1.2246335724355184E-2</v>
      </c>
      <c r="G995" s="5">
        <v>-1.0918659017054466E-2</v>
      </c>
    </row>
    <row r="996" spans="1:7" x14ac:dyDescent="0.25">
      <c r="A996" s="12">
        <v>45589</v>
      </c>
      <c r="B996" s="13">
        <v>2736.17</v>
      </c>
      <c r="C996" s="13">
        <v>2734.9</v>
      </c>
      <c r="D996" s="5">
        <v>7.9143144113150967</v>
      </c>
      <c r="E996" s="5">
        <v>7.9138501511163382</v>
      </c>
      <c r="F996" s="5">
        <v>7.5646211943913855E-3</v>
      </c>
      <c r="G996" s="5">
        <v>7.5239376463178687E-3</v>
      </c>
    </row>
    <row r="997" spans="1:7" x14ac:dyDescent="0.25">
      <c r="A997" s="12">
        <v>45590</v>
      </c>
      <c r="B997" s="13">
        <v>2747.56</v>
      </c>
      <c r="C997" s="13">
        <v>2740.9</v>
      </c>
      <c r="D997" s="5">
        <v>7.9184685240739068</v>
      </c>
      <c r="E997" s="5">
        <v>7.9160416126018749</v>
      </c>
      <c r="F997" s="5">
        <v>4.1541127588100579E-3</v>
      </c>
      <c r="G997" s="5">
        <v>2.1914614855367276E-3</v>
      </c>
    </row>
    <row r="998" spans="1:7" x14ac:dyDescent="0.25">
      <c r="A998" s="12">
        <v>45593</v>
      </c>
      <c r="B998" s="13">
        <v>2742.46</v>
      </c>
      <c r="C998" s="13">
        <v>2742.9</v>
      </c>
      <c r="D998" s="5">
        <v>7.9166106068105675</v>
      </c>
      <c r="E998" s="5">
        <v>7.9167710338384909</v>
      </c>
      <c r="F998" s="5">
        <v>-1.8579172633392815E-3</v>
      </c>
      <c r="G998" s="5">
        <v>7.2942123661601244E-4</v>
      </c>
    </row>
    <row r="999" spans="1:7" x14ac:dyDescent="0.25">
      <c r="A999" s="12">
        <v>45594</v>
      </c>
      <c r="B999" s="13">
        <v>2774.74</v>
      </c>
      <c r="C999" s="13">
        <v>2768.4</v>
      </c>
      <c r="D999" s="5">
        <v>7.9283123280973129</v>
      </c>
      <c r="E999" s="5">
        <v>7.9260248149677084</v>
      </c>
      <c r="F999" s="5">
        <v>1.1701721286745403E-2</v>
      </c>
      <c r="G999" s="5">
        <v>9.2537811292174865E-3</v>
      </c>
    </row>
    <row r="1000" spans="1:7" x14ac:dyDescent="0.25">
      <c r="A1000" s="12">
        <v>45595</v>
      </c>
      <c r="B1000" s="13">
        <v>2787.61</v>
      </c>
      <c r="C1000" s="13">
        <v>2800.8</v>
      </c>
      <c r="D1000" s="5">
        <v>7.9329398768731822</v>
      </c>
      <c r="E1000" s="5">
        <v>7.9376603696404562</v>
      </c>
      <c r="F1000" s="5">
        <v>4.6275487758693501E-3</v>
      </c>
      <c r="G1000" s="5">
        <v>1.1635554672747794E-2</v>
      </c>
    </row>
    <row r="1001" spans="1:7" x14ac:dyDescent="0.25">
      <c r="A1001" s="12">
        <v>45596</v>
      </c>
      <c r="B1001" s="13">
        <v>2743.97</v>
      </c>
      <c r="C1001" s="13">
        <v>2749.3</v>
      </c>
      <c r="D1001" s="5">
        <v>7.9171610558414045</v>
      </c>
      <c r="E1001" s="5">
        <v>7.9191016128038791</v>
      </c>
      <c r="F1001" s="5">
        <v>-1.5778821031777746E-2</v>
      </c>
      <c r="G1001" s="5">
        <v>-1.8558756836577039E-2</v>
      </c>
    </row>
    <row r="1002" spans="1:7" x14ac:dyDescent="0.25">
      <c r="A1002" s="12">
        <v>45597</v>
      </c>
      <c r="B1002" s="13">
        <v>2736.53</v>
      </c>
      <c r="C1002" s="13">
        <v>2749.2</v>
      </c>
      <c r="D1002" s="5">
        <v>7.9144459734327057</v>
      </c>
      <c r="E1002" s="5">
        <v>7.9190652392474501</v>
      </c>
      <c r="F1002" s="5">
        <v>-2.7150824086987768E-3</v>
      </c>
      <c r="G1002" s="5">
        <v>-3.6373556429047937E-5</v>
      </c>
    </row>
    <row r="1003" spans="1:7" x14ac:dyDescent="0.25">
      <c r="A1003" s="12">
        <v>45600</v>
      </c>
      <c r="B1003" s="13">
        <v>2736.78</v>
      </c>
      <c r="C1003" s="13">
        <v>2746.2</v>
      </c>
      <c r="D1003" s="5">
        <v>7.9145373258319571</v>
      </c>
      <c r="E1003" s="5">
        <v>7.9179734168876514</v>
      </c>
      <c r="F1003" s="5">
        <v>9.1352399251398708E-5</v>
      </c>
      <c r="G1003" s="5">
        <v>-1.0918223597986554E-3</v>
      </c>
    </row>
    <row r="1004" spans="1:7" x14ac:dyDescent="0.25">
      <c r="A1004" s="12">
        <v>45601</v>
      </c>
      <c r="B1004" s="13">
        <v>2743.99</v>
      </c>
      <c r="C1004" s="13">
        <v>2749.7</v>
      </c>
      <c r="D1004" s="5">
        <v>7.9171683445242662</v>
      </c>
      <c r="E1004" s="5">
        <v>7.9192470938006796</v>
      </c>
      <c r="F1004" s="5">
        <v>2.6310186923090839E-3</v>
      </c>
      <c r="G1004" s="5">
        <v>1.2736769130281544E-3</v>
      </c>
    </row>
    <row r="1005" spans="1:7" x14ac:dyDescent="0.25">
      <c r="A1005" s="12">
        <v>45602</v>
      </c>
      <c r="B1005" s="13">
        <v>2659.06</v>
      </c>
      <c r="C1005" s="13">
        <v>2676.3</v>
      </c>
      <c r="D1005" s="5">
        <v>7.8857279558624498</v>
      </c>
      <c r="E1005" s="5">
        <v>7.8921905225878479</v>
      </c>
      <c r="F1005" s="5">
        <v>-3.1440388661816421E-2</v>
      </c>
      <c r="G1005" s="5">
        <v>-2.705657121283167E-2</v>
      </c>
    </row>
    <row r="1006" spans="1:7" x14ac:dyDescent="0.25">
      <c r="A1006" s="12">
        <v>45603</v>
      </c>
      <c r="B1006" s="13">
        <v>2706.71</v>
      </c>
      <c r="C1006" s="13">
        <v>2705.8</v>
      </c>
      <c r="D1006" s="5">
        <v>7.9034891542116741</v>
      </c>
      <c r="E1006" s="5">
        <v>7.9031528961692601</v>
      </c>
      <c r="F1006" s="5">
        <v>1.7761198349224294E-2</v>
      </c>
      <c r="G1006" s="5">
        <v>1.0962373581412166E-2</v>
      </c>
    </row>
    <row r="1007" spans="1:7" x14ac:dyDescent="0.25">
      <c r="A1007" s="12">
        <v>45604</v>
      </c>
      <c r="B1007" s="13">
        <v>2684.77</v>
      </c>
      <c r="C1007" s="13">
        <v>2694.8</v>
      </c>
      <c r="D1007" s="5">
        <v>7.8953503421937707</v>
      </c>
      <c r="E1007" s="5">
        <v>7.8990792690865046</v>
      </c>
      <c r="F1007" s="5">
        <v>-8.1388120179033407E-3</v>
      </c>
      <c r="G1007" s="5">
        <v>-4.0736270827554932E-3</v>
      </c>
    </row>
    <row r="1008" spans="1:7" x14ac:dyDescent="0.25">
      <c r="A1008" s="12">
        <v>45607</v>
      </c>
      <c r="B1008" s="13">
        <v>2618.8200000000002</v>
      </c>
      <c r="C1008" s="13">
        <v>2617.6999999999998</v>
      </c>
      <c r="D1008" s="5">
        <v>7.8704791136234622</v>
      </c>
      <c r="E1008" s="5">
        <v>7.8700513486126997</v>
      </c>
      <c r="F1008" s="5">
        <v>-2.4871228570308546E-2</v>
      </c>
      <c r="G1008" s="5">
        <v>-2.9027920473804869E-2</v>
      </c>
    </row>
    <row r="1009" spans="1:7" x14ac:dyDescent="0.25">
      <c r="A1009" s="12">
        <v>45608</v>
      </c>
      <c r="B1009" s="13">
        <v>2598.39</v>
      </c>
      <c r="C1009" s="13">
        <v>2606.3000000000002</v>
      </c>
      <c r="D1009" s="5">
        <v>7.8626473014377858</v>
      </c>
      <c r="E1009" s="5">
        <v>7.8656868700153666</v>
      </c>
      <c r="F1009" s="5">
        <v>-7.8318121856764122E-3</v>
      </c>
      <c r="G1009" s="5">
        <v>-4.3644785973331324E-3</v>
      </c>
    </row>
    <row r="1010" spans="1:7" x14ac:dyDescent="0.25">
      <c r="A1010" s="12">
        <v>45609</v>
      </c>
      <c r="B1010" s="13">
        <v>2572.98</v>
      </c>
      <c r="C1010" s="13">
        <v>2586.5</v>
      </c>
      <c r="D1010" s="5">
        <v>7.85282003922394</v>
      </c>
      <c r="E1010" s="5">
        <v>7.8580608894435695</v>
      </c>
      <c r="F1010" s="5">
        <v>-9.8272622138457777E-3</v>
      </c>
      <c r="G1010" s="5">
        <v>-7.6259805717970863E-3</v>
      </c>
    </row>
    <row r="1011" spans="1:7" x14ac:dyDescent="0.25">
      <c r="A1011" s="12">
        <v>45610</v>
      </c>
      <c r="B1011" s="13">
        <v>2564.85</v>
      </c>
      <c r="C1011" s="13">
        <v>2572.9</v>
      </c>
      <c r="D1011" s="5">
        <v>7.8496552763627117</v>
      </c>
      <c r="E1011" s="5">
        <v>7.8527889463885039</v>
      </c>
      <c r="F1011" s="5">
        <v>-3.164762861228354E-3</v>
      </c>
      <c r="G1011" s="5">
        <v>-5.2719430550656199E-3</v>
      </c>
    </row>
    <row r="1012" spans="1:7" x14ac:dyDescent="0.25">
      <c r="A1012" s="12">
        <v>45611</v>
      </c>
      <c r="B1012" s="13">
        <v>2563.25</v>
      </c>
      <c r="C1012" s="13">
        <v>2570.1</v>
      </c>
      <c r="D1012" s="5">
        <v>7.8490312635502004</v>
      </c>
      <c r="E1012" s="5">
        <v>7.8517000876381076</v>
      </c>
      <c r="F1012" s="5">
        <v>-6.2401281251123208E-4</v>
      </c>
      <c r="G1012" s="5">
        <v>-1.0888587503963265E-3</v>
      </c>
    </row>
    <row r="1013" spans="1:7" x14ac:dyDescent="0.25">
      <c r="A1013" s="12">
        <v>45614</v>
      </c>
      <c r="B1013" s="13">
        <v>2611.83</v>
      </c>
      <c r="C1013" s="13">
        <v>2614.6</v>
      </c>
      <c r="D1013" s="5">
        <v>7.8678064040516054</v>
      </c>
      <c r="E1013" s="5">
        <v>7.86886640112776</v>
      </c>
      <c r="F1013" s="5">
        <v>1.8775140501404941E-2</v>
      </c>
      <c r="G1013" s="5">
        <v>1.7166313489652474E-2</v>
      </c>
    </row>
    <row r="1014" spans="1:7" x14ac:dyDescent="0.25">
      <c r="A1014" s="12">
        <v>45615</v>
      </c>
      <c r="B1014" s="13">
        <v>2632.08</v>
      </c>
      <c r="C1014" s="13">
        <v>2631</v>
      </c>
      <c r="D1014" s="5">
        <v>7.8755296871200633</v>
      </c>
      <c r="E1014" s="5">
        <v>7.875119281040293</v>
      </c>
      <c r="F1014" s="5">
        <v>7.7232830684579312E-3</v>
      </c>
      <c r="G1014" s="5">
        <v>6.2528799125329826E-3</v>
      </c>
    </row>
    <row r="1015" spans="1:7" x14ac:dyDescent="0.25">
      <c r="A1015" s="12">
        <v>45616</v>
      </c>
      <c r="B1015" s="13">
        <v>2650.6</v>
      </c>
      <c r="C1015" s="13">
        <v>2651.7</v>
      </c>
      <c r="D1015" s="5">
        <v>7.8825413084465783</v>
      </c>
      <c r="E1015" s="5">
        <v>7.8829562227350118</v>
      </c>
      <c r="F1015" s="5">
        <v>7.0116213265150051E-3</v>
      </c>
      <c r="G1015" s="5">
        <v>7.8369416947188242E-3</v>
      </c>
    </row>
    <row r="1016" spans="1:7" x14ac:dyDescent="0.25">
      <c r="A1016" s="12">
        <v>45617</v>
      </c>
      <c r="B1016" s="13">
        <v>2669.72</v>
      </c>
      <c r="C1016" s="13">
        <v>2674.9</v>
      </c>
      <c r="D1016" s="5">
        <v>7.8897288769813088</v>
      </c>
      <c r="E1016" s="5">
        <v>7.8916672754537682</v>
      </c>
      <c r="F1016" s="5">
        <v>7.1875685347304596E-3</v>
      </c>
      <c r="G1016" s="5">
        <v>8.7110527187563846E-3</v>
      </c>
    </row>
    <row r="1017" spans="1:7" x14ac:dyDescent="0.25">
      <c r="A1017" s="12">
        <v>45618</v>
      </c>
      <c r="B1017" s="13">
        <v>2716.19</v>
      </c>
      <c r="C1017" s="13">
        <v>2712.2</v>
      </c>
      <c r="D1017" s="5">
        <v>7.9069854420491712</v>
      </c>
      <c r="E1017" s="5">
        <v>7.9055153926538448</v>
      </c>
      <c r="F1017" s="5">
        <v>1.7256565067862439E-2</v>
      </c>
      <c r="G1017" s="5">
        <v>1.3848117200076615E-2</v>
      </c>
    </row>
    <row r="1018" spans="1:7" x14ac:dyDescent="0.25">
      <c r="A1018" s="12">
        <v>45621</v>
      </c>
      <c r="B1018" s="13">
        <v>2625.01</v>
      </c>
      <c r="C1018" s="13">
        <v>2618.5</v>
      </c>
      <c r="D1018" s="5">
        <v>7.8728399845422778</v>
      </c>
      <c r="E1018" s="5">
        <v>7.8703569137195419</v>
      </c>
      <c r="F1018" s="5">
        <v>-3.4145457506893351E-2</v>
      </c>
      <c r="G1018" s="5">
        <v>-3.5158478934302906E-2</v>
      </c>
    </row>
    <row r="1019" spans="1:7" x14ac:dyDescent="0.25">
      <c r="A1019" s="12">
        <v>45622</v>
      </c>
      <c r="B1019" s="13">
        <v>2633.15</v>
      </c>
      <c r="C1019" s="13">
        <v>2621.3000000000002</v>
      </c>
      <c r="D1019" s="5">
        <v>7.8759361271102364</v>
      </c>
      <c r="E1019" s="5">
        <v>7.8714256569030674</v>
      </c>
      <c r="F1019" s="5">
        <v>3.0961425679585375E-3</v>
      </c>
      <c r="G1019" s="5">
        <v>1.0687431835254557E-3</v>
      </c>
    </row>
    <row r="1020" spans="1:7" x14ac:dyDescent="0.25">
      <c r="A1020" s="12">
        <v>45623</v>
      </c>
      <c r="B1020" s="13">
        <v>2636.02</v>
      </c>
      <c r="C1020" s="13">
        <v>2639.9</v>
      </c>
      <c r="D1020" s="5">
        <v>7.8770254828470287</v>
      </c>
      <c r="E1020" s="5">
        <v>7.8784963166350641</v>
      </c>
      <c r="F1020" s="5">
        <v>1.0893557367923634E-3</v>
      </c>
      <c r="G1020" s="5">
        <v>7.0706597319967202E-3</v>
      </c>
    </row>
    <row r="1021" spans="1:7" x14ac:dyDescent="0.25">
      <c r="A1021" s="12">
        <v>45624</v>
      </c>
      <c r="B1021" s="13">
        <v>2637.92</v>
      </c>
      <c r="C1021" s="13">
        <v>2639.9</v>
      </c>
      <c r="D1021" s="5">
        <v>7.8777460068128686</v>
      </c>
      <c r="E1021" s="5">
        <v>7.8784963166350641</v>
      </c>
      <c r="F1021" s="5">
        <v>7.2052396583988099E-4</v>
      </c>
      <c r="G1021" s="5">
        <v>0</v>
      </c>
    </row>
    <row r="1022" spans="1:7" x14ac:dyDescent="0.25">
      <c r="A1022" s="12">
        <v>45625</v>
      </c>
      <c r="B1022" s="13">
        <v>2643.15</v>
      </c>
      <c r="C1022" s="13">
        <v>2657</v>
      </c>
      <c r="D1022" s="5">
        <v>7.8797266666828492</v>
      </c>
      <c r="E1022" s="5">
        <v>7.8849529457598138</v>
      </c>
      <c r="F1022" s="5">
        <v>1.9806598699805278E-3</v>
      </c>
      <c r="G1022" s="5">
        <v>6.4566291247496466E-3</v>
      </c>
    </row>
    <row r="1023" spans="1:7" x14ac:dyDescent="0.25">
      <c r="A1023" s="12">
        <v>45628</v>
      </c>
      <c r="B1023" s="13">
        <v>2639.13</v>
      </c>
      <c r="C1023" s="13">
        <v>2634.9</v>
      </c>
      <c r="D1023" s="5">
        <v>7.8782045963737808</v>
      </c>
      <c r="E1023" s="5">
        <v>7.8766005095911815</v>
      </c>
      <c r="F1023" s="5">
        <v>-1.5220703090683685E-3</v>
      </c>
      <c r="G1023" s="5">
        <v>-8.3524361686322379E-3</v>
      </c>
    </row>
    <row r="1024" spans="1:7" x14ac:dyDescent="0.25">
      <c r="A1024" s="12">
        <v>45629</v>
      </c>
      <c r="B1024" s="13">
        <v>2643.49</v>
      </c>
      <c r="C1024" s="13">
        <v>2644.7</v>
      </c>
      <c r="D1024" s="5">
        <v>7.8798552928047219</v>
      </c>
      <c r="E1024" s="5">
        <v>7.8803129163095944</v>
      </c>
      <c r="F1024" s="5">
        <v>1.6506964309410677E-3</v>
      </c>
      <c r="G1024" s="5">
        <v>3.7124067184128862E-3</v>
      </c>
    </row>
    <row r="1025" spans="1:7" x14ac:dyDescent="0.25">
      <c r="A1025" s="12">
        <v>45630</v>
      </c>
      <c r="B1025" s="13">
        <v>2649.9</v>
      </c>
      <c r="C1025" s="13">
        <v>2653.8</v>
      </c>
      <c r="D1025" s="5">
        <v>7.8822771824191964</v>
      </c>
      <c r="E1025" s="5">
        <v>7.883747854102336</v>
      </c>
      <c r="F1025" s="5">
        <v>2.4218896144745372E-3</v>
      </c>
      <c r="G1025" s="5">
        <v>3.4349377927416214E-3</v>
      </c>
    </row>
    <row r="1026" spans="1:7" x14ac:dyDescent="0.25">
      <c r="A1026" s="12">
        <v>45631</v>
      </c>
      <c r="B1026" s="13">
        <v>2631.67</v>
      </c>
      <c r="C1026" s="13">
        <v>2626.6</v>
      </c>
      <c r="D1026" s="5">
        <v>7.8753739046452766</v>
      </c>
      <c r="E1026" s="5">
        <v>7.8734455131510597</v>
      </c>
      <c r="F1026" s="5">
        <v>-6.9032777739197471E-3</v>
      </c>
      <c r="G1026" s="5">
        <v>-1.0302340951276356E-2</v>
      </c>
    </row>
    <row r="1027" spans="1:7" x14ac:dyDescent="0.25">
      <c r="A1027" s="12">
        <v>45632</v>
      </c>
      <c r="B1027" s="13">
        <v>2633.37</v>
      </c>
      <c r="C1027" s="13">
        <v>2638.6</v>
      </c>
      <c r="D1027" s="5">
        <v>7.8760196737406973</v>
      </c>
      <c r="E1027" s="5">
        <v>7.8780037524496764</v>
      </c>
      <c r="F1027" s="5">
        <v>6.4576909542068961E-4</v>
      </c>
      <c r="G1027" s="5">
        <v>4.5582392986167619E-3</v>
      </c>
    </row>
    <row r="1028" spans="1:7" x14ac:dyDescent="0.25">
      <c r="A1028" s="12">
        <v>45635</v>
      </c>
      <c r="B1028" s="13">
        <v>2660.3</v>
      </c>
      <c r="C1028" s="13">
        <v>2664.9</v>
      </c>
      <c r="D1028" s="5">
        <v>7.8861941773712259</v>
      </c>
      <c r="E1028" s="5">
        <v>7.8879218124437651</v>
      </c>
      <c r="F1028" s="5">
        <v>1.017450363052852E-2</v>
      </c>
      <c r="G1028" s="5">
        <v>9.9180599940886793E-3</v>
      </c>
    </row>
    <row r="1029" spans="1:7" x14ac:dyDescent="0.25">
      <c r="A1029" s="12">
        <v>45636</v>
      </c>
      <c r="B1029" s="13">
        <v>2694.25</v>
      </c>
      <c r="C1029" s="13">
        <v>2697.6</v>
      </c>
      <c r="D1029" s="5">
        <v>7.8988751514769415</v>
      </c>
      <c r="E1029" s="5">
        <v>7.9001177678075365</v>
      </c>
      <c r="F1029" s="5">
        <v>1.268097410571567E-2</v>
      </c>
      <c r="G1029" s="5">
        <v>1.2195955363771382E-2</v>
      </c>
    </row>
    <row r="1030" spans="1:7" x14ac:dyDescent="0.25">
      <c r="A1030" s="12">
        <v>45637</v>
      </c>
      <c r="B1030" s="13">
        <v>2718.23</v>
      </c>
      <c r="C1030" s="13">
        <v>2733.8</v>
      </c>
      <c r="D1030" s="5">
        <v>7.9077362121758163</v>
      </c>
      <c r="E1030" s="5">
        <v>7.9134478617185531</v>
      </c>
      <c r="F1030" s="5">
        <v>8.8610606988748231E-3</v>
      </c>
      <c r="G1030" s="5">
        <v>1.3330093911016583E-2</v>
      </c>
    </row>
    <row r="1031" spans="1:7" x14ac:dyDescent="0.25">
      <c r="A1031" s="12">
        <v>45638</v>
      </c>
      <c r="B1031" s="13">
        <v>2680.73</v>
      </c>
      <c r="C1031" s="13">
        <v>2687.5</v>
      </c>
      <c r="D1031" s="5">
        <v>7.8938444244737118</v>
      </c>
      <c r="E1031" s="5">
        <v>7.8963666724359181</v>
      </c>
      <c r="F1031" s="5">
        <v>-1.389178770210453E-2</v>
      </c>
      <c r="G1031" s="5">
        <v>-1.7081189282635023E-2</v>
      </c>
    </row>
    <row r="1032" spans="1:7" x14ac:dyDescent="0.25">
      <c r="A1032" s="12">
        <v>45639</v>
      </c>
      <c r="B1032" s="13">
        <v>2648.23</v>
      </c>
      <c r="C1032" s="13">
        <v>2656</v>
      </c>
      <c r="D1032" s="5">
        <v>7.8816467712910026</v>
      </c>
      <c r="E1032" s="5">
        <v>7.8845765105963244</v>
      </c>
      <c r="F1032" s="5">
        <v>-1.2197653182709267E-2</v>
      </c>
      <c r="G1032" s="5">
        <v>-1.1790161839593694E-2</v>
      </c>
    </row>
    <row r="1033" spans="1:7" x14ac:dyDescent="0.25">
      <c r="A1033" s="12">
        <v>45642</v>
      </c>
      <c r="B1033" s="13">
        <v>2652.72</v>
      </c>
      <c r="C1033" s="13">
        <v>2651.4</v>
      </c>
      <c r="D1033" s="5">
        <v>7.8833408076708098</v>
      </c>
      <c r="E1033" s="5">
        <v>7.882843081364749</v>
      </c>
      <c r="F1033" s="5">
        <v>1.6940363798072511E-3</v>
      </c>
      <c r="G1033" s="5">
        <v>-1.7334292315753785E-3</v>
      </c>
    </row>
    <row r="1034" spans="1:7" x14ac:dyDescent="0.25">
      <c r="A1034" s="12">
        <v>45643</v>
      </c>
      <c r="B1034" s="13">
        <v>2646.83</v>
      </c>
      <c r="C1034" s="13">
        <v>2644.4</v>
      </c>
      <c r="D1034" s="5">
        <v>7.8811179765152604</v>
      </c>
      <c r="E1034" s="5">
        <v>7.8801994754594231</v>
      </c>
      <c r="F1034" s="5">
        <v>-2.2228311555494429E-3</v>
      </c>
      <c r="G1034" s="5">
        <v>-2.6436059053258631E-3</v>
      </c>
    </row>
    <row r="1035" spans="1:7" x14ac:dyDescent="0.25">
      <c r="A1035" s="12">
        <v>45644</v>
      </c>
      <c r="B1035" s="13">
        <v>2585.35</v>
      </c>
      <c r="C1035" s="13">
        <v>2636.5</v>
      </c>
      <c r="D1035" s="5">
        <v>7.8576161742956234</v>
      </c>
      <c r="E1035" s="5">
        <v>7.8772075589705244</v>
      </c>
      <c r="F1035" s="5">
        <v>-2.3501802219636936E-2</v>
      </c>
      <c r="G1035" s="5">
        <v>-2.9919164888987382E-3</v>
      </c>
    </row>
    <row r="1036" spans="1:7" x14ac:dyDescent="0.25">
      <c r="A1036" s="12">
        <v>45645</v>
      </c>
      <c r="B1036" s="13">
        <v>2594.0100000000002</v>
      </c>
      <c r="C1036" s="13">
        <v>2592.1999999999998</v>
      </c>
      <c r="D1036" s="5">
        <v>7.8609602199190745</v>
      </c>
      <c r="E1036" s="5">
        <v>7.8602622149892749</v>
      </c>
      <c r="F1036" s="5">
        <v>3.3440456234510307E-3</v>
      </c>
      <c r="G1036" s="5">
        <v>-1.6945343981249472E-2</v>
      </c>
    </row>
    <row r="1037" spans="1:7" x14ac:dyDescent="0.25">
      <c r="A1037" s="12">
        <v>45646</v>
      </c>
      <c r="B1037" s="13">
        <v>2622.91</v>
      </c>
      <c r="C1037" s="13">
        <v>2628.7</v>
      </c>
      <c r="D1037" s="5">
        <v>7.8720396674215554</v>
      </c>
      <c r="E1037" s="5">
        <v>7.874244706389038</v>
      </c>
      <c r="F1037" s="5">
        <v>1.107944750248091E-2</v>
      </c>
      <c r="G1037" s="5">
        <v>1.3982491399763042E-2</v>
      </c>
    </row>
    <row r="1038" spans="1:7" x14ac:dyDescent="0.25">
      <c r="A1038" s="12">
        <v>45649</v>
      </c>
      <c r="B1038" s="13">
        <v>2612.56</v>
      </c>
      <c r="C1038" s="13">
        <v>2612.3000000000002</v>
      </c>
      <c r="D1038" s="5">
        <v>7.8680858625165175</v>
      </c>
      <c r="E1038" s="5">
        <v>7.8679863383186577</v>
      </c>
      <c r="F1038" s="5">
        <v>-3.9538049050378277E-3</v>
      </c>
      <c r="G1038" s="5">
        <v>-6.2583680703802713E-3</v>
      </c>
    </row>
    <row r="1039" spans="1:7" x14ac:dyDescent="0.25">
      <c r="A1039" s="12">
        <v>45650</v>
      </c>
      <c r="B1039" s="13">
        <v>2616.87</v>
      </c>
      <c r="C1039" s="13">
        <v>2620</v>
      </c>
      <c r="D1039" s="5">
        <v>7.8697342260956811</v>
      </c>
      <c r="E1039" s="5">
        <v>7.8709295967551425</v>
      </c>
      <c r="F1039" s="5">
        <v>1.6483635791635365E-3</v>
      </c>
      <c r="G1039" s="5">
        <v>2.9432584364847969E-3</v>
      </c>
    </row>
    <row r="1040" spans="1:7" x14ac:dyDescent="0.25">
      <c r="A1040" s="12">
        <v>45651</v>
      </c>
      <c r="B1040" s="13">
        <v>2616.87</v>
      </c>
      <c r="C1040" s="13">
        <v>2620</v>
      </c>
      <c r="D1040" s="5">
        <v>7.8697342260956811</v>
      </c>
      <c r="E1040" s="5">
        <v>7.8709295967551425</v>
      </c>
      <c r="F1040" s="5">
        <v>0</v>
      </c>
      <c r="G1040" s="5">
        <v>0</v>
      </c>
    </row>
    <row r="1041" spans="1:7" x14ac:dyDescent="0.25">
      <c r="A1041" s="12">
        <v>45652</v>
      </c>
      <c r="B1041" s="13">
        <v>2633.58</v>
      </c>
      <c r="C1041" s="13">
        <v>2638.8</v>
      </c>
      <c r="D1041" s="5">
        <v>7.8760994162862357</v>
      </c>
      <c r="E1041" s="5">
        <v>7.8780795473487162</v>
      </c>
      <c r="F1041" s="5">
        <v>6.3651901905545927E-3</v>
      </c>
      <c r="G1041" s="5">
        <v>7.1499505935737062E-3</v>
      </c>
    </row>
    <row r="1042" spans="1:7" x14ac:dyDescent="0.25">
      <c r="A1042" s="12">
        <v>45653</v>
      </c>
      <c r="B1042" s="13">
        <v>2621.4</v>
      </c>
      <c r="C1042" s="13">
        <v>2617.1999999999998</v>
      </c>
      <c r="D1042" s="5">
        <v>7.8714638051854449</v>
      </c>
      <c r="E1042" s="5">
        <v>7.8698603229955832</v>
      </c>
      <c r="F1042" s="5">
        <v>-4.6356111007908041E-3</v>
      </c>
      <c r="G1042" s="5">
        <v>-8.2192243531329368E-3</v>
      </c>
    </row>
    <row r="1043" spans="1:7" x14ac:dyDescent="0.25">
      <c r="A1043" s="12">
        <v>45656</v>
      </c>
      <c r="B1043" s="13">
        <v>2606.5</v>
      </c>
      <c r="C1043" s="13">
        <v>2618.1</v>
      </c>
      <c r="D1043" s="5">
        <v>7.8657636042081602</v>
      </c>
      <c r="E1043" s="5">
        <v>7.870204142837375</v>
      </c>
      <c r="F1043" s="5">
        <v>-5.7002009772846307E-3</v>
      </c>
      <c r="G1043" s="5">
        <v>3.4381984179177039E-4</v>
      </c>
    </row>
    <row r="1044" spans="1:7" x14ac:dyDescent="0.25">
      <c r="A1044" s="12">
        <v>45657</v>
      </c>
      <c r="B1044" s="13">
        <v>2624.5</v>
      </c>
      <c r="C1044" s="13">
        <v>2641</v>
      </c>
      <c r="D1044" s="5">
        <v>7.8726456806923544</v>
      </c>
      <c r="E1044" s="5">
        <v>7.8789129122971326</v>
      </c>
      <c r="F1044" s="5">
        <v>6.882076484194144E-3</v>
      </c>
      <c r="G1044" s="5">
        <v>8.708769459757626E-3</v>
      </c>
    </row>
    <row r="1045" spans="1:7" x14ac:dyDescent="0.25">
      <c r="A1045" s="12">
        <v>45658</v>
      </c>
      <c r="B1045" s="13">
        <v>2624.5</v>
      </c>
      <c r="C1045" s="13">
        <v>2641</v>
      </c>
      <c r="D1045" s="5">
        <v>7.8726456806923544</v>
      </c>
      <c r="E1045" s="5">
        <v>7.8789129122971326</v>
      </c>
      <c r="F1045" s="5">
        <v>0</v>
      </c>
      <c r="G1045" s="5">
        <v>0</v>
      </c>
    </row>
    <row r="1046" spans="1:7" x14ac:dyDescent="0.25">
      <c r="A1046" s="12">
        <v>45659</v>
      </c>
      <c r="B1046" s="13">
        <v>2657.9</v>
      </c>
      <c r="C1046" s="13">
        <v>2669</v>
      </c>
      <c r="D1046" s="5">
        <v>7.8852916162930704</v>
      </c>
      <c r="E1046" s="5">
        <v>7.8894591494045239</v>
      </c>
      <c r="F1046" s="5">
        <v>1.264593560071603E-2</v>
      </c>
      <c r="G1046" s="5">
        <v>1.0546237107391221E-2</v>
      </c>
    </row>
    <row r="1047" spans="1:7" x14ac:dyDescent="0.25">
      <c r="A1047" s="12">
        <v>45660</v>
      </c>
      <c r="B1047" s="13">
        <v>2640.22</v>
      </c>
      <c r="C1047" s="13">
        <v>2654.7</v>
      </c>
      <c r="D1047" s="5">
        <v>7.8786175260016655</v>
      </c>
      <c r="E1047" s="5">
        <v>7.8840869329414138</v>
      </c>
      <c r="F1047" s="5">
        <v>-6.6740902914048661E-3</v>
      </c>
      <c r="G1047" s="5">
        <v>-5.3722164631100355E-3</v>
      </c>
    </row>
    <row r="1048" spans="1:7" x14ac:dyDescent="0.25">
      <c r="A1048" s="12">
        <v>45663</v>
      </c>
      <c r="B1048" s="13">
        <v>2636.47</v>
      </c>
      <c r="C1048" s="13">
        <v>2647.4</v>
      </c>
      <c r="D1048" s="5">
        <v>7.8771961801839963</v>
      </c>
      <c r="E1048" s="5">
        <v>7.8813333052796706</v>
      </c>
      <c r="F1048" s="5">
        <v>-1.4213458176692839E-3</v>
      </c>
      <c r="G1048" s="5">
        <v>-2.753627661743252E-3</v>
      </c>
    </row>
    <row r="1049" spans="1:7" x14ac:dyDescent="0.25">
      <c r="A1049" s="12">
        <v>45664</v>
      </c>
      <c r="B1049" s="13">
        <v>2648.59</v>
      </c>
      <c r="C1049" s="13">
        <v>2665.4</v>
      </c>
      <c r="D1049" s="5">
        <v>7.881782701906185</v>
      </c>
      <c r="E1049" s="5">
        <v>7.8881094191456267</v>
      </c>
      <c r="F1049" s="5">
        <v>4.5865217221887633E-3</v>
      </c>
      <c r="G1049" s="5">
        <v>6.7761138659561126E-3</v>
      </c>
    </row>
    <row r="1050" spans="1:7" x14ac:dyDescent="0.25">
      <c r="A1050" s="12">
        <v>45665</v>
      </c>
      <c r="B1050" s="13">
        <v>2661.94</v>
      </c>
      <c r="C1050" s="13">
        <v>2672.4</v>
      </c>
      <c r="D1050" s="5">
        <v>7.8868104592570125</v>
      </c>
      <c r="E1050" s="5">
        <v>7.8907322240513222</v>
      </c>
      <c r="F1050" s="5">
        <v>5.0277573508274997E-3</v>
      </c>
      <c r="G1050" s="5">
        <v>2.6228049056955527E-3</v>
      </c>
    </row>
    <row r="1051" spans="1:7" x14ac:dyDescent="0.25">
      <c r="A1051" s="12">
        <v>45666</v>
      </c>
      <c r="B1051" s="13">
        <v>2667.25</v>
      </c>
      <c r="C1051" s="13">
        <v>2690.8</v>
      </c>
      <c r="D1051" s="5">
        <v>7.8888032580715706</v>
      </c>
      <c r="E1051" s="5">
        <v>7.8975938261514509</v>
      </c>
      <c r="F1051" s="5">
        <v>1.99279881455805E-3</v>
      </c>
      <c r="G1051" s="5">
        <v>6.8616021001286498E-3</v>
      </c>
    </row>
    <row r="1052" spans="1:7" x14ac:dyDescent="0.25">
      <c r="A1052" s="12">
        <v>45667</v>
      </c>
      <c r="B1052" s="13">
        <v>2689.76</v>
      </c>
      <c r="C1052" s="13">
        <v>2715</v>
      </c>
      <c r="D1052" s="5">
        <v>7.8972072492847483</v>
      </c>
      <c r="E1052" s="5">
        <v>7.9065472323680357</v>
      </c>
      <c r="F1052" s="5">
        <v>8.4039912131776973E-3</v>
      </c>
      <c r="G1052" s="5">
        <v>8.9534062165848027E-3</v>
      </c>
    </row>
    <row r="1053" spans="1:7" x14ac:dyDescent="0.25">
      <c r="A1053" s="12">
        <v>45670</v>
      </c>
      <c r="B1053" s="13">
        <v>2663.16</v>
      </c>
      <c r="C1053" s="13">
        <v>2678.6</v>
      </c>
      <c r="D1053" s="5">
        <v>7.8872686666226377</v>
      </c>
      <c r="E1053" s="5">
        <v>7.8930495489530221</v>
      </c>
      <c r="F1053" s="5">
        <v>-9.9385826621105622E-3</v>
      </c>
      <c r="G1053" s="5">
        <v>-1.3497683415013562E-2</v>
      </c>
    </row>
    <row r="1054" spans="1:7" x14ac:dyDescent="0.25">
      <c r="A1054" s="12">
        <v>45671</v>
      </c>
      <c r="B1054" s="13">
        <v>2677.46</v>
      </c>
      <c r="C1054" s="13">
        <v>2682.3</v>
      </c>
      <c r="D1054" s="5">
        <v>7.892623862901254</v>
      </c>
      <c r="E1054" s="5">
        <v>7.8944299144093826</v>
      </c>
      <c r="F1054" s="5">
        <v>5.3551962786162477E-3</v>
      </c>
      <c r="G1054" s="5">
        <v>1.3803654563604439E-3</v>
      </c>
    </row>
    <row r="1055" spans="1:7" x14ac:dyDescent="0.25">
      <c r="A1055" s="12">
        <v>45672</v>
      </c>
      <c r="B1055" s="13">
        <v>2696.32</v>
      </c>
      <c r="C1055" s="13">
        <v>2717.8</v>
      </c>
      <c r="D1055" s="5">
        <v>7.8996431593505969</v>
      </c>
      <c r="E1055" s="5">
        <v>7.9075780084863974</v>
      </c>
      <c r="F1055" s="5">
        <v>7.0192964493429599E-3</v>
      </c>
      <c r="G1055" s="5">
        <v>1.3148094077014782E-2</v>
      </c>
    </row>
    <row r="1056" spans="1:7" x14ac:dyDescent="0.25">
      <c r="A1056" s="12">
        <v>45673</v>
      </c>
      <c r="B1056" s="13">
        <v>2714.31</v>
      </c>
      <c r="C1056" s="13">
        <v>2750.9</v>
      </c>
      <c r="D1056" s="5">
        <v>7.9062930564216574</v>
      </c>
      <c r="E1056" s="5">
        <v>7.9196834098458524</v>
      </c>
      <c r="F1056" s="5">
        <v>6.649897071060451E-3</v>
      </c>
      <c r="G1056" s="5">
        <v>1.2105401359455037E-2</v>
      </c>
    </row>
    <row r="1057" spans="1:7" x14ac:dyDescent="0.25">
      <c r="A1057" s="12">
        <v>45674</v>
      </c>
      <c r="B1057" s="13">
        <v>2703.25</v>
      </c>
      <c r="C1057" s="13">
        <v>2748.7</v>
      </c>
      <c r="D1057" s="5">
        <v>7.9022100318256463</v>
      </c>
      <c r="E1057" s="5">
        <v>7.9188833516171266</v>
      </c>
      <c r="F1057" s="5">
        <v>-4.0830245960110645E-3</v>
      </c>
      <c r="G1057" s="5">
        <v>-8.0005822872575294E-4</v>
      </c>
    </row>
    <row r="1058" spans="1:7" x14ac:dyDescent="0.25">
      <c r="A1058" s="12">
        <v>45677</v>
      </c>
      <c r="B1058" s="13">
        <v>2708.21</v>
      </c>
      <c r="C1058" s="13">
        <v>2748.7</v>
      </c>
      <c r="D1058" s="5">
        <v>7.9040431790313832</v>
      </c>
      <c r="E1058" s="5">
        <v>7.9188833516171266</v>
      </c>
      <c r="F1058" s="5">
        <v>1.8331472057369069E-3</v>
      </c>
      <c r="G1058" s="5">
        <v>0</v>
      </c>
    </row>
    <row r="1059" spans="1:7" x14ac:dyDescent="0.25">
      <c r="A1059" s="12">
        <v>45678</v>
      </c>
      <c r="B1059" s="13">
        <v>2744.81</v>
      </c>
      <c r="C1059" s="13">
        <v>2759.2</v>
      </c>
      <c r="D1059" s="5">
        <v>7.9174671347902992</v>
      </c>
      <c r="E1059" s="5">
        <v>7.9226960616226307</v>
      </c>
      <c r="F1059" s="5">
        <v>1.3423955758915973E-2</v>
      </c>
      <c r="G1059" s="5">
        <v>3.8127100055040941E-3</v>
      </c>
    </row>
    <row r="1060" spans="1:7" x14ac:dyDescent="0.25">
      <c r="A1060" s="12">
        <v>45679</v>
      </c>
      <c r="B1060" s="13">
        <v>2756.48</v>
      </c>
      <c r="C1060" s="13">
        <v>2770.9</v>
      </c>
      <c r="D1060" s="5">
        <v>7.9217097824256912</v>
      </c>
      <c r="E1060" s="5">
        <v>7.9269274561569354</v>
      </c>
      <c r="F1060" s="5">
        <v>4.2426476353920606E-3</v>
      </c>
      <c r="G1060" s="5">
        <v>4.2313945343046555E-3</v>
      </c>
    </row>
    <row r="1061" spans="1:7" x14ac:dyDescent="0.25">
      <c r="A1061" s="12">
        <v>45680</v>
      </c>
      <c r="B1061" s="13">
        <v>2754.87</v>
      </c>
      <c r="C1061" s="13">
        <v>2765</v>
      </c>
      <c r="D1061" s="5">
        <v>7.9211255335408275</v>
      </c>
      <c r="E1061" s="5">
        <v>7.9247959139564355</v>
      </c>
      <c r="F1061" s="5">
        <v>-5.8424888486374726E-4</v>
      </c>
      <c r="G1061" s="5">
        <v>-2.1315422004999363E-3</v>
      </c>
    </row>
    <row r="1062" spans="1:7" x14ac:dyDescent="0.25">
      <c r="A1062" s="12">
        <v>45681</v>
      </c>
      <c r="B1062" s="13">
        <v>2770.58</v>
      </c>
      <c r="C1062" s="13">
        <v>2778.9</v>
      </c>
      <c r="D1062" s="5">
        <v>7.9268119635447247</v>
      </c>
      <c r="E1062" s="5">
        <v>7.9298104449280915</v>
      </c>
      <c r="F1062" s="5">
        <v>5.686430003897236E-3</v>
      </c>
      <c r="G1062" s="5">
        <v>5.0145309716560504E-3</v>
      </c>
    </row>
    <row r="1063" spans="1:7" x14ac:dyDescent="0.25">
      <c r="A1063" s="12">
        <v>45684</v>
      </c>
      <c r="B1063" s="13">
        <v>2740.81</v>
      </c>
      <c r="C1063" s="13">
        <v>2738.4</v>
      </c>
      <c r="D1063" s="5">
        <v>7.9160087761329603</v>
      </c>
      <c r="E1063" s="5">
        <v>7.9151290872159752</v>
      </c>
      <c r="F1063" s="5">
        <v>-1.0803187411764448E-2</v>
      </c>
      <c r="G1063" s="5">
        <v>-1.4681357712116316E-2</v>
      </c>
    </row>
    <row r="1064" spans="1:7" x14ac:dyDescent="0.25">
      <c r="A1064" s="12">
        <v>45685</v>
      </c>
      <c r="B1064" s="13">
        <v>2763.51</v>
      </c>
      <c r="C1064" s="13">
        <v>2767.5</v>
      </c>
      <c r="D1064" s="5">
        <v>7.9242568898663723</v>
      </c>
      <c r="E1064" s="5">
        <v>7.9256996645827922</v>
      </c>
      <c r="F1064" s="5">
        <v>8.2481137334120547E-3</v>
      </c>
      <c r="G1064" s="5">
        <v>1.0570577366816991E-2</v>
      </c>
    </row>
    <row r="1065" spans="1:7" x14ac:dyDescent="0.25">
      <c r="A1065" s="12">
        <v>45686</v>
      </c>
      <c r="B1065" s="13">
        <v>2759.36</v>
      </c>
      <c r="C1065" s="13">
        <v>2769.8</v>
      </c>
      <c r="D1065" s="5">
        <v>7.9227540477639593</v>
      </c>
      <c r="E1065" s="5">
        <v>7.9265303944086174</v>
      </c>
      <c r="F1065" s="5">
        <v>-1.5028421024130267E-3</v>
      </c>
      <c r="G1065" s="5">
        <v>8.3072982582521604E-4</v>
      </c>
    </row>
    <row r="1066" spans="1:7" x14ac:dyDescent="0.25">
      <c r="A1066" s="12">
        <v>45687</v>
      </c>
      <c r="B1066" s="13">
        <v>2794.59</v>
      </c>
      <c r="C1066" s="13">
        <v>2823</v>
      </c>
      <c r="D1066" s="5">
        <v>7.9354406843103096</v>
      </c>
      <c r="E1066" s="5">
        <v>7.9455554282534893</v>
      </c>
      <c r="F1066" s="5">
        <v>1.2686636546350272E-2</v>
      </c>
      <c r="G1066" s="5">
        <v>1.9025033844871864E-2</v>
      </c>
    </row>
    <row r="1067" spans="1:7" x14ac:dyDescent="0.25">
      <c r="A1067" s="12">
        <v>45688</v>
      </c>
      <c r="B1067" s="13">
        <v>2798.41</v>
      </c>
      <c r="C1067" s="13">
        <v>2812.5</v>
      </c>
      <c r="D1067" s="5">
        <v>7.9368066777285078</v>
      </c>
      <c r="E1067" s="5">
        <v>7.9418290465126757</v>
      </c>
      <c r="F1067" s="5">
        <v>1.3659934181982081E-3</v>
      </c>
      <c r="G1067" s="5">
        <v>-3.7263817408135225E-3</v>
      </c>
    </row>
    <row r="1068" spans="1:7" x14ac:dyDescent="0.25">
      <c r="A1068" s="12">
        <v>45691</v>
      </c>
      <c r="B1068" s="13">
        <v>2815.21</v>
      </c>
      <c r="C1068" s="13">
        <v>2833.9</v>
      </c>
      <c r="D1068" s="5">
        <v>7.9427921381465625</v>
      </c>
      <c r="E1068" s="5">
        <v>7.9494091338129644</v>
      </c>
      <c r="F1068" s="5">
        <v>5.9854604180547E-3</v>
      </c>
      <c r="G1068" s="5">
        <v>7.5800873002886959E-3</v>
      </c>
    </row>
    <row r="1069" spans="1:7" x14ac:dyDescent="0.25">
      <c r="A1069" s="12">
        <v>45692</v>
      </c>
      <c r="B1069" s="13">
        <v>2842.71</v>
      </c>
      <c r="C1069" s="13">
        <v>2853.3</v>
      </c>
      <c r="D1069" s="5">
        <v>7.9525131015237678</v>
      </c>
      <c r="E1069" s="5">
        <v>7.9562314981564493</v>
      </c>
      <c r="F1069" s="5">
        <v>9.7209633772052939E-3</v>
      </c>
      <c r="G1069" s="5">
        <v>6.8223643434848213E-3</v>
      </c>
    </row>
    <row r="1070" spans="1:7" x14ac:dyDescent="0.25">
      <c r="A1070" s="12">
        <v>45693</v>
      </c>
      <c r="B1070" s="13">
        <v>2867.24</v>
      </c>
      <c r="C1070" s="13">
        <v>2871.6</v>
      </c>
      <c r="D1070" s="5">
        <v>7.961105173576156</v>
      </c>
      <c r="E1070" s="5">
        <v>7.9626246447023279</v>
      </c>
      <c r="F1070" s="5">
        <v>8.592072052388211E-3</v>
      </c>
      <c r="G1070" s="5">
        <v>6.3931465458786363E-3</v>
      </c>
    </row>
    <row r="1071" spans="1:7" x14ac:dyDescent="0.25">
      <c r="A1071" s="12">
        <v>45694</v>
      </c>
      <c r="B1071" s="13">
        <v>2856.28</v>
      </c>
      <c r="C1071" s="13">
        <v>2856</v>
      </c>
      <c r="D1071" s="5">
        <v>7.9572753578696318</v>
      </c>
      <c r="E1071" s="5">
        <v>7.9571773234594749</v>
      </c>
      <c r="F1071" s="5">
        <v>-3.8298157065241867E-3</v>
      </c>
      <c r="G1071" s="5">
        <v>-5.4473212428529649E-3</v>
      </c>
    </row>
    <row r="1072" spans="1:7" x14ac:dyDescent="0.25">
      <c r="A1072" s="12">
        <v>45695</v>
      </c>
      <c r="B1072" s="13">
        <v>2861.07</v>
      </c>
      <c r="C1072" s="13">
        <v>2867.3</v>
      </c>
      <c r="D1072" s="5">
        <v>7.95895095972039</v>
      </c>
      <c r="E1072" s="5">
        <v>7.9611260994045576</v>
      </c>
      <c r="F1072" s="5">
        <v>1.6756018507582127E-3</v>
      </c>
      <c r="G1072" s="5">
        <v>3.9487759450826942E-3</v>
      </c>
    </row>
    <row r="1073" spans="1:7" x14ac:dyDescent="0.25">
      <c r="A1073" s="12">
        <v>45698</v>
      </c>
      <c r="B1073" s="13">
        <v>2908.26</v>
      </c>
      <c r="C1073" s="13">
        <v>2914.3</v>
      </c>
      <c r="D1073" s="5">
        <v>7.9753102431849037</v>
      </c>
      <c r="E1073" s="5">
        <v>7.977384932725764</v>
      </c>
      <c r="F1073" s="5">
        <v>1.6359283464513652E-2</v>
      </c>
      <c r="G1073" s="5">
        <v>1.6258833321206367E-2</v>
      </c>
    </row>
    <row r="1074" spans="1:7" x14ac:dyDescent="0.25">
      <c r="A1074" s="12">
        <v>45699</v>
      </c>
      <c r="B1074" s="13">
        <v>2897.91</v>
      </c>
      <c r="C1074" s="13">
        <v>2912.5</v>
      </c>
      <c r="D1074" s="5">
        <v>7.9717450664977623</v>
      </c>
      <c r="E1074" s="5">
        <v>7.9767670978739558</v>
      </c>
      <c r="F1074" s="5">
        <v>-3.5651766871414026E-3</v>
      </c>
      <c r="G1074" s="5">
        <v>-6.1783485180821884E-4</v>
      </c>
    </row>
    <row r="1075" spans="1:7" x14ac:dyDescent="0.25">
      <c r="A1075" s="12">
        <v>45700</v>
      </c>
      <c r="B1075" s="13">
        <v>2904.04</v>
      </c>
      <c r="C1075" s="13">
        <v>2909</v>
      </c>
      <c r="D1075" s="5">
        <v>7.9738581499545074</v>
      </c>
      <c r="E1075" s="5">
        <v>7.9755646584952018</v>
      </c>
      <c r="F1075" s="5">
        <v>2.1130834567451018E-3</v>
      </c>
      <c r="G1075" s="5">
        <v>-1.2024393787539722E-3</v>
      </c>
    </row>
    <row r="1076" spans="1:7" x14ac:dyDescent="0.25">
      <c r="A1076" s="12">
        <v>45701</v>
      </c>
      <c r="B1076" s="13">
        <v>2928.21</v>
      </c>
      <c r="C1076" s="13">
        <v>2925.9</v>
      </c>
      <c r="D1076" s="5">
        <v>7.9821465938208274</v>
      </c>
      <c r="E1076" s="5">
        <v>7.9813574046460793</v>
      </c>
      <c r="F1076" s="5">
        <v>8.2884438663199944E-3</v>
      </c>
      <c r="G1076" s="5">
        <v>5.792746150877548E-3</v>
      </c>
    </row>
    <row r="1077" spans="1:7" x14ac:dyDescent="0.25">
      <c r="A1077" s="12">
        <v>45702</v>
      </c>
      <c r="B1077" s="13">
        <v>2882.53</v>
      </c>
      <c r="C1077" s="13">
        <v>2883.6</v>
      </c>
      <c r="D1077" s="5">
        <v>7.9664236597213192</v>
      </c>
      <c r="E1077" s="5">
        <v>7.9667947925304237</v>
      </c>
      <c r="F1077" s="5">
        <v>-1.5722934099508201E-2</v>
      </c>
      <c r="G1077" s="5">
        <v>-1.4562612115655682E-2</v>
      </c>
    </row>
    <row r="1078" spans="1:7" x14ac:dyDescent="0.25">
      <c r="A1078" s="12">
        <v>45705</v>
      </c>
      <c r="B1078" s="13">
        <v>2896.56</v>
      </c>
      <c r="C1078" s="13">
        <v>2883.6</v>
      </c>
      <c r="D1078" s="5">
        <v>7.9712791049777518</v>
      </c>
      <c r="E1078" s="5">
        <v>7.9667947925304237</v>
      </c>
      <c r="F1078" s="5">
        <v>4.8554452564326667E-3</v>
      </c>
      <c r="G1078" s="5">
        <v>0</v>
      </c>
    </row>
    <row r="1079" spans="1:7" x14ac:dyDescent="0.25">
      <c r="A1079" s="12">
        <v>45706</v>
      </c>
      <c r="B1079" s="13">
        <v>2936.02</v>
      </c>
      <c r="C1079" s="13">
        <v>2931.6</v>
      </c>
      <c r="D1079" s="5">
        <v>7.9848102017003058</v>
      </c>
      <c r="E1079" s="5">
        <v>7.9833036280516954</v>
      </c>
      <c r="F1079" s="5">
        <v>1.3531096722553926E-2</v>
      </c>
      <c r="G1079" s="5">
        <v>1.6508835521271692E-2</v>
      </c>
    </row>
    <row r="1080" spans="1:7" x14ac:dyDescent="0.25">
      <c r="A1080" s="12">
        <v>45707</v>
      </c>
      <c r="B1080" s="13">
        <v>2933.39</v>
      </c>
      <c r="C1080" s="13">
        <v>2919.4</v>
      </c>
      <c r="D1080" s="5">
        <v>7.9839140297934126</v>
      </c>
      <c r="E1080" s="5">
        <v>7.9791333946964773</v>
      </c>
      <c r="F1080" s="5">
        <v>-8.9617190689317283E-4</v>
      </c>
      <c r="G1080" s="5">
        <v>-4.1702333552180448E-3</v>
      </c>
    </row>
    <row r="1081" spans="1:7" x14ac:dyDescent="0.25">
      <c r="A1081" s="12">
        <v>45708</v>
      </c>
      <c r="B1081" s="13">
        <v>2938.98</v>
      </c>
      <c r="C1081" s="13">
        <v>2940</v>
      </c>
      <c r="D1081" s="5">
        <v>7.9858178613600366</v>
      </c>
      <c r="E1081" s="5">
        <v>7.9861648603327273</v>
      </c>
      <c r="F1081" s="5">
        <v>1.9038315666239924E-3</v>
      </c>
      <c r="G1081" s="5">
        <v>7.0314656362500116E-3</v>
      </c>
    </row>
    <row r="1082" spans="1:7" x14ac:dyDescent="0.25">
      <c r="A1082" s="12">
        <v>45709</v>
      </c>
      <c r="B1082" s="13">
        <v>2936.05</v>
      </c>
      <c r="C1082" s="13">
        <v>2937.6</v>
      </c>
      <c r="D1082" s="5">
        <v>7.9848204195621504</v>
      </c>
      <c r="E1082" s="5">
        <v>7.9853482004261709</v>
      </c>
      <c r="F1082" s="5">
        <v>-9.9744179788618936E-4</v>
      </c>
      <c r="G1082" s="5">
        <v>-8.1665990655643839E-4</v>
      </c>
    </row>
    <row r="1083" spans="1:7" x14ac:dyDescent="0.25">
      <c r="A1083" s="12">
        <v>45712</v>
      </c>
      <c r="B1083" s="13">
        <v>2951.73</v>
      </c>
      <c r="C1083" s="13">
        <v>2947.9</v>
      </c>
      <c r="D1083" s="5">
        <v>7.9901467181226957</v>
      </c>
      <c r="E1083" s="5">
        <v>7.988848331431309</v>
      </c>
      <c r="F1083" s="5">
        <v>5.3262985605453395E-3</v>
      </c>
      <c r="G1083" s="5">
        <v>3.5001310051381296E-3</v>
      </c>
    </row>
    <row r="1084" spans="1:7" x14ac:dyDescent="0.25">
      <c r="A1084" s="12">
        <v>45713</v>
      </c>
      <c r="B1084" s="13">
        <v>2914.98</v>
      </c>
      <c r="C1084" s="13">
        <v>2904.5</v>
      </c>
      <c r="D1084" s="5">
        <v>7.977618237697591</v>
      </c>
      <c r="E1084" s="5">
        <v>7.9740165374325871</v>
      </c>
      <c r="F1084" s="5">
        <v>-1.2528480425104682E-2</v>
      </c>
      <c r="G1084" s="5">
        <v>-1.4831793998721921E-2</v>
      </c>
    </row>
    <row r="1085" spans="1:7" x14ac:dyDescent="0.25">
      <c r="A1085" s="12">
        <v>45714</v>
      </c>
      <c r="B1085" s="13">
        <v>2916.39</v>
      </c>
      <c r="C1085" s="13">
        <v>2916.8</v>
      </c>
      <c r="D1085" s="5">
        <v>7.9781018290414698</v>
      </c>
      <c r="E1085" s="5">
        <v>7.9782424039243987</v>
      </c>
      <c r="F1085" s="5">
        <v>4.8359134387876423E-4</v>
      </c>
      <c r="G1085" s="5">
        <v>4.2258664918115585E-3</v>
      </c>
    </row>
    <row r="1086" spans="1:7" x14ac:dyDescent="0.25">
      <c r="A1086" s="12">
        <v>45715</v>
      </c>
      <c r="B1086" s="13">
        <v>2877.52</v>
      </c>
      <c r="C1086" s="13">
        <v>2895.9</v>
      </c>
      <c r="D1086" s="5">
        <v>7.9646840910497287</v>
      </c>
      <c r="E1086" s="5">
        <v>7.9710512225226795</v>
      </c>
      <c r="F1086" s="5">
        <v>-1.3417737991741063E-2</v>
      </c>
      <c r="G1086" s="5">
        <v>-7.1911814017191489E-3</v>
      </c>
    </row>
    <row r="1087" spans="1:7" x14ac:dyDescent="0.25">
      <c r="A1087" s="12">
        <v>45716</v>
      </c>
      <c r="B1087" s="13">
        <v>2857.83</v>
      </c>
      <c r="C1087" s="13">
        <v>2848.5</v>
      </c>
      <c r="D1087" s="5">
        <v>7.9578178745653254</v>
      </c>
      <c r="E1087" s="5">
        <v>7.9545478189204504</v>
      </c>
      <c r="F1087" s="5">
        <v>-6.8662164844033313E-3</v>
      </c>
      <c r="G1087" s="5">
        <v>-1.6503403602229128E-2</v>
      </c>
    </row>
    <row r="1088" spans="1:7" x14ac:dyDescent="0.25">
      <c r="A1088" s="12">
        <v>45719</v>
      </c>
      <c r="B1088" s="13">
        <v>2892.73</v>
      </c>
      <c r="C1088" s="13">
        <v>2901.1</v>
      </c>
      <c r="D1088" s="5">
        <v>7.9699559718962316</v>
      </c>
      <c r="E1088" s="5">
        <v>7.9728452543994104</v>
      </c>
      <c r="F1088" s="5">
        <v>1.2138097330906206E-2</v>
      </c>
      <c r="G1088" s="5">
        <v>1.8297435478960011E-2</v>
      </c>
    </row>
    <row r="1089" spans="1:7" x14ac:dyDescent="0.25">
      <c r="A1089" s="12">
        <v>45720</v>
      </c>
      <c r="B1089" s="13">
        <v>2917.89</v>
      </c>
      <c r="C1089" s="13">
        <v>2920.6</v>
      </c>
      <c r="D1089" s="5">
        <v>7.9786160313194037</v>
      </c>
      <c r="E1089" s="5">
        <v>7.9795443536063715</v>
      </c>
      <c r="F1089" s="5">
        <v>8.6600594231720507E-3</v>
      </c>
      <c r="G1089" s="5">
        <v>6.6990992069611011E-3</v>
      </c>
    </row>
    <row r="1090" spans="1:7" x14ac:dyDescent="0.25">
      <c r="A1090" s="12">
        <v>45721</v>
      </c>
      <c r="B1090" s="13">
        <v>2919.39</v>
      </c>
      <c r="C1090" s="13">
        <v>2926</v>
      </c>
      <c r="D1090" s="5">
        <v>7.979129969329235</v>
      </c>
      <c r="E1090" s="5">
        <v>7.9813915815800698</v>
      </c>
      <c r="F1090" s="5">
        <v>5.1393800983134952E-4</v>
      </c>
      <c r="G1090" s="5">
        <v>1.8472279736982955E-3</v>
      </c>
    </row>
    <row r="1091" spans="1:7" x14ac:dyDescent="0.25">
      <c r="A1091" s="12">
        <v>45722</v>
      </c>
      <c r="B1091" s="13">
        <v>2911.8</v>
      </c>
      <c r="C1091" s="13">
        <v>2926.6</v>
      </c>
      <c r="D1091" s="5">
        <v>7.9765267256392258</v>
      </c>
      <c r="E1091" s="5">
        <v>7.981596618658326</v>
      </c>
      <c r="F1091" s="5">
        <v>-2.6032436900091938E-3</v>
      </c>
      <c r="G1091" s="5">
        <v>2.0503707825625384E-4</v>
      </c>
    </row>
    <row r="1092" spans="1:7" x14ac:dyDescent="0.25">
      <c r="A1092" s="12">
        <v>45723</v>
      </c>
      <c r="B1092" s="13">
        <v>2909.1</v>
      </c>
      <c r="C1092" s="13">
        <v>2914.1</v>
      </c>
      <c r="D1092" s="5">
        <v>7.97559903397861</v>
      </c>
      <c r="E1092" s="5">
        <v>7.9773163032562433</v>
      </c>
      <c r="F1092" s="5">
        <v>-9.2769166061579256E-4</v>
      </c>
      <c r="G1092" s="5">
        <v>-4.280315402082735E-3</v>
      </c>
    </row>
    <row r="1093" spans="1:7" x14ac:dyDescent="0.25">
      <c r="A1093" s="12">
        <v>45726</v>
      </c>
      <c r="B1093" s="13">
        <v>2888.71</v>
      </c>
      <c r="C1093" s="13">
        <v>2899.4</v>
      </c>
      <c r="D1093" s="5">
        <v>7.9685653146731639</v>
      </c>
      <c r="E1093" s="5">
        <v>7.9722590980167976</v>
      </c>
      <c r="F1093" s="5">
        <v>-7.0337193054461622E-3</v>
      </c>
      <c r="G1093" s="5">
        <v>-5.0572052394457501E-3</v>
      </c>
    </row>
    <row r="1094" spans="1:7" x14ac:dyDescent="0.25">
      <c r="A1094" s="12">
        <v>45727</v>
      </c>
      <c r="B1094" s="13">
        <v>2915.9</v>
      </c>
      <c r="C1094" s="13">
        <v>2920.9</v>
      </c>
      <c r="D1094" s="5">
        <v>7.9779337989876993</v>
      </c>
      <c r="E1094" s="5">
        <v>7.979647066950637</v>
      </c>
      <c r="F1094" s="5">
        <v>9.368484314535408E-3</v>
      </c>
      <c r="G1094" s="5">
        <v>7.3879689338394172E-3</v>
      </c>
    </row>
    <row r="1095" spans="1:7" x14ac:dyDescent="0.25">
      <c r="A1095" s="12">
        <v>45728</v>
      </c>
      <c r="B1095" s="13">
        <v>2934.77</v>
      </c>
      <c r="C1095" s="13">
        <v>2946.8</v>
      </c>
      <c r="D1095" s="5">
        <v>7.9843843646259458</v>
      </c>
      <c r="E1095" s="5">
        <v>7.9884751148086588</v>
      </c>
      <c r="F1095" s="5">
        <v>6.4505656382465304E-3</v>
      </c>
      <c r="G1095" s="5">
        <v>8.8280478580218258E-3</v>
      </c>
    </row>
    <row r="1096" spans="1:7" x14ac:dyDescent="0.25">
      <c r="A1096" s="12">
        <v>45729</v>
      </c>
      <c r="B1096" s="13">
        <v>2989.18</v>
      </c>
      <c r="C1096" s="13">
        <v>2991.3</v>
      </c>
      <c r="D1096" s="5">
        <v>8.0027543812803721</v>
      </c>
      <c r="E1096" s="5">
        <v>8.0034633545028573</v>
      </c>
      <c r="F1096" s="5">
        <v>1.837001665442628E-2</v>
      </c>
      <c r="G1096" s="5">
        <v>1.4988239694198491E-2</v>
      </c>
    </row>
    <row r="1097" spans="1:7" x14ac:dyDescent="0.25">
      <c r="A1097" s="12">
        <v>45730</v>
      </c>
      <c r="B1097" s="13">
        <v>2984.16</v>
      </c>
      <c r="C1097" s="13">
        <v>3001.1</v>
      </c>
      <c r="D1097" s="5">
        <v>8.0010735791891374</v>
      </c>
      <c r="E1097" s="5">
        <v>8.0067341671111194</v>
      </c>
      <c r="F1097" s="5">
        <v>-1.6808020912346677E-3</v>
      </c>
      <c r="G1097" s="5">
        <v>3.2708126082621192E-3</v>
      </c>
    </row>
    <row r="1098" spans="1:7" x14ac:dyDescent="0.25">
      <c r="A1098" s="12">
        <v>45733</v>
      </c>
      <c r="B1098" s="13">
        <v>3000.6</v>
      </c>
      <c r="C1098" s="13">
        <v>3006.1</v>
      </c>
      <c r="D1098" s="5">
        <v>8.0065675476529137</v>
      </c>
      <c r="E1098" s="5">
        <v>8.0083988365593264</v>
      </c>
      <c r="F1098" s="5">
        <v>5.4939684637762554E-3</v>
      </c>
      <c r="G1098" s="5">
        <v>1.664669448206979E-3</v>
      </c>
    </row>
    <row r="1099" spans="1:7" x14ac:dyDescent="0.25">
      <c r="A1099" s="12">
        <v>45734</v>
      </c>
      <c r="B1099" s="13">
        <v>3034.73</v>
      </c>
      <c r="C1099" s="13">
        <v>3040.8</v>
      </c>
      <c r="D1099" s="5">
        <v>8.0178777374275043</v>
      </c>
      <c r="E1099" s="5">
        <v>8.0198759176750389</v>
      </c>
      <c r="F1099" s="5">
        <v>1.131018977459064E-2</v>
      </c>
      <c r="G1099" s="5">
        <v>1.1477081115712551E-2</v>
      </c>
    </row>
    <row r="1100" spans="1:7" x14ac:dyDescent="0.25">
      <c r="A1100" s="12">
        <v>45735</v>
      </c>
      <c r="B1100" s="13">
        <v>3047.79</v>
      </c>
      <c r="C1100" s="13">
        <v>3041.2</v>
      </c>
      <c r="D1100" s="5">
        <v>8.0221720167951904</v>
      </c>
      <c r="E1100" s="5">
        <v>8.0200074533542818</v>
      </c>
      <c r="F1100" s="5">
        <v>4.2942793676861157E-3</v>
      </c>
      <c r="G1100" s="5">
        <v>1.3153567924284459E-4</v>
      </c>
    </row>
    <row r="1101" spans="1:7" x14ac:dyDescent="0.25">
      <c r="A1101" s="12">
        <v>45736</v>
      </c>
      <c r="B1101" s="13">
        <v>3044.9</v>
      </c>
      <c r="C1101" s="13">
        <v>3043.8</v>
      </c>
      <c r="D1101" s="5">
        <v>8.0212233388822334</v>
      </c>
      <c r="E1101" s="5">
        <v>8.0208620138006985</v>
      </c>
      <c r="F1101" s="5">
        <v>-9.4867791295705217E-4</v>
      </c>
      <c r="G1101" s="5">
        <v>8.5456044641674112E-4</v>
      </c>
    </row>
    <row r="1102" spans="1:7" x14ac:dyDescent="0.25">
      <c r="A1102" s="12">
        <v>45737</v>
      </c>
      <c r="B1102" s="13">
        <v>3022.15</v>
      </c>
      <c r="C1102" s="13">
        <v>3021.4</v>
      </c>
      <c r="D1102" s="5">
        <v>8.0137237776035057</v>
      </c>
      <c r="E1102" s="5">
        <v>8.0134755791096239</v>
      </c>
      <c r="F1102" s="5">
        <v>-7.49956127872764E-3</v>
      </c>
      <c r="G1102" s="5">
        <v>-7.3864346910745837E-3</v>
      </c>
    </row>
    <row r="1103" spans="1:7" x14ac:dyDescent="0.25">
      <c r="A1103" s="12">
        <v>45740</v>
      </c>
      <c r="B1103" s="13">
        <v>3011.04</v>
      </c>
      <c r="C1103" s="13">
        <v>3015.6</v>
      </c>
      <c r="D1103" s="5">
        <v>8.010040813016543</v>
      </c>
      <c r="E1103" s="5">
        <v>8.0115540943375461</v>
      </c>
      <c r="F1103" s="5">
        <v>-3.6829645869627115E-3</v>
      </c>
      <c r="G1103" s="5">
        <v>-1.9214847720778749E-3</v>
      </c>
    </row>
    <row r="1104" spans="1:7" x14ac:dyDescent="0.25">
      <c r="A1104" s="12">
        <v>45741</v>
      </c>
      <c r="B1104" s="13">
        <v>3020.09</v>
      </c>
      <c r="C1104" s="13">
        <v>3025.9</v>
      </c>
      <c r="D1104" s="5">
        <v>8.0130419112493687</v>
      </c>
      <c r="E1104" s="5">
        <v>8.0149638468756041</v>
      </c>
      <c r="F1104" s="5">
        <v>3.001098232825683E-3</v>
      </c>
      <c r="G1104" s="5">
        <v>3.4097525380580862E-3</v>
      </c>
    </row>
    <row r="1105" spans="1:7" x14ac:dyDescent="0.25">
      <c r="A1105" s="12">
        <v>45742</v>
      </c>
      <c r="B1105" s="13">
        <v>3019.38</v>
      </c>
      <c r="C1105" s="13">
        <v>3022.5</v>
      </c>
      <c r="D1105" s="5">
        <v>8.0128067912791483</v>
      </c>
      <c r="E1105" s="5">
        <v>8.0138395824889486</v>
      </c>
      <c r="F1105" s="5">
        <v>-2.3511997022040987E-4</v>
      </c>
      <c r="G1105" s="5">
        <v>-1.1242643866555824E-3</v>
      </c>
    </row>
    <row r="1106" spans="1:7" x14ac:dyDescent="0.25">
      <c r="A1106" s="12">
        <v>45743</v>
      </c>
      <c r="B1106" s="13">
        <v>3057.29</v>
      </c>
      <c r="C1106" s="13">
        <v>3061</v>
      </c>
      <c r="D1106" s="5">
        <v>8.0252841816374989</v>
      </c>
      <c r="E1106" s="5">
        <v>8.0264969389454119</v>
      </c>
      <c r="F1106" s="5">
        <v>1.2477390358350604E-2</v>
      </c>
      <c r="G1106" s="5">
        <v>1.2657356456463376E-2</v>
      </c>
    </row>
    <row r="1107" spans="1:7" x14ac:dyDescent="0.25">
      <c r="A1107" s="12">
        <v>45744</v>
      </c>
      <c r="B1107" s="13">
        <v>3085.12</v>
      </c>
      <c r="C1107" s="13">
        <v>3086.5</v>
      </c>
      <c r="D1107" s="5">
        <v>8.0343458334760154</v>
      </c>
      <c r="E1107" s="5">
        <v>8.0347930418339502</v>
      </c>
      <c r="F1107" s="5">
        <v>9.0616518385164824E-3</v>
      </c>
      <c r="G1107" s="5">
        <v>8.2961028885382149E-3</v>
      </c>
    </row>
    <row r="1108" spans="1:7" x14ac:dyDescent="0.25">
      <c r="A1108" s="12">
        <v>45747</v>
      </c>
      <c r="B1108" s="13">
        <v>3123.57</v>
      </c>
      <c r="C1108" s="13">
        <v>3122.8</v>
      </c>
      <c r="D1108" s="5">
        <v>8.0467318574396707</v>
      </c>
      <c r="E1108" s="5">
        <v>8.0464853142461354</v>
      </c>
      <c r="F1108" s="5">
        <v>1.238602396365529E-2</v>
      </c>
      <c r="G1108" s="5">
        <v>1.1692272412185289E-2</v>
      </c>
    </row>
    <row r="1109" spans="1:7" x14ac:dyDescent="0.25">
      <c r="A1109" s="12">
        <v>45748</v>
      </c>
      <c r="B1109" s="13">
        <v>3113.38</v>
      </c>
      <c r="C1109" s="13">
        <v>3118.9</v>
      </c>
      <c r="D1109" s="5">
        <v>8.0434642317358023</v>
      </c>
      <c r="E1109" s="5">
        <v>8.0452356545356292</v>
      </c>
      <c r="F1109" s="5">
        <v>-3.2676257038684042E-3</v>
      </c>
      <c r="G1109" s="5">
        <v>-1.249659710506279E-3</v>
      </c>
    </row>
    <row r="1110" spans="1:7" x14ac:dyDescent="0.25">
      <c r="A1110" s="12">
        <v>45749</v>
      </c>
      <c r="B1110" s="13">
        <v>3134.17</v>
      </c>
      <c r="C1110" s="13">
        <v>3139.9</v>
      </c>
      <c r="D1110" s="5">
        <v>8.0501196652227449</v>
      </c>
      <c r="E1110" s="5">
        <v>8.051946231261411</v>
      </c>
      <c r="F1110" s="5">
        <v>6.6554334869426413E-3</v>
      </c>
      <c r="G1110" s="5">
        <v>6.7105767257817917E-3</v>
      </c>
    </row>
    <row r="1111" spans="1:7" x14ac:dyDescent="0.25">
      <c r="A1111" s="12">
        <v>45750</v>
      </c>
      <c r="B1111" s="13">
        <v>3115.34</v>
      </c>
      <c r="C1111" s="13">
        <v>3097</v>
      </c>
      <c r="D1111" s="5">
        <v>8.0440935745428934</v>
      </c>
      <c r="E1111" s="5">
        <v>8.0381891799732035</v>
      </c>
      <c r="F1111" s="5">
        <v>-6.0260906798514924E-3</v>
      </c>
      <c r="G1111" s="5">
        <v>-1.3757051288207478E-2</v>
      </c>
    </row>
    <row r="1112" spans="1:7" x14ac:dyDescent="0.25">
      <c r="A1112" s="12">
        <v>45751</v>
      </c>
      <c r="B1112" s="13">
        <v>3038.24</v>
      </c>
      <c r="C1112" s="13">
        <v>3012</v>
      </c>
      <c r="D1112" s="5">
        <v>8.019033679377106</v>
      </c>
      <c r="E1112" s="5">
        <v>8.0103595889197834</v>
      </c>
      <c r="F1112" s="5">
        <v>-2.5059895165787438E-2</v>
      </c>
      <c r="G1112" s="5">
        <v>-2.7829591053420089E-2</v>
      </c>
    </row>
    <row r="1113" spans="1:7" x14ac:dyDescent="0.25">
      <c r="A1113" s="12">
        <v>45754</v>
      </c>
      <c r="B1113" s="13">
        <v>2983.28</v>
      </c>
      <c r="C1113" s="13">
        <v>2951.3</v>
      </c>
      <c r="D1113" s="5">
        <v>8.0007786453460223</v>
      </c>
      <c r="E1113" s="5">
        <v>7.9900010302299487</v>
      </c>
      <c r="F1113" s="5">
        <v>-1.8255034031083639E-2</v>
      </c>
      <c r="G1113" s="5">
        <v>-2.0358558689834716E-2</v>
      </c>
    </row>
    <row r="1114" spans="1:7" x14ac:dyDescent="0.25">
      <c r="A1114" s="12">
        <v>45755</v>
      </c>
      <c r="B1114" s="13">
        <v>2983.27</v>
      </c>
      <c r="C1114" s="13">
        <v>2968.4</v>
      </c>
      <c r="D1114" s="5">
        <v>8.000775293325173</v>
      </c>
      <c r="E1114" s="5">
        <v>7.9957783660959789</v>
      </c>
      <c r="F1114" s="5">
        <v>-3.3520208493342807E-6</v>
      </c>
      <c r="G1114" s="5">
        <v>5.7773358660302421E-3</v>
      </c>
    </row>
    <row r="1115" spans="1:7" x14ac:dyDescent="0.25">
      <c r="A1115" s="12">
        <v>45756</v>
      </c>
      <c r="B1115" s="13">
        <v>3082.7</v>
      </c>
      <c r="C1115" s="13">
        <v>3056.5</v>
      </c>
      <c r="D1115" s="5">
        <v>8.0335611153343756</v>
      </c>
      <c r="E1115" s="5">
        <v>8.0250257494687798</v>
      </c>
      <c r="F1115" s="5">
        <v>3.2785822009202548E-2</v>
      </c>
      <c r="G1115" s="5">
        <v>2.9247383372800861E-2</v>
      </c>
    </row>
    <row r="1116" spans="1:7" x14ac:dyDescent="0.25">
      <c r="A1116" s="12">
        <v>45757</v>
      </c>
      <c r="B1116" s="13">
        <v>3176.23</v>
      </c>
      <c r="C1116" s="13">
        <v>3155.2</v>
      </c>
      <c r="D1116" s="5">
        <v>8.0634502378809803</v>
      </c>
      <c r="E1116" s="5">
        <v>8.0568071644083155</v>
      </c>
      <c r="F1116" s="5">
        <v>2.9889122546604696E-2</v>
      </c>
      <c r="G1116" s="5">
        <v>3.1781414939535679E-2</v>
      </c>
    </row>
    <row r="1117" spans="1:7" x14ac:dyDescent="0.25">
      <c r="A1117" s="12">
        <v>45758</v>
      </c>
      <c r="B1117" s="13">
        <v>3237.61</v>
      </c>
      <c r="C1117" s="13">
        <v>3222.2</v>
      </c>
      <c r="D1117" s="5">
        <v>8.0825906822645699</v>
      </c>
      <c r="E1117" s="5">
        <v>8.0778196350568869</v>
      </c>
      <c r="F1117" s="5">
        <v>1.9140444383589639E-2</v>
      </c>
      <c r="G1117" s="5">
        <v>2.101247064857148E-2</v>
      </c>
    </row>
    <row r="1118" spans="1:7" x14ac:dyDescent="0.25">
      <c r="A1118" s="12">
        <v>45761</v>
      </c>
      <c r="B1118" s="13">
        <v>3210.93</v>
      </c>
      <c r="C1118" s="13">
        <v>3204.8</v>
      </c>
      <c r="D1118" s="5">
        <v>8.0743158937896027</v>
      </c>
      <c r="E1118" s="5">
        <v>8.0724049649115539</v>
      </c>
      <c r="F1118" s="5">
        <v>-8.2747884749672096E-3</v>
      </c>
      <c r="G1118" s="5">
        <v>-5.4146701453330337E-3</v>
      </c>
    </row>
    <row r="1119" spans="1:7" x14ac:dyDescent="0.25">
      <c r="A1119" s="12">
        <v>45762</v>
      </c>
      <c r="B1119" s="13">
        <v>3230.72</v>
      </c>
      <c r="C1119" s="13">
        <v>3218.7</v>
      </c>
      <c r="D1119" s="5">
        <v>8.0804603015926286</v>
      </c>
      <c r="E1119" s="5">
        <v>8.0767328303108101</v>
      </c>
      <c r="F1119" s="5">
        <v>6.1444078030259419E-3</v>
      </c>
      <c r="G1119" s="5">
        <v>4.3278653992562255E-3</v>
      </c>
    </row>
    <row r="1120" spans="1:7" x14ac:dyDescent="0.25">
      <c r="A1120" s="12">
        <v>45763</v>
      </c>
      <c r="B1120" s="13">
        <v>3343.12</v>
      </c>
      <c r="C1120" s="13">
        <v>3326.6</v>
      </c>
      <c r="D1120" s="5">
        <v>8.1146597816777408</v>
      </c>
      <c r="E1120" s="5">
        <v>8.1097060403564338</v>
      </c>
      <c r="F1120" s="5">
        <v>3.4199480085112199E-2</v>
      </c>
      <c r="G1120" s="5">
        <v>3.2973210045623702E-2</v>
      </c>
    </row>
    <row r="1121" spans="1:7" x14ac:dyDescent="0.25">
      <c r="A1121" s="12">
        <v>45764</v>
      </c>
      <c r="B1121" s="13">
        <v>3326.85</v>
      </c>
      <c r="C1121" s="13">
        <v>3308.7</v>
      </c>
      <c r="D1121" s="5">
        <v>8.1097811893393281</v>
      </c>
      <c r="E1121" s="5">
        <v>8.1043106419802111</v>
      </c>
      <c r="F1121" s="5">
        <v>-4.8785923384127017E-3</v>
      </c>
      <c r="G1121" s="5">
        <v>-5.3953983762227153E-3</v>
      </c>
    </row>
    <row r="1122" spans="1:7" x14ac:dyDescent="0.25">
      <c r="A1122" s="12">
        <v>45765</v>
      </c>
      <c r="B1122" s="13">
        <v>3326.85</v>
      </c>
      <c r="C1122" s="13">
        <v>3308.7</v>
      </c>
      <c r="D1122" s="5">
        <v>8.1097811893393281</v>
      </c>
      <c r="E1122" s="5">
        <v>8.1043106419802111</v>
      </c>
      <c r="F1122" s="5">
        <v>0</v>
      </c>
      <c r="G1122" s="5">
        <v>0</v>
      </c>
    </row>
    <row r="1123" spans="1:7" x14ac:dyDescent="0.25">
      <c r="A1123" s="12">
        <v>45768</v>
      </c>
      <c r="B1123" s="13">
        <v>3423.98</v>
      </c>
      <c r="C1123" s="13">
        <v>3406.2</v>
      </c>
      <c r="D1123" s="5">
        <v>8.1385588961230777</v>
      </c>
      <c r="E1123" s="5">
        <v>8.1333525794047361</v>
      </c>
      <c r="F1123" s="5">
        <v>2.8777706783749579E-2</v>
      </c>
      <c r="G1123" s="5">
        <v>2.9041937424524988E-2</v>
      </c>
    </row>
    <row r="1124" spans="1:7" x14ac:dyDescent="0.25">
      <c r="A1124" s="12">
        <v>45769</v>
      </c>
      <c r="B1124" s="13">
        <v>3380.63</v>
      </c>
      <c r="C1124" s="13">
        <v>3400.8</v>
      </c>
      <c r="D1124" s="5">
        <v>8.125817361641051</v>
      </c>
      <c r="E1124" s="5">
        <v>8.13176597704458</v>
      </c>
      <c r="F1124" s="5">
        <v>-1.2741534482026751E-2</v>
      </c>
      <c r="G1124" s="5">
        <v>-1.5866023601560642E-3</v>
      </c>
    </row>
    <row r="1125" spans="1:7" x14ac:dyDescent="0.25">
      <c r="A1125" s="12">
        <v>45770</v>
      </c>
      <c r="B1125" s="13">
        <v>3288.34</v>
      </c>
      <c r="C1125" s="13">
        <v>3276.3</v>
      </c>
      <c r="D1125" s="5">
        <v>8.0981381571560398</v>
      </c>
      <c r="E1125" s="5">
        <v>8.0944700158717922</v>
      </c>
      <c r="F1125" s="5">
        <v>-2.7679204485011155E-2</v>
      </c>
      <c r="G1125" s="5">
        <v>-3.7295961172787884E-2</v>
      </c>
    </row>
    <row r="1126" spans="1:7" x14ac:dyDescent="0.25">
      <c r="A1126" s="12">
        <v>45771</v>
      </c>
      <c r="B1126" s="13">
        <v>3349.43</v>
      </c>
      <c r="C1126" s="13">
        <v>3332</v>
      </c>
      <c r="D1126" s="5">
        <v>8.1165454610883536</v>
      </c>
      <c r="E1126" s="5">
        <v>8.111328003286733</v>
      </c>
      <c r="F1126" s="5">
        <v>1.8407303932313823E-2</v>
      </c>
      <c r="G1126" s="5">
        <v>1.6857987414940823E-2</v>
      </c>
    </row>
    <row r="1127" spans="1:7" x14ac:dyDescent="0.25">
      <c r="A1127" s="12">
        <v>45772</v>
      </c>
      <c r="B1127" s="13">
        <v>3319.72</v>
      </c>
      <c r="C1127" s="13">
        <v>3282.4</v>
      </c>
      <c r="D1127" s="5">
        <v>8.1076357210045416</v>
      </c>
      <c r="E1127" s="5">
        <v>8.0963301411279769</v>
      </c>
      <c r="F1127" s="5">
        <v>-8.9097400838120677E-3</v>
      </c>
      <c r="G1127" s="5">
        <v>-1.4997862158756092E-2</v>
      </c>
    </row>
    <row r="1128" spans="1:7" x14ac:dyDescent="0.25">
      <c r="A1128" s="12">
        <v>45775</v>
      </c>
      <c r="B1128" s="13">
        <v>3343.98</v>
      </c>
      <c r="C1128" s="13">
        <v>3332.5</v>
      </c>
      <c r="D1128" s="5">
        <v>8.1149169933254637</v>
      </c>
      <c r="E1128" s="5">
        <v>8.1114780520528633</v>
      </c>
      <c r="F1128" s="5">
        <v>7.2812723209221275E-3</v>
      </c>
      <c r="G1128" s="5">
        <v>1.5147910924886432E-2</v>
      </c>
    </row>
    <row r="1129" spans="1:7" x14ac:dyDescent="0.25">
      <c r="A1129" s="12">
        <v>45776</v>
      </c>
      <c r="B1129" s="13">
        <v>3317.41</v>
      </c>
      <c r="C1129" s="13">
        <v>3333.6</v>
      </c>
      <c r="D1129" s="5">
        <v>8.1069396369762732</v>
      </c>
      <c r="E1129" s="5">
        <v>8.1118080801082435</v>
      </c>
      <c r="F1129" s="5">
        <v>-7.9773563491905009E-3</v>
      </c>
      <c r="G1129" s="5">
        <v>3.3002805538018265E-4</v>
      </c>
    </row>
    <row r="1130" spans="1:7" x14ac:dyDescent="0.25">
      <c r="A1130" s="12">
        <v>45777</v>
      </c>
      <c r="B1130" s="13">
        <v>3288.71</v>
      </c>
      <c r="C1130" s="13">
        <v>3319.1</v>
      </c>
      <c r="D1130" s="5">
        <v>8.0982506696047487</v>
      </c>
      <c r="E1130" s="5">
        <v>8.1074489408231845</v>
      </c>
      <c r="F1130" s="5">
        <v>-8.6889673715244697E-3</v>
      </c>
      <c r="G1130" s="5">
        <v>-4.3591392850590438E-3</v>
      </c>
    </row>
    <row r="1131" spans="1:7" x14ac:dyDescent="0.25">
      <c r="A1131" s="12">
        <v>45778</v>
      </c>
      <c r="B1131" s="13">
        <v>3239.2</v>
      </c>
      <c r="C1131" s="13">
        <v>3222.2</v>
      </c>
      <c r="D1131" s="5">
        <v>8.0830816647179518</v>
      </c>
      <c r="E1131" s="5">
        <v>8.0778196350568869</v>
      </c>
      <c r="F1131" s="5">
        <v>-1.5169004886796955E-2</v>
      </c>
      <c r="G1131" s="5">
        <v>-2.962930576629752E-2</v>
      </c>
    </row>
    <row r="1132" spans="1:7" x14ac:dyDescent="0.25">
      <c r="A1132" s="12">
        <v>45779</v>
      </c>
      <c r="B1132" s="13">
        <v>3240.49</v>
      </c>
      <c r="C1132" s="13">
        <v>3243.3</v>
      </c>
      <c r="D1132" s="5">
        <v>8.0834798319194814</v>
      </c>
      <c r="E1132" s="5">
        <v>8.0843466089668361</v>
      </c>
      <c r="F1132" s="5">
        <v>3.9816720152963114E-4</v>
      </c>
      <c r="G1132" s="5">
        <v>6.526973909949163E-3</v>
      </c>
    </row>
    <row r="1133" spans="1:7" x14ac:dyDescent="0.25">
      <c r="A1133" s="12">
        <v>45782</v>
      </c>
      <c r="B1133" s="13">
        <v>3334.12</v>
      </c>
      <c r="C1133" s="13">
        <v>3322.3</v>
      </c>
      <c r="D1133" s="5">
        <v>8.111964055464453</v>
      </c>
      <c r="E1133" s="5">
        <v>8.1084125931397537</v>
      </c>
      <c r="F1133" s="5">
        <v>2.8484223544971599E-2</v>
      </c>
      <c r="G1133" s="5">
        <v>2.4065984172917609E-2</v>
      </c>
    </row>
    <row r="1134" spans="1:7" x14ac:dyDescent="0.25">
      <c r="A1134" s="12">
        <v>45783</v>
      </c>
      <c r="B1134" s="13">
        <v>3431.77</v>
      </c>
      <c r="C1134" s="13">
        <v>3422.8</v>
      </c>
      <c r="D1134" s="5">
        <v>8.1408314420451422</v>
      </c>
      <c r="E1134" s="5">
        <v>8.1382142085439</v>
      </c>
      <c r="F1134" s="5">
        <v>2.8867386580689214E-2</v>
      </c>
      <c r="G1134" s="5">
        <v>2.9801615404146276E-2</v>
      </c>
    </row>
    <row r="1135" spans="1:7" x14ac:dyDescent="0.25">
      <c r="A1135" s="12">
        <v>45784</v>
      </c>
      <c r="B1135" s="13">
        <v>3364.5</v>
      </c>
      <c r="C1135" s="13">
        <v>3391.9</v>
      </c>
      <c r="D1135" s="5">
        <v>8.1210346426283735</v>
      </c>
      <c r="E1135" s="5">
        <v>8.129145515345142</v>
      </c>
      <c r="F1135" s="5">
        <v>-1.9796799416768707E-2</v>
      </c>
      <c r="G1135" s="5">
        <v>-9.0686931987580266E-3</v>
      </c>
    </row>
    <row r="1136" spans="1:7" x14ac:dyDescent="0.25">
      <c r="A1136" s="12">
        <v>45785</v>
      </c>
      <c r="B1136" s="13">
        <v>3305.72</v>
      </c>
      <c r="C1136" s="13">
        <v>3306</v>
      </c>
      <c r="D1136" s="5">
        <v>8.1034095802993296</v>
      </c>
      <c r="E1136" s="5">
        <v>8.1034942783809694</v>
      </c>
      <c r="F1136" s="5">
        <v>-1.7625062329043928E-2</v>
      </c>
      <c r="G1136" s="5">
        <v>-2.5651236964172597E-2</v>
      </c>
    </row>
    <row r="1137" spans="1:7" x14ac:dyDescent="0.25">
      <c r="A1137" s="12">
        <v>45786</v>
      </c>
      <c r="B1137" s="13">
        <v>3324.98</v>
      </c>
      <c r="C1137" s="13">
        <v>3344</v>
      </c>
      <c r="D1137" s="5">
        <v>8.109218938034271</v>
      </c>
      <c r="E1137" s="5">
        <v>8.1149229742045925</v>
      </c>
      <c r="F1137" s="5">
        <v>5.8093577349414005E-3</v>
      </c>
      <c r="G1137" s="5">
        <v>1.1428695823623158E-2</v>
      </c>
    </row>
    <row r="1138" spans="1:7" x14ac:dyDescent="0.25">
      <c r="A1138" s="12">
        <v>45789</v>
      </c>
      <c r="B1138" s="13">
        <v>3236.39</v>
      </c>
      <c r="C1138" s="13">
        <v>3228</v>
      </c>
      <c r="D1138" s="5">
        <v>8.0822137900759881</v>
      </c>
      <c r="E1138" s="5">
        <v>8.0796180293898399</v>
      </c>
      <c r="F1138" s="5">
        <v>-2.7005147958282905E-2</v>
      </c>
      <c r="G1138" s="5">
        <v>-3.5304944814752659E-2</v>
      </c>
    </row>
    <row r="1139" spans="1:7" x14ac:dyDescent="0.25">
      <c r="A1139" s="12">
        <v>45790</v>
      </c>
      <c r="B1139" s="13">
        <v>3250.31</v>
      </c>
      <c r="C1139" s="13">
        <v>3247.8</v>
      </c>
      <c r="D1139" s="5">
        <v>8.0865056553903454</v>
      </c>
      <c r="E1139" s="5">
        <v>8.0857331230309875</v>
      </c>
      <c r="F1139" s="5">
        <v>4.2918653143573238E-3</v>
      </c>
      <c r="G1139" s="5">
        <v>6.1150936411475953E-3</v>
      </c>
    </row>
    <row r="1140" spans="1:7" x14ac:dyDescent="0.25">
      <c r="A1140" s="12">
        <v>45791</v>
      </c>
      <c r="B1140" s="13">
        <v>3177.25</v>
      </c>
      <c r="C1140" s="13">
        <v>3188.3</v>
      </c>
      <c r="D1140" s="5">
        <v>8.0637713217621805</v>
      </c>
      <c r="E1140" s="5">
        <v>8.0672431383685286</v>
      </c>
      <c r="F1140" s="5">
        <v>-2.2734333628164904E-2</v>
      </c>
      <c r="G1140" s="5">
        <v>-1.848998466245888E-2</v>
      </c>
    </row>
    <row r="1141" spans="1:7" x14ac:dyDescent="0.25">
      <c r="A1141" s="12">
        <v>45792</v>
      </c>
      <c r="B1141" s="13">
        <v>3240.1</v>
      </c>
      <c r="C1141" s="13">
        <v>3226.6</v>
      </c>
      <c r="D1141" s="5">
        <v>8.0833594725076168</v>
      </c>
      <c r="E1141" s="5">
        <v>8.0791842302320429</v>
      </c>
      <c r="F1141" s="5">
        <v>1.9588150745436295E-2</v>
      </c>
      <c r="G1141" s="5">
        <v>1.194109186351433E-2</v>
      </c>
    </row>
    <row r="1142" spans="1:7" x14ac:dyDescent="0.25">
      <c r="A1142" s="12">
        <v>45793</v>
      </c>
      <c r="B1142" s="13">
        <v>3203.65</v>
      </c>
      <c r="C1142" s="13">
        <v>3187.2</v>
      </c>
      <c r="D1142" s="5">
        <v>8.0720460637693598</v>
      </c>
      <c r="E1142" s="5">
        <v>8.0668980673902784</v>
      </c>
      <c r="F1142" s="5">
        <v>-1.1313408738256925E-2</v>
      </c>
      <c r="G1142" s="5">
        <v>-1.2286162841764536E-2</v>
      </c>
    </row>
    <row r="1143" spans="1:7" x14ac:dyDescent="0.25">
      <c r="A1143" s="12">
        <v>45796</v>
      </c>
      <c r="B1143" s="13">
        <v>3229.56</v>
      </c>
      <c r="C1143" s="13">
        <v>3233.5</v>
      </c>
      <c r="D1143" s="5">
        <v>8.0801011840273027</v>
      </c>
      <c r="E1143" s="5">
        <v>8.081320420886648</v>
      </c>
      <c r="F1143" s="5">
        <v>8.0551202579428605E-3</v>
      </c>
      <c r="G1143" s="5">
        <v>1.4422353496369666E-2</v>
      </c>
    </row>
    <row r="1144" spans="1:7" x14ac:dyDescent="0.25">
      <c r="A1144" s="12">
        <v>45797</v>
      </c>
      <c r="B1144" s="13">
        <v>3290.13</v>
      </c>
      <c r="C1144" s="13">
        <v>3284.6</v>
      </c>
      <c r="D1144" s="5">
        <v>8.0986823566565835</v>
      </c>
      <c r="E1144" s="5">
        <v>8.0970001579034605</v>
      </c>
      <c r="F1144" s="5">
        <v>1.8581172629280829E-2</v>
      </c>
      <c r="G1144" s="5">
        <v>1.5679737016812467E-2</v>
      </c>
    </row>
    <row r="1145" spans="1:7" x14ac:dyDescent="0.25">
      <c r="A1145" s="12">
        <v>45798</v>
      </c>
      <c r="B1145" s="13">
        <v>3314.96</v>
      </c>
      <c r="C1145" s="13">
        <v>3313.5</v>
      </c>
      <c r="D1145" s="5">
        <v>8.1062008361821558</v>
      </c>
      <c r="E1145" s="5">
        <v>8.1057603115282824</v>
      </c>
      <c r="F1145" s="5">
        <v>7.5184795255722747E-3</v>
      </c>
      <c r="G1145" s="5">
        <v>8.7601536248218537E-3</v>
      </c>
    </row>
    <row r="1146" spans="1:7" x14ac:dyDescent="0.25">
      <c r="A1146" s="12">
        <v>45799</v>
      </c>
      <c r="B1146" s="13">
        <v>3294.52</v>
      </c>
      <c r="C1146" s="13">
        <v>3295</v>
      </c>
      <c r="D1146" s="5">
        <v>8.1000157610593817</v>
      </c>
      <c r="E1146" s="5">
        <v>8.1001614469366068</v>
      </c>
      <c r="F1146" s="5">
        <v>-6.1850751227741085E-3</v>
      </c>
      <c r="G1146" s="5">
        <v>-5.5988645916755786E-3</v>
      </c>
    </row>
    <row r="1147" spans="1:7" x14ac:dyDescent="0.25">
      <c r="A1147" s="12">
        <v>45800</v>
      </c>
      <c r="B1147" s="13">
        <v>3357.51</v>
      </c>
      <c r="C1147" s="13">
        <v>3365.8</v>
      </c>
      <c r="D1147" s="5">
        <v>8.1189549067995106</v>
      </c>
      <c r="E1147" s="5">
        <v>8.1214209552789729</v>
      </c>
      <c r="F1147" s="5">
        <v>1.8939145740128893E-2</v>
      </c>
      <c r="G1147" s="5">
        <v>2.1259508342366118E-2</v>
      </c>
    </row>
    <row r="1148" spans="1:7" x14ac:dyDescent="0.25">
      <c r="A1148" s="12">
        <v>45803</v>
      </c>
      <c r="B1148" s="13">
        <v>3343.84</v>
      </c>
      <c r="C1148" s="13">
        <v>3365.8</v>
      </c>
      <c r="D1148" s="5">
        <v>8.1148751261699417</v>
      </c>
      <c r="E1148" s="5">
        <v>8.1214209552789729</v>
      </c>
      <c r="F1148" s="5">
        <v>-4.0797806295689298E-3</v>
      </c>
      <c r="G1148" s="5">
        <v>0</v>
      </c>
    </row>
    <row r="1149" spans="1:7" x14ac:dyDescent="0.25">
      <c r="A1149" s="12">
        <v>45804</v>
      </c>
      <c r="B1149" s="13">
        <v>3300.87</v>
      </c>
      <c r="C1149" s="13">
        <v>3300.4</v>
      </c>
      <c r="D1149" s="5">
        <v>8.1019413490722485</v>
      </c>
      <c r="E1149" s="5">
        <v>8.1017989522301885</v>
      </c>
      <c r="F1149" s="5">
        <v>-1.2933777097693167E-2</v>
      </c>
      <c r="G1149" s="5">
        <v>-1.9622003048784364E-2</v>
      </c>
    </row>
    <row r="1150" spans="1:7" x14ac:dyDescent="0.25">
      <c r="A1150" s="12">
        <v>45805</v>
      </c>
      <c r="B1150" s="13">
        <v>3287.48</v>
      </c>
      <c r="C1150" s="13">
        <v>3294.9</v>
      </c>
      <c r="D1150" s="5">
        <v>8.0978765928173235</v>
      </c>
      <c r="E1150" s="5">
        <v>8.1001310974624108</v>
      </c>
      <c r="F1150" s="5">
        <v>-4.0647562549249727E-3</v>
      </c>
      <c r="G1150" s="5">
        <v>-1.6678547677777544E-3</v>
      </c>
    </row>
    <row r="1151" spans="1:7" x14ac:dyDescent="0.25">
      <c r="A1151" s="12">
        <v>45806</v>
      </c>
      <c r="B1151" s="13">
        <v>3317.94</v>
      </c>
      <c r="C1151" s="13">
        <v>3317.1</v>
      </c>
      <c r="D1151" s="5">
        <v>8.1070993874042472</v>
      </c>
      <c r="E1151" s="5">
        <v>8.1068461862164654</v>
      </c>
      <c r="F1151" s="5">
        <v>9.2227945869236549E-3</v>
      </c>
      <c r="G1151" s="5">
        <v>6.7150887540545767E-3</v>
      </c>
    </row>
    <row r="1152" spans="1:7" x14ac:dyDescent="0.25">
      <c r="A1152" s="12">
        <v>45807</v>
      </c>
      <c r="B1152" s="13">
        <v>3289.25</v>
      </c>
      <c r="C1152" s="13">
        <v>3288.9</v>
      </c>
      <c r="D1152" s="5">
        <v>8.0984148542459469</v>
      </c>
      <c r="E1152" s="5">
        <v>8.0983084413486033</v>
      </c>
      <c r="F1152" s="5">
        <v>-8.6845331583003116E-3</v>
      </c>
      <c r="G1152" s="5">
        <v>-8.5377448678620738E-3</v>
      </c>
    </row>
    <row r="1153" spans="1:7" x14ac:dyDescent="0.25">
      <c r="A1153" s="12">
        <v>45810</v>
      </c>
      <c r="B1153" s="13">
        <v>3381.59</v>
      </c>
      <c r="C1153" s="13">
        <v>3370.6</v>
      </c>
      <c r="D1153" s="5">
        <v>8.1261012920681743</v>
      </c>
      <c r="E1153" s="5">
        <v>8.1228460490419199</v>
      </c>
      <c r="F1153" s="5">
        <v>2.7686437822227461E-2</v>
      </c>
      <c r="G1153" s="5">
        <v>2.4537607693316588E-2</v>
      </c>
    </row>
    <row r="1154" spans="1:7" x14ac:dyDescent="0.25">
      <c r="A1154" s="12">
        <v>45811</v>
      </c>
      <c r="B1154" s="13">
        <v>3353.43</v>
      </c>
      <c r="C1154" s="13">
        <v>3350.2</v>
      </c>
      <c r="D1154" s="5">
        <v>8.1177389816079035</v>
      </c>
      <c r="E1154" s="5">
        <v>8.1167753245295859</v>
      </c>
      <c r="F1154" s="5">
        <v>-8.3623104602708054E-3</v>
      </c>
      <c r="G1154" s="5">
        <v>-6.0707245123339248E-3</v>
      </c>
    </row>
    <row r="1155" spans="1:7" x14ac:dyDescent="0.25">
      <c r="A1155" s="12">
        <v>45812</v>
      </c>
      <c r="B1155" s="13">
        <v>3372.72</v>
      </c>
      <c r="C1155" s="13">
        <v>3373.5</v>
      </c>
      <c r="D1155" s="5">
        <v>8.1234748194605988</v>
      </c>
      <c r="E1155" s="5">
        <v>8.1237060600674802</v>
      </c>
      <c r="F1155" s="5">
        <v>5.7358378526952691E-3</v>
      </c>
      <c r="G1155" s="5">
        <v>6.9307355378942503E-3</v>
      </c>
    </row>
    <row r="1156" spans="1:7" x14ac:dyDescent="0.25">
      <c r="A1156" s="12">
        <v>45813</v>
      </c>
      <c r="B1156" s="13">
        <v>3352.65</v>
      </c>
      <c r="C1156" s="13">
        <v>3350.7</v>
      </c>
      <c r="D1156" s="5">
        <v>8.1175063568842134</v>
      </c>
      <c r="E1156" s="5">
        <v>8.1169245582148903</v>
      </c>
      <c r="F1156" s="5">
        <v>-5.9684625763853916E-3</v>
      </c>
      <c r="G1156" s="5">
        <v>-6.7815018525898552E-3</v>
      </c>
    </row>
    <row r="1157" spans="1:7" x14ac:dyDescent="0.25">
      <c r="A1157" s="12">
        <v>45814</v>
      </c>
      <c r="B1157" s="13">
        <v>3310.42</v>
      </c>
      <c r="C1157" s="13">
        <v>3322.7</v>
      </c>
      <c r="D1157" s="5">
        <v>8.1048303485390019</v>
      </c>
      <c r="E1157" s="5">
        <v>8.1085329844115321</v>
      </c>
      <c r="F1157" s="5">
        <v>-1.2676008345211542E-2</v>
      </c>
      <c r="G1157" s="5">
        <v>-8.3915738033581988E-3</v>
      </c>
    </row>
    <row r="1158" spans="1:7" x14ac:dyDescent="0.25">
      <c r="A1158" s="12">
        <v>45817</v>
      </c>
      <c r="B1158" s="13">
        <v>3326.19</v>
      </c>
      <c r="C1158" s="13">
        <v>3332.1</v>
      </c>
      <c r="D1158" s="5">
        <v>8.1095827837977517</v>
      </c>
      <c r="E1158" s="5">
        <v>8.1113580148411835</v>
      </c>
      <c r="F1158" s="5">
        <v>4.7524352587497987E-3</v>
      </c>
      <c r="G1158" s="5">
        <v>2.8250304296513207E-3</v>
      </c>
    </row>
    <row r="1159" spans="1:7" x14ac:dyDescent="0.25">
      <c r="A1159" s="12">
        <v>45818</v>
      </c>
      <c r="B1159" s="13">
        <v>3323.69</v>
      </c>
      <c r="C1159" s="13">
        <v>3320.9</v>
      </c>
      <c r="D1159" s="5">
        <v>8.1088308904950814</v>
      </c>
      <c r="E1159" s="5">
        <v>8.107991109511163</v>
      </c>
      <c r="F1159" s="5">
        <v>-7.5189330267022569E-4</v>
      </c>
      <c r="G1159" s="5">
        <v>-3.3669053300204865E-3</v>
      </c>
    </row>
    <row r="1160" spans="1:7" x14ac:dyDescent="0.25">
      <c r="A1160" s="12">
        <v>45819</v>
      </c>
      <c r="B1160" s="13">
        <v>3355.12</v>
      </c>
      <c r="C1160" s="13">
        <v>3321.3</v>
      </c>
      <c r="D1160" s="5">
        <v>8.1182428162773181</v>
      </c>
      <c r="E1160" s="5">
        <v>8.1081115515335309</v>
      </c>
      <c r="F1160" s="5">
        <v>9.4119257822367075E-3</v>
      </c>
      <c r="G1160" s="5">
        <v>1.2044202236793922E-4</v>
      </c>
    </row>
    <row r="1161" spans="1:7" x14ac:dyDescent="0.25">
      <c r="A1161" s="12">
        <v>45820</v>
      </c>
      <c r="B1161" s="13">
        <v>3385.92</v>
      </c>
      <c r="C1161" s="13">
        <v>3380.9</v>
      </c>
      <c r="D1161" s="5">
        <v>8.1273809357157969</v>
      </c>
      <c r="E1161" s="5">
        <v>8.1258972252222659</v>
      </c>
      <c r="F1161" s="5">
        <v>9.1381194384787534E-3</v>
      </c>
      <c r="G1161" s="5">
        <v>1.778567368873496E-2</v>
      </c>
    </row>
    <row r="1162" spans="1:7" x14ac:dyDescent="0.25">
      <c r="A1162" s="12">
        <v>45821</v>
      </c>
      <c r="B1162" s="13">
        <v>3432.34</v>
      </c>
      <c r="C1162" s="13">
        <v>3431.2</v>
      </c>
      <c r="D1162" s="5">
        <v>8.1409975233000509</v>
      </c>
      <c r="E1162" s="5">
        <v>8.1406653332026711</v>
      </c>
      <c r="F1162" s="5">
        <v>1.3616587584253992E-2</v>
      </c>
      <c r="G1162" s="5">
        <v>1.4768107980405176E-2</v>
      </c>
    </row>
    <row r="1163" spans="1:7" x14ac:dyDescent="0.25">
      <c r="A1163" s="12">
        <v>45824</v>
      </c>
      <c r="B1163" s="13">
        <v>3385.23</v>
      </c>
      <c r="C1163" s="13">
        <v>3396.4</v>
      </c>
      <c r="D1163" s="5">
        <v>8.1271771298623197</v>
      </c>
      <c r="E1163" s="5">
        <v>8.1304713261252086</v>
      </c>
      <c r="F1163" s="5">
        <v>-1.3820393437731227E-2</v>
      </c>
      <c r="G1163" s="5">
        <v>-1.019400707746243E-2</v>
      </c>
    </row>
    <row r="1164" spans="1:7" x14ac:dyDescent="0.25">
      <c r="A1164" s="12">
        <v>45825</v>
      </c>
      <c r="B1164" s="13">
        <v>3388.11</v>
      </c>
      <c r="C1164" s="13">
        <v>3386.6</v>
      </c>
      <c r="D1164" s="5">
        <v>8.1280275227773533</v>
      </c>
      <c r="E1164" s="5">
        <v>8.1275817472312397</v>
      </c>
      <c r="F1164" s="5">
        <v>8.5039291503363756E-4</v>
      </c>
      <c r="G1164" s="5">
        <v>-2.8895788939689027E-3</v>
      </c>
    </row>
    <row r="1165" spans="1:7" x14ac:dyDescent="0.25">
      <c r="A1165" s="12">
        <v>45826</v>
      </c>
      <c r="B1165" s="13">
        <v>3369.38</v>
      </c>
      <c r="C1165" s="13">
        <v>3389.8</v>
      </c>
      <c r="D1165" s="5">
        <v>8.1224840301595709</v>
      </c>
      <c r="E1165" s="5">
        <v>8.1285262015839539</v>
      </c>
      <c r="F1165" s="5">
        <v>-5.5434926177824195E-3</v>
      </c>
      <c r="G1165" s="5">
        <v>9.4445435271417466E-4</v>
      </c>
    </row>
    <row r="1166" spans="1:7" x14ac:dyDescent="0.25">
      <c r="A1166" s="12">
        <v>45827</v>
      </c>
      <c r="B1166" s="13">
        <v>3370.9</v>
      </c>
      <c r="C1166" s="13">
        <v>3389.8</v>
      </c>
      <c r="D1166" s="5">
        <v>8.1229350500061557</v>
      </c>
      <c r="E1166" s="5">
        <v>8.1285262015839539</v>
      </c>
      <c r="F1166" s="5">
        <v>4.5101984658479921E-4</v>
      </c>
      <c r="G1166" s="5">
        <v>0</v>
      </c>
    </row>
    <row r="1167" spans="1:7" x14ac:dyDescent="0.25">
      <c r="A1167" s="12">
        <v>45828</v>
      </c>
      <c r="B1167" s="13">
        <v>3368.39</v>
      </c>
      <c r="C1167" s="13">
        <v>3368.1</v>
      </c>
      <c r="D1167" s="5">
        <v>8.1221901643828751</v>
      </c>
      <c r="E1167" s="5">
        <v>8.1221040661328434</v>
      </c>
      <c r="F1167" s="5">
        <v>-7.4488562328056673E-4</v>
      </c>
      <c r="G1167" s="5">
        <v>-6.4221354511104778E-3</v>
      </c>
    </row>
    <row r="1168" spans="1:7" x14ac:dyDescent="0.25">
      <c r="A1168" s="12">
        <v>45831</v>
      </c>
      <c r="B1168" s="13">
        <v>3368.48</v>
      </c>
      <c r="C1168" s="13">
        <v>3377.7</v>
      </c>
      <c r="D1168" s="5">
        <v>8.1222168830222454</v>
      </c>
      <c r="E1168" s="5">
        <v>8.1249502834771938</v>
      </c>
      <c r="F1168" s="5">
        <v>2.67186393703156E-5</v>
      </c>
      <c r="G1168" s="5">
        <v>2.8462173443504213E-3</v>
      </c>
    </row>
    <row r="1169" spans="1:7" x14ac:dyDescent="0.25">
      <c r="A1169" s="12">
        <v>45832</v>
      </c>
      <c r="B1169" s="13">
        <v>3323.67</v>
      </c>
      <c r="C1169" s="13">
        <v>3317.4</v>
      </c>
      <c r="D1169" s="5">
        <v>8.108824873068615</v>
      </c>
      <c r="E1169" s="5">
        <v>8.1069366225719417</v>
      </c>
      <c r="F1169" s="5">
        <v>-1.3392009953630435E-2</v>
      </c>
      <c r="G1169" s="5">
        <v>-1.8013660905252138E-2</v>
      </c>
    </row>
    <row r="1170" spans="1:7" x14ac:dyDescent="0.25">
      <c r="A1170" s="12">
        <v>45833</v>
      </c>
      <c r="B1170" s="13">
        <v>3332.33</v>
      </c>
      <c r="C1170" s="13">
        <v>3327.1</v>
      </c>
      <c r="D1170" s="5">
        <v>8.1114270379984799</v>
      </c>
      <c r="E1170" s="5">
        <v>8.1098563326752764</v>
      </c>
      <c r="F1170" s="5">
        <v>2.6021649298648697E-3</v>
      </c>
      <c r="G1170" s="5">
        <v>2.9197101033346939E-3</v>
      </c>
    </row>
    <row r="1171" spans="1:7" x14ac:dyDescent="0.25">
      <c r="A1171" s="12">
        <v>45834</v>
      </c>
      <c r="B1171" s="13">
        <v>3327.92</v>
      </c>
      <c r="C1171" s="13">
        <v>3333.5</v>
      </c>
      <c r="D1171" s="5">
        <v>8.1101027631906319</v>
      </c>
      <c r="E1171" s="5">
        <v>8.1117780820581142</v>
      </c>
      <c r="F1171" s="5">
        <v>-1.3242748078479138E-3</v>
      </c>
      <c r="G1171" s="5">
        <v>1.9217493828378451E-3</v>
      </c>
    </row>
    <row r="1172" spans="1:7" x14ac:dyDescent="0.25">
      <c r="A1172" s="12">
        <v>45835</v>
      </c>
      <c r="B1172" s="13">
        <v>3274.33</v>
      </c>
      <c r="C1172" s="13">
        <v>3287.6</v>
      </c>
      <c r="D1172" s="5">
        <v>8.0938685469873057</v>
      </c>
      <c r="E1172" s="5">
        <v>8.0979130942743449</v>
      </c>
      <c r="F1172" s="5">
        <v>-1.6234216203326213E-2</v>
      </c>
      <c r="G1172" s="5">
        <v>-1.3864987783769323E-2</v>
      </c>
    </row>
    <row r="1173" spans="1:7" x14ac:dyDescent="0.25">
      <c r="A1173" s="12">
        <v>45838</v>
      </c>
      <c r="B1173" s="13">
        <v>3303.14</v>
      </c>
      <c r="C1173" s="13">
        <v>3307.7</v>
      </c>
      <c r="D1173" s="5">
        <v>8.1026288102025017</v>
      </c>
      <c r="E1173" s="5">
        <v>8.1040083627928539</v>
      </c>
      <c r="F1173" s="5">
        <v>8.7602632151959625E-3</v>
      </c>
      <c r="G1173" s="5">
        <v>6.095268518508945E-3</v>
      </c>
    </row>
    <row r="1174" spans="1:7" x14ac:dyDescent="0.25">
      <c r="A1174" s="12">
        <v>45839</v>
      </c>
      <c r="B1174" s="13">
        <v>3338.84</v>
      </c>
      <c r="C1174" s="13">
        <v>3349.8</v>
      </c>
      <c r="D1174" s="5">
        <v>8.1133787202570407</v>
      </c>
      <c r="E1174" s="5">
        <v>8.1166559215443694</v>
      </c>
      <c r="F1174" s="5">
        <v>1.0749910054538958E-2</v>
      </c>
      <c r="G1174" s="5">
        <v>1.2647558751515575E-2</v>
      </c>
    </row>
    <row r="1175" spans="1:7" x14ac:dyDescent="0.25">
      <c r="A1175" s="12">
        <v>45840</v>
      </c>
      <c r="B1175" s="13">
        <v>3357.45</v>
      </c>
      <c r="C1175" s="13">
        <v>3359.7</v>
      </c>
      <c r="D1175" s="5">
        <v>8.1189370362537421</v>
      </c>
      <c r="E1175" s="5">
        <v>8.1196069632567571</v>
      </c>
      <c r="F1175" s="5">
        <v>5.558315996701424E-3</v>
      </c>
      <c r="G1175" s="5">
        <v>2.951041712387692E-3</v>
      </c>
    </row>
    <row r="1176" spans="1:7" x14ac:dyDescent="0.25">
      <c r="A1176" s="12">
        <v>45841</v>
      </c>
      <c r="B1176" s="13">
        <v>3326.12</v>
      </c>
      <c r="C1176" s="13">
        <v>3342.9</v>
      </c>
      <c r="D1176" s="5">
        <v>8.1095617384766516</v>
      </c>
      <c r="E1176" s="5">
        <v>8.1145939727211172</v>
      </c>
      <c r="F1176" s="5">
        <v>-9.3752977770904522E-3</v>
      </c>
      <c r="G1176" s="5">
        <v>-5.0129905356399718E-3</v>
      </c>
    </row>
    <row r="1177" spans="1:7" x14ac:dyDescent="0.25">
      <c r="A1177" s="12">
        <v>45842</v>
      </c>
      <c r="B1177" s="13">
        <v>3337.15</v>
      </c>
      <c r="C1177" s="13">
        <v>3342.9</v>
      </c>
      <c r="D1177" s="5">
        <v>8.1128724282955176</v>
      </c>
      <c r="E1177" s="5">
        <v>8.1145939727211172</v>
      </c>
      <c r="F1177" s="5">
        <v>3.3106898188659528E-3</v>
      </c>
      <c r="G1177" s="5">
        <v>0</v>
      </c>
    </row>
    <row r="1178" spans="1:7" x14ac:dyDescent="0.25">
      <c r="A1178" s="12">
        <v>45845</v>
      </c>
      <c r="B1178" s="13">
        <v>3336.5</v>
      </c>
      <c r="C1178" s="13">
        <v>3342.8</v>
      </c>
      <c r="D1178" s="5">
        <v>8.1126776323436616</v>
      </c>
      <c r="E1178" s="5">
        <v>8.1145640581272804</v>
      </c>
      <c r="F1178" s="5">
        <v>-1.9479595185600829E-4</v>
      </c>
      <c r="G1178" s="5">
        <v>-2.9914593836721792E-5</v>
      </c>
    </row>
    <row r="1179" spans="1:7" x14ac:dyDescent="0.25">
      <c r="A1179" s="12">
        <v>45846</v>
      </c>
      <c r="B1179" s="13">
        <v>3301.92</v>
      </c>
      <c r="C1179" s="13">
        <v>3316.9</v>
      </c>
      <c r="D1179" s="5">
        <v>8.1022593964458132</v>
      </c>
      <c r="E1179" s="5">
        <v>8.1067858907687533</v>
      </c>
      <c r="F1179" s="5">
        <v>-1.0418235897848405E-2</v>
      </c>
      <c r="G1179" s="5">
        <v>-7.7781673585270994E-3</v>
      </c>
    </row>
    <row r="1180" spans="1:7" x14ac:dyDescent="0.25">
      <c r="A1180" s="12">
        <v>45847</v>
      </c>
      <c r="B1180" s="13">
        <v>3313.66</v>
      </c>
      <c r="C1180" s="13">
        <v>3321</v>
      </c>
      <c r="D1180" s="5">
        <v>8.1058085976719791</v>
      </c>
      <c r="E1180" s="5">
        <v>8.1080212213767471</v>
      </c>
      <c r="F1180" s="5">
        <v>3.5492012261659767E-3</v>
      </c>
      <c r="G1180" s="5">
        <v>1.2353306079937454E-3</v>
      </c>
    </row>
    <row r="1181" spans="1:7" x14ac:dyDescent="0.25">
      <c r="A1181" s="12">
        <v>45848</v>
      </c>
      <c r="B1181" s="13">
        <v>3324.05</v>
      </c>
      <c r="C1181" s="13">
        <v>3325.7</v>
      </c>
      <c r="D1181" s="5">
        <v>8.1089391979801384</v>
      </c>
      <c r="E1181" s="5">
        <v>8.109435457248189</v>
      </c>
      <c r="F1181" s="5">
        <v>3.1306003081592593E-3</v>
      </c>
      <c r="G1181" s="5">
        <v>1.4142358714419601E-3</v>
      </c>
    </row>
    <row r="1182" spans="1:7" x14ac:dyDescent="0.25">
      <c r="A1182" s="12">
        <v>45849</v>
      </c>
      <c r="B1182" s="13">
        <v>3355.59</v>
      </c>
      <c r="C1182" s="13">
        <v>3364</v>
      </c>
      <c r="D1182" s="5">
        <v>8.1183828908747202</v>
      </c>
      <c r="E1182" s="5">
        <v>8.1208860210928382</v>
      </c>
      <c r="F1182" s="5">
        <v>9.4436928945818011E-3</v>
      </c>
      <c r="G1182" s="5">
        <v>1.1450563844649153E-2</v>
      </c>
    </row>
    <row r="1183" spans="1:7" x14ac:dyDescent="0.25">
      <c r="A1183" s="12">
        <v>45852</v>
      </c>
      <c r="B1183" s="13">
        <v>3343.51</v>
      </c>
      <c r="C1183" s="13">
        <v>3359.1</v>
      </c>
      <c r="D1183" s="5">
        <v>8.1147764323673837</v>
      </c>
      <c r="E1183" s="5">
        <v>8.1194283599342612</v>
      </c>
      <c r="F1183" s="5">
        <v>-3.6064585073365407E-3</v>
      </c>
      <c r="G1183" s="5">
        <v>-1.4576611585770394E-3</v>
      </c>
    </row>
    <row r="1184" spans="1:7" x14ac:dyDescent="0.25">
      <c r="A1184" s="12">
        <v>45853</v>
      </c>
      <c r="B1184" s="13">
        <v>3324.55</v>
      </c>
      <c r="C1184" s="13">
        <v>3336.7</v>
      </c>
      <c r="D1184" s="5">
        <v>8.1090896055850301</v>
      </c>
      <c r="E1184" s="5">
        <v>8.1127375736012475</v>
      </c>
      <c r="F1184" s="5">
        <v>-5.686826782353549E-3</v>
      </c>
      <c r="G1184" s="5">
        <v>-6.6907863330136763E-3</v>
      </c>
    </row>
    <row r="1185" spans="1:7" x14ac:dyDescent="0.25">
      <c r="A1185" s="12">
        <v>45854</v>
      </c>
      <c r="B1185" s="13">
        <v>3347.13</v>
      </c>
      <c r="C1185" s="13">
        <v>3359.1</v>
      </c>
      <c r="D1185" s="5">
        <v>8.115858541209958</v>
      </c>
      <c r="E1185" s="5">
        <v>8.1194283599342612</v>
      </c>
      <c r="F1185" s="5">
        <v>6.7689356249278632E-3</v>
      </c>
      <c r="G1185" s="5">
        <v>6.6907863330136763E-3</v>
      </c>
    </row>
    <row r="1186" spans="1:7" x14ac:dyDescent="0.25">
      <c r="A1186" s="12">
        <v>45855</v>
      </c>
      <c r="B1186" s="13">
        <v>3338.97</v>
      </c>
      <c r="C1186" s="13">
        <v>3345.3</v>
      </c>
      <c r="D1186" s="5">
        <v>8.1134176551773258</v>
      </c>
      <c r="E1186" s="5">
        <v>8.1153116546394255</v>
      </c>
      <c r="F1186" s="5">
        <v>-2.4408860326321502E-3</v>
      </c>
      <c r="G1186" s="5">
        <v>-4.1167052948356542E-3</v>
      </c>
    </row>
    <row r="1187" spans="1:7" x14ac:dyDescent="0.25">
      <c r="A1187" s="12">
        <v>45856</v>
      </c>
      <c r="B1187" s="13">
        <v>3349.94</v>
      </c>
      <c r="C1187" s="13">
        <v>3358.3</v>
      </c>
      <c r="D1187" s="5">
        <v>8.1166977142109573</v>
      </c>
      <c r="E1187" s="5">
        <v>8.1191901725392022</v>
      </c>
      <c r="F1187" s="5">
        <v>3.2800590336314883E-3</v>
      </c>
      <c r="G1187" s="5">
        <v>3.8785178997766678E-3</v>
      </c>
    </row>
    <row r="1188" spans="1:7" x14ac:dyDescent="0.25">
      <c r="A1188" s="12">
        <v>45859</v>
      </c>
      <c r="B1188" s="13">
        <v>3397.05</v>
      </c>
      <c r="C1188" s="13">
        <v>3406.4</v>
      </c>
      <c r="D1188" s="5">
        <v>8.1306626869218537</v>
      </c>
      <c r="E1188" s="5">
        <v>8.1334112941392149</v>
      </c>
      <c r="F1188" s="5">
        <v>1.3964972710896362E-2</v>
      </c>
      <c r="G1188" s="5">
        <v>1.4221121600012765E-2</v>
      </c>
    </row>
    <row r="1189" spans="1:7" x14ac:dyDescent="0.25">
      <c r="A1189" s="12">
        <v>45860</v>
      </c>
      <c r="B1189" s="13">
        <v>3431.48</v>
      </c>
      <c r="C1189" s="13">
        <v>3443.7</v>
      </c>
      <c r="D1189" s="5">
        <v>8.1407469339767573</v>
      </c>
      <c r="E1189" s="5">
        <v>8.1443017537395601</v>
      </c>
      <c r="F1189" s="5">
        <v>1.0084247054903628E-2</v>
      </c>
      <c r="G1189" s="5">
        <v>1.0890459600345181E-2</v>
      </c>
    </row>
    <row r="1190" spans="1:7" x14ac:dyDescent="0.25">
      <c r="A1190" s="12">
        <v>45861</v>
      </c>
      <c r="B1190" s="13">
        <v>3387.29</v>
      </c>
      <c r="C1190" s="13">
        <v>3397.6</v>
      </c>
      <c r="D1190" s="5">
        <v>8.1277854706464083</v>
      </c>
      <c r="E1190" s="5">
        <v>8.1308245789990607</v>
      </c>
      <c r="F1190" s="5">
        <v>-1.2961463330348977E-2</v>
      </c>
      <c r="G1190" s="5">
        <v>-1.3477174740499365E-2</v>
      </c>
    </row>
    <row r="1191" spans="1:7" x14ac:dyDescent="0.25">
      <c r="A1191" s="12">
        <v>45862</v>
      </c>
      <c r="B1191" s="13">
        <v>3368.68</v>
      </c>
      <c r="C1191" s="13">
        <v>3373.5</v>
      </c>
      <c r="D1191" s="5">
        <v>8.1222762552206369</v>
      </c>
      <c r="E1191" s="5">
        <v>8.1237060600674802</v>
      </c>
      <c r="F1191" s="5">
        <v>-5.5092154257714299E-3</v>
      </c>
      <c r="G1191" s="5">
        <v>-7.118518931580553E-3</v>
      </c>
    </row>
    <row r="1192" spans="1:7" x14ac:dyDescent="0.25">
      <c r="A1192" s="12">
        <v>45863</v>
      </c>
      <c r="B1192" s="13">
        <v>3337.3</v>
      </c>
      <c r="C1192" s="13">
        <v>3335.6</v>
      </c>
      <c r="D1192" s="5">
        <v>8.1129173758192916</v>
      </c>
      <c r="E1192" s="5">
        <v>8.1124078522128311</v>
      </c>
      <c r="F1192" s="5">
        <v>-9.358879401345277E-3</v>
      </c>
      <c r="G1192" s="5">
        <v>-1.1298207854649078E-2</v>
      </c>
    </row>
    <row r="1193" spans="1:7" x14ac:dyDescent="0.25">
      <c r="A1193" s="12">
        <v>45866</v>
      </c>
      <c r="B1193" s="13">
        <v>3314.61</v>
      </c>
      <c r="C1193" s="13">
        <v>3310</v>
      </c>
      <c r="D1193" s="5">
        <v>8.106095248640182</v>
      </c>
      <c r="E1193" s="5">
        <v>8.1047034683711079</v>
      </c>
      <c r="F1193" s="5">
        <v>-6.8221271791095717E-3</v>
      </c>
      <c r="G1193" s="5">
        <v>-7.704383841723228E-3</v>
      </c>
    </row>
    <row r="1194" spans="1:7" x14ac:dyDescent="0.25">
      <c r="A1194" s="12">
        <v>45867</v>
      </c>
      <c r="B1194" s="13">
        <v>3326.62</v>
      </c>
      <c r="C1194" s="13">
        <v>3324</v>
      </c>
      <c r="D1194" s="5">
        <v>8.1097120524828927</v>
      </c>
      <c r="E1194" s="5">
        <v>8.1089241559753393</v>
      </c>
      <c r="F1194" s="5">
        <v>3.6168038427106808E-3</v>
      </c>
      <c r="G1194" s="5">
        <v>4.2206876042314434E-3</v>
      </c>
    </row>
    <row r="1195" spans="1:7" x14ac:dyDescent="0.25">
      <c r="A1195" s="12">
        <v>45868</v>
      </c>
      <c r="B1195" s="13">
        <v>3275.18</v>
      </c>
      <c r="C1195" s="13">
        <v>3295.8</v>
      </c>
      <c r="D1195" s="5">
        <v>8.0941281083910663</v>
      </c>
      <c r="E1195" s="5">
        <v>8.1004042095766291</v>
      </c>
      <c r="F1195" s="5">
        <v>-1.5583944091826396E-2</v>
      </c>
      <c r="G1195" s="5">
        <v>-8.519946398710232E-3</v>
      </c>
    </row>
    <row r="1196" spans="1:7" x14ac:dyDescent="0.25">
      <c r="A1196" s="12">
        <v>45869</v>
      </c>
      <c r="B1196" s="13">
        <v>3289.93</v>
      </c>
      <c r="C1196" s="13">
        <v>3293.2</v>
      </c>
      <c r="D1196" s="5">
        <v>8.0986215669373234</v>
      </c>
      <c r="E1196" s="5">
        <v>8.0996150154242716</v>
      </c>
      <c r="F1196" s="5">
        <v>4.4934585462570453E-3</v>
      </c>
      <c r="G1196" s="5">
        <v>-7.8919415235745305E-4</v>
      </c>
    </row>
    <row r="1197" spans="1:7" x14ac:dyDescent="0.25">
      <c r="A1197" s="12">
        <v>45870</v>
      </c>
      <c r="B1197" s="13">
        <v>3363.48</v>
      </c>
      <c r="C1197" s="13">
        <v>3347.7</v>
      </c>
      <c r="D1197" s="5">
        <v>8.1207314312609746</v>
      </c>
      <c r="E1197" s="5">
        <v>8.116028821859766</v>
      </c>
      <c r="F1197" s="5">
        <v>2.2109864323651252E-2</v>
      </c>
      <c r="G1197" s="5">
        <v>1.6413806435494394E-2</v>
      </c>
    </row>
    <row r="1198" spans="1:7" x14ac:dyDescent="0.25">
      <c r="A1198" s="12">
        <v>45873</v>
      </c>
      <c r="B1198" s="13">
        <v>3373.59</v>
      </c>
      <c r="C1198" s="13">
        <v>3374.4</v>
      </c>
      <c r="D1198" s="5">
        <v>8.1237327382354021</v>
      </c>
      <c r="E1198" s="5">
        <v>8.1239728097245099</v>
      </c>
      <c r="F1198" s="5">
        <v>3.0013069744274645E-3</v>
      </c>
      <c r="G1198" s="5">
        <v>7.9439878647438178E-3</v>
      </c>
    </row>
    <row r="1199" spans="1:7" x14ac:dyDescent="0.25">
      <c r="A1199" s="12">
        <v>45874</v>
      </c>
      <c r="B1199" s="13">
        <v>3380.6</v>
      </c>
      <c r="C1199" s="13">
        <v>3381.9</v>
      </c>
      <c r="D1199" s="5">
        <v>8.1258084875160765</v>
      </c>
      <c r="E1199" s="5">
        <v>8.1261929607185959</v>
      </c>
      <c r="F1199" s="5">
        <v>2.0757492806744438E-3</v>
      </c>
      <c r="G1199" s="5">
        <v>2.220150994086012E-3</v>
      </c>
    </row>
    <row r="1200" spans="1:7" x14ac:dyDescent="0.25">
      <c r="A1200" s="12">
        <v>45875</v>
      </c>
      <c r="B1200" s="13">
        <v>3369.33</v>
      </c>
      <c r="C1200" s="13">
        <v>3380</v>
      </c>
      <c r="D1200" s="5">
        <v>8.1224691905240913</v>
      </c>
      <c r="E1200" s="5">
        <v>8.1256309884770648</v>
      </c>
      <c r="F1200" s="5">
        <v>-3.3392969919852078E-3</v>
      </c>
      <c r="G1200" s="5">
        <v>-5.619722415310946E-4</v>
      </c>
    </row>
    <row r="1201" spans="1:7" x14ac:dyDescent="0.25">
      <c r="A1201" s="12">
        <v>45876</v>
      </c>
      <c r="B1201" s="13">
        <v>3396.38</v>
      </c>
      <c r="C1201" s="13">
        <v>3400.3</v>
      </c>
      <c r="D1201" s="5">
        <v>8.1304654375199537</v>
      </c>
      <c r="E1201" s="5">
        <v>8.1316189420058667</v>
      </c>
      <c r="F1201" s="5">
        <v>7.9962469958623217E-3</v>
      </c>
      <c r="G1201" s="5">
        <v>5.9879535288018815E-3</v>
      </c>
    </row>
    <row r="1202" spans="1:7" x14ac:dyDescent="0.25">
      <c r="A1202" s="12">
        <v>45877</v>
      </c>
      <c r="B1202" s="13">
        <v>3397.75</v>
      </c>
      <c r="C1202" s="13">
        <v>3439.1</v>
      </c>
      <c r="D1202" s="5">
        <v>8.1308687268354571</v>
      </c>
      <c r="E1202" s="5">
        <v>8.142965088229916</v>
      </c>
      <c r="F1202" s="5">
        <v>4.0328931550348557E-4</v>
      </c>
      <c r="G1202" s="5">
        <v>1.1346146224049392E-2</v>
      </c>
    </row>
    <row r="1203" spans="1:7" x14ac:dyDescent="0.25">
      <c r="A1203" s="12">
        <v>45880</v>
      </c>
      <c r="B1203" s="13">
        <v>3342.37</v>
      </c>
      <c r="C1203" s="13">
        <v>3353.1</v>
      </c>
      <c r="D1203" s="5">
        <v>8.1144354151756151</v>
      </c>
      <c r="E1203" s="5">
        <v>8.1176405700596757</v>
      </c>
      <c r="F1203" s="5">
        <v>-1.6433311659842076E-2</v>
      </c>
      <c r="G1203" s="5">
        <v>-2.5324518170240395E-2</v>
      </c>
    </row>
    <row r="1204" spans="1:7" x14ac:dyDescent="0.25">
      <c r="A1204" s="12">
        <v>45881</v>
      </c>
      <c r="B1204" s="13">
        <v>3348.26</v>
      </c>
      <c r="C1204" s="13">
        <v>3348.9</v>
      </c>
      <c r="D1204" s="5">
        <v>8.1161960868975811</v>
      </c>
      <c r="E1204" s="5">
        <v>8.1163872126887959</v>
      </c>
      <c r="F1204" s="5">
        <v>1.7606717219660339E-3</v>
      </c>
      <c r="G1204" s="5">
        <v>-1.2533573708797263E-3</v>
      </c>
    </row>
    <row r="1205" spans="1:7" x14ac:dyDescent="0.25">
      <c r="A1205" s="12">
        <v>45882</v>
      </c>
      <c r="B1205" s="13">
        <v>3355.86</v>
      </c>
      <c r="C1205" s="13">
        <v>3358.7</v>
      </c>
      <c r="D1205" s="5">
        <v>8.1184633503879837</v>
      </c>
      <c r="E1205" s="5">
        <v>8.1193092733283869</v>
      </c>
      <c r="F1205" s="5">
        <v>2.2672634904026268E-3</v>
      </c>
      <c r="G1205" s="5">
        <v>2.9220606395909954E-3</v>
      </c>
    </row>
    <row r="1206" spans="1:7" x14ac:dyDescent="0.25">
      <c r="A1206" s="12">
        <v>45883</v>
      </c>
      <c r="B1206" s="13">
        <v>3335.39</v>
      </c>
      <c r="C1206" s="13">
        <v>3335.2</v>
      </c>
      <c r="D1206" s="5">
        <v>8.1123448930418327</v>
      </c>
      <c r="E1206" s="5">
        <v>8.1122879265665873</v>
      </c>
      <c r="F1206" s="5">
        <v>-6.1184573461510183E-3</v>
      </c>
      <c r="G1206" s="5">
        <v>-7.0213467617996628E-3</v>
      </c>
    </row>
    <row r="1207" spans="1:7" x14ac:dyDescent="0.25">
      <c r="A1207" s="12">
        <v>45884</v>
      </c>
      <c r="B1207" s="13">
        <v>3336.19</v>
      </c>
      <c r="C1207" s="13">
        <v>3336</v>
      </c>
      <c r="D1207" s="5">
        <v>8.1125847162932452</v>
      </c>
      <c r="E1207" s="5">
        <v>8.1125277634786368</v>
      </c>
      <c r="F1207" s="5">
        <v>2.3982325141247429E-4</v>
      </c>
      <c r="G1207" s="5">
        <v>2.3983691204954027E-4</v>
      </c>
    </row>
    <row r="1208" spans="1:7" x14ac:dyDescent="0.25">
      <c r="A1208" s="12">
        <v>45887</v>
      </c>
      <c r="B1208" s="13">
        <v>3332.72</v>
      </c>
      <c r="C1208" s="13">
        <v>3331.7</v>
      </c>
      <c r="D1208" s="5">
        <v>8.1115440663779967</v>
      </c>
      <c r="E1208" s="5">
        <v>8.1112379632188425</v>
      </c>
      <c r="F1208" s="5">
        <v>-1.0406499152484372E-3</v>
      </c>
      <c r="G1208" s="5">
        <v>-1.2898002597943048E-3</v>
      </c>
    </row>
    <row r="1209" spans="1:7" x14ac:dyDescent="0.25">
      <c r="A1209" s="12">
        <v>45888</v>
      </c>
      <c r="B1209" s="13">
        <v>3315.78</v>
      </c>
      <c r="C1209" s="13">
        <v>3313.4</v>
      </c>
      <c r="D1209" s="5">
        <v>8.1064481690602914</v>
      </c>
      <c r="E1209" s="5">
        <v>8.105730131504437</v>
      </c>
      <c r="F1209" s="5">
        <v>-5.0958973177053224E-3</v>
      </c>
      <c r="G1209" s="5">
        <v>-5.5078317144054978E-3</v>
      </c>
    </row>
    <row r="1210" spans="1:7" x14ac:dyDescent="0.25">
      <c r="A1210" s="12">
        <v>45889</v>
      </c>
      <c r="B1210" s="13">
        <v>3348.43</v>
      </c>
      <c r="C1210" s="13">
        <v>3343.4</v>
      </c>
      <c r="D1210" s="5">
        <v>8.116246858248811</v>
      </c>
      <c r="E1210" s="5">
        <v>8.1147435322685304</v>
      </c>
      <c r="F1210" s="5">
        <v>9.7986891885195604E-3</v>
      </c>
      <c r="G1210" s="5">
        <v>9.0134007640934044E-3</v>
      </c>
    </row>
    <row r="1211" spans="1:7" x14ac:dyDescent="0.25">
      <c r="A1211" s="12">
        <v>45890</v>
      </c>
      <c r="B1211" s="13">
        <v>3338.71</v>
      </c>
      <c r="C1211" s="13">
        <v>3336.9</v>
      </c>
      <c r="D1211" s="5">
        <v>8.1133397838207681</v>
      </c>
      <c r="E1211" s="5">
        <v>8.1127975112660931</v>
      </c>
      <c r="F1211" s="5">
        <v>-2.9070744280428329E-3</v>
      </c>
      <c r="G1211" s="5">
        <v>-1.9460210024373481E-3</v>
      </c>
    </row>
    <row r="1212" spans="1:7" x14ac:dyDescent="0.25">
      <c r="A1212" s="12">
        <v>45891</v>
      </c>
      <c r="B1212" s="13">
        <v>3371.86</v>
      </c>
      <c r="C1212" s="13">
        <v>3374.4</v>
      </c>
      <c r="D1212" s="5">
        <v>8.1232197998731195</v>
      </c>
      <c r="E1212" s="5">
        <v>8.1239728097245099</v>
      </c>
      <c r="F1212" s="5">
        <v>9.880016052351337E-3</v>
      </c>
      <c r="G1212" s="5">
        <v>1.1175298458416805E-2</v>
      </c>
    </row>
    <row r="1213" spans="1:7" x14ac:dyDescent="0.25">
      <c r="A1213" s="12">
        <v>45894</v>
      </c>
      <c r="B1213" s="13">
        <v>3365.89</v>
      </c>
      <c r="C1213" s="13">
        <v>3373.8</v>
      </c>
      <c r="D1213" s="5">
        <v>8.1214476944781957</v>
      </c>
      <c r="E1213" s="5">
        <v>8.1237949845262118</v>
      </c>
      <c r="F1213" s="5">
        <v>-1.7721053949237842E-3</v>
      </c>
      <c r="G1213" s="5">
        <v>-1.7782519829800947E-4</v>
      </c>
    </row>
    <row r="1214" spans="1:7" x14ac:dyDescent="0.25">
      <c r="A1214" s="12">
        <v>45895</v>
      </c>
      <c r="B1214" s="13">
        <v>3393.57</v>
      </c>
      <c r="C1214" s="13">
        <v>3388.6</v>
      </c>
      <c r="D1214" s="5">
        <v>8.129637743601613</v>
      </c>
      <c r="E1214" s="5">
        <v>8.1281721357240055</v>
      </c>
      <c r="F1214" s="5">
        <v>8.1900491234172534E-3</v>
      </c>
      <c r="G1214" s="5">
        <v>4.3771511977936939E-3</v>
      </c>
    </row>
    <row r="1215" spans="1:7" x14ac:dyDescent="0.25">
      <c r="A1215" s="12">
        <v>45896</v>
      </c>
      <c r="B1215" s="13">
        <v>3397.37</v>
      </c>
      <c r="C1215" s="13">
        <v>3404.6</v>
      </c>
      <c r="D1215" s="5">
        <v>8.1307568818642437</v>
      </c>
      <c r="E1215" s="5">
        <v>8.13288273738047</v>
      </c>
      <c r="F1215" s="5">
        <v>1.11913826263077E-3</v>
      </c>
      <c r="G1215" s="5">
        <v>4.7106016564644193E-3</v>
      </c>
    </row>
    <row r="1216" spans="1:7" x14ac:dyDescent="0.25">
      <c r="A1216" s="12">
        <v>45897</v>
      </c>
      <c r="B1216" s="13">
        <v>3417.08</v>
      </c>
      <c r="C1216" s="13">
        <v>3445.8</v>
      </c>
      <c r="D1216" s="5">
        <v>8.1365416641912418</v>
      </c>
      <c r="E1216" s="5">
        <v>8.144911377098305</v>
      </c>
      <c r="F1216" s="5">
        <v>5.7847823269980836E-3</v>
      </c>
      <c r="G1216" s="5">
        <v>1.2028639717835077E-2</v>
      </c>
    </row>
    <row r="1217" spans="1:7" x14ac:dyDescent="0.25">
      <c r="A1217" s="12">
        <v>45898</v>
      </c>
      <c r="B1217" s="13">
        <v>3447.95</v>
      </c>
      <c r="C1217" s="13">
        <v>3487.2</v>
      </c>
      <c r="D1217" s="5">
        <v>8.1455351305183488</v>
      </c>
      <c r="E1217" s="5">
        <v>8.1568544009241819</v>
      </c>
      <c r="F1217" s="5">
        <v>8.9934663271069581E-3</v>
      </c>
      <c r="G1217" s="5">
        <v>1.1943023825876864E-2</v>
      </c>
    </row>
    <row r="1218" spans="1:7" x14ac:dyDescent="0.25">
      <c r="A1218" s="12">
        <v>45901</v>
      </c>
      <c r="B1218" s="13">
        <v>3476.07</v>
      </c>
      <c r="C1218" s="13">
        <v>3487.2</v>
      </c>
      <c r="D1218" s="5">
        <v>8.153657624272272</v>
      </c>
      <c r="E1218" s="5">
        <v>8.1568544009241819</v>
      </c>
      <c r="F1218" s="5">
        <v>8.1224937539232656E-3</v>
      </c>
      <c r="G1218" s="5">
        <v>0</v>
      </c>
    </row>
    <row r="1219" spans="1:7" x14ac:dyDescent="0.25">
      <c r="A1219" s="12">
        <v>45902</v>
      </c>
      <c r="B1219" s="13">
        <v>3533.16</v>
      </c>
      <c r="C1219" s="13">
        <v>3562.9</v>
      </c>
      <c r="D1219" s="5">
        <v>8.169947933624961</v>
      </c>
      <c r="E1219" s="5">
        <v>8.1783300989756533</v>
      </c>
      <c r="F1219" s="5">
        <v>1.6290309352688936E-2</v>
      </c>
      <c r="G1219" s="5">
        <v>2.1475698051471426E-2</v>
      </c>
    </row>
    <row r="1220" spans="1:7" x14ac:dyDescent="0.25">
      <c r="A1220" s="12">
        <v>45903</v>
      </c>
      <c r="B1220" s="13">
        <v>3559.42</v>
      </c>
      <c r="C1220" s="13">
        <v>3606.1</v>
      </c>
      <c r="D1220" s="5">
        <v>8.1773528892246379</v>
      </c>
      <c r="E1220" s="5">
        <v>8.1903821349372627</v>
      </c>
      <c r="F1220" s="5">
        <v>7.4049555996769101E-3</v>
      </c>
      <c r="G1220" s="5">
        <v>1.205203596160942E-2</v>
      </c>
    </row>
    <row r="1221" spans="1:7" x14ac:dyDescent="0.25">
      <c r="A1221" s="12">
        <v>45904</v>
      </c>
      <c r="B1221" s="13">
        <v>3545.85</v>
      </c>
      <c r="C1221" s="13">
        <v>3577.3</v>
      </c>
      <c r="D1221" s="5">
        <v>8.1735331845549997</v>
      </c>
      <c r="E1221" s="5">
        <v>8.1823636049062998</v>
      </c>
      <c r="F1221" s="5">
        <v>-3.8197046696382131E-3</v>
      </c>
      <c r="G1221" s="5">
        <v>-8.0185300309629781E-3</v>
      </c>
    </row>
    <row r="1222" spans="1:7" x14ac:dyDescent="0.25">
      <c r="A1222" s="12">
        <v>45905</v>
      </c>
      <c r="B1222" s="13">
        <v>3586.69</v>
      </c>
      <c r="C1222" s="13">
        <v>3624</v>
      </c>
      <c r="D1222" s="5">
        <v>8.1849850506027124</v>
      </c>
      <c r="E1222" s="5">
        <v>8.1953336671628705</v>
      </c>
      <c r="F1222" s="5">
        <v>1.1451866047712755E-2</v>
      </c>
      <c r="G1222" s="5">
        <v>1.2970062256570714E-2</v>
      </c>
    </row>
    <row r="1223" spans="1:7" x14ac:dyDescent="0.25">
      <c r="A1223" s="12">
        <v>45908</v>
      </c>
      <c r="B1223" s="13">
        <v>3635.98</v>
      </c>
      <c r="C1223" s="13">
        <v>3648.5</v>
      </c>
      <c r="D1223" s="5">
        <v>8.1986339547321858</v>
      </c>
      <c r="E1223" s="5">
        <v>8.2020714032056752</v>
      </c>
      <c r="F1223" s="5">
        <v>1.3648904129473394E-2</v>
      </c>
      <c r="G1223" s="5">
        <v>6.7377360428046984E-3</v>
      </c>
    </row>
    <row r="1224" spans="1:7" x14ac:dyDescent="0.25">
      <c r="A1224" s="12">
        <v>45909</v>
      </c>
      <c r="B1224" s="13">
        <v>3626.63</v>
      </c>
      <c r="C1224" s="13">
        <v>3653.3</v>
      </c>
      <c r="D1224" s="5">
        <v>8.1960591213965976</v>
      </c>
      <c r="E1224" s="5">
        <v>8.2033861477046806</v>
      </c>
      <c r="F1224" s="5">
        <v>-2.574833335588167E-3</v>
      </c>
      <c r="G1224" s="5">
        <v>1.3147444990053714E-3</v>
      </c>
    </row>
    <row r="1225" spans="1:7" x14ac:dyDescent="0.25">
      <c r="A1225" s="12">
        <v>45910</v>
      </c>
      <c r="B1225" s="13">
        <v>3640.75</v>
      </c>
      <c r="C1225" s="13">
        <v>3653.1</v>
      </c>
      <c r="D1225" s="5">
        <v>8.1999449833626894</v>
      </c>
      <c r="E1225" s="5">
        <v>8.203331401181071</v>
      </c>
      <c r="F1225" s="5">
        <v>3.8858619660917526E-3</v>
      </c>
      <c r="G1225" s="5">
        <v>-5.4746523609594533E-5</v>
      </c>
    </row>
    <row r="1226" spans="1:7" x14ac:dyDescent="0.25">
      <c r="A1226" s="12">
        <v>45911</v>
      </c>
      <c r="B1226" s="13">
        <v>3634.07</v>
      </c>
      <c r="C1226" s="13">
        <v>3645</v>
      </c>
      <c r="D1226" s="5">
        <v>8.1981085112912346</v>
      </c>
      <c r="E1226" s="5">
        <v>8.2011116444427579</v>
      </c>
      <c r="F1226" s="5">
        <v>-1.8364720714547644E-3</v>
      </c>
      <c r="G1226" s="5">
        <v>-2.2197567383130945E-3</v>
      </c>
    </row>
    <row r="1227" spans="1:7" x14ac:dyDescent="0.25">
      <c r="A1227" s="12">
        <v>45912</v>
      </c>
      <c r="B1227" s="13">
        <v>3643.14</v>
      </c>
      <c r="C1227" s="13">
        <v>3657.3</v>
      </c>
      <c r="D1227" s="5">
        <v>8.2006012261356513</v>
      </c>
      <c r="E1227" s="5">
        <v>8.2044804492392096</v>
      </c>
      <c r="F1227" s="5">
        <v>2.4927148444167102E-3</v>
      </c>
      <c r="G1227" s="5">
        <v>3.3688047964517409E-3</v>
      </c>
    </row>
    <row r="1228" spans="1:7" x14ac:dyDescent="0.25">
      <c r="A1228" s="12">
        <v>45915</v>
      </c>
      <c r="B1228" s="13">
        <v>3678.99</v>
      </c>
      <c r="C1228" s="13">
        <v>3689.5</v>
      </c>
      <c r="D1228" s="5">
        <v>8.2103935369711536</v>
      </c>
      <c r="E1228" s="5">
        <v>8.2132462264984216</v>
      </c>
      <c r="F1228" s="5">
        <v>9.7923108355022492E-3</v>
      </c>
      <c r="G1228" s="5">
        <v>8.7657772592120153E-3</v>
      </c>
    </row>
    <row r="1229" spans="1:7" x14ac:dyDescent="0.25">
      <c r="A1229" s="12">
        <v>45916</v>
      </c>
      <c r="B1229" s="13">
        <v>3689.98</v>
      </c>
      <c r="C1229" s="13">
        <v>3695.5</v>
      </c>
      <c r="D1229" s="5">
        <v>8.2133763169656842</v>
      </c>
      <c r="E1229" s="5">
        <v>8.2148711422249416</v>
      </c>
      <c r="F1229" s="5">
        <v>2.98277999453056E-3</v>
      </c>
      <c r="G1229" s="5">
        <v>1.6249157265200154E-3</v>
      </c>
    </row>
    <row r="1230" spans="1:7" x14ac:dyDescent="0.25">
      <c r="A1230" s="12">
        <v>45917</v>
      </c>
      <c r="B1230" s="13">
        <v>3659.9</v>
      </c>
      <c r="C1230" s="13">
        <v>3688</v>
      </c>
      <c r="D1230" s="5">
        <v>8.2051911036177767</v>
      </c>
      <c r="E1230" s="5">
        <v>8.2128395846764839</v>
      </c>
      <c r="F1230" s="5">
        <v>-8.1852133479074496E-3</v>
      </c>
      <c r="G1230" s="5">
        <v>-2.0315575484577408E-3</v>
      </c>
    </row>
    <row r="1231" spans="1:7" x14ac:dyDescent="0.25">
      <c r="A1231" s="12">
        <v>45918</v>
      </c>
      <c r="B1231" s="13">
        <v>3644.28</v>
      </c>
      <c r="C1231" s="13">
        <v>3648.7</v>
      </c>
      <c r="D1231" s="5">
        <v>8.2009140940667695</v>
      </c>
      <c r="E1231" s="5">
        <v>8.2021262187513777</v>
      </c>
      <c r="F1231" s="5">
        <v>-4.2770095510071826E-3</v>
      </c>
      <c r="G1231" s="5">
        <v>-1.0713365925106189E-2</v>
      </c>
    </row>
    <row r="1232" spans="1:7" x14ac:dyDescent="0.25">
      <c r="A1232" s="12">
        <v>45919</v>
      </c>
      <c r="B1232" s="13">
        <v>3685.3</v>
      </c>
      <c r="C1232" s="13">
        <v>3676</v>
      </c>
      <c r="D1232" s="5">
        <v>8.2121072124359191</v>
      </c>
      <c r="E1232" s="5">
        <v>8.2095804834755768</v>
      </c>
      <c r="F1232" s="5">
        <v>1.1193118369149602E-2</v>
      </c>
      <c r="G1232" s="5">
        <v>7.4542647241990778E-3</v>
      </c>
    </row>
    <row r="1233" spans="1:7" x14ac:dyDescent="0.25">
      <c r="A1233" s="12">
        <v>45922</v>
      </c>
      <c r="B1233" s="13">
        <v>3746.7</v>
      </c>
      <c r="C1233" s="13">
        <v>3744.8</v>
      </c>
      <c r="D1233" s="5">
        <v>8.2286307315371499</v>
      </c>
      <c r="E1233" s="5">
        <v>8.2281234899858617</v>
      </c>
      <c r="F1233" s="5">
        <v>1.6523519101230733E-2</v>
      </c>
      <c r="G1233" s="5">
        <v>1.8543006510284954E-2</v>
      </c>
    </row>
    <row r="1234" spans="1:7" x14ac:dyDescent="0.25">
      <c r="A1234" s="12">
        <v>45923</v>
      </c>
      <c r="B1234" s="13">
        <v>3764.01</v>
      </c>
      <c r="C1234" s="13">
        <v>3784.2</v>
      </c>
      <c r="D1234" s="5">
        <v>8.233240157449881</v>
      </c>
      <c r="E1234" s="5">
        <v>8.2385897828976606</v>
      </c>
      <c r="F1234" s="5">
        <v>4.6094259127311688E-3</v>
      </c>
      <c r="G1234" s="5">
        <v>1.0466292911798902E-2</v>
      </c>
    </row>
    <row r="1235" spans="1:7" x14ac:dyDescent="0.25">
      <c r="A1235" s="12">
        <v>45924</v>
      </c>
      <c r="B1235" s="13">
        <v>3736.16</v>
      </c>
      <c r="C1235" s="13">
        <v>3735</v>
      </c>
      <c r="D1235" s="5">
        <v>8.2258136249841645</v>
      </c>
      <c r="E1235" s="5">
        <v>8.2255030975669179</v>
      </c>
      <c r="F1235" s="5">
        <v>-7.4265324657165621E-3</v>
      </c>
      <c r="G1235" s="5">
        <v>-1.3086685330742753E-2</v>
      </c>
    </row>
    <row r="1236" spans="1:7" x14ac:dyDescent="0.25">
      <c r="A1236" s="12">
        <v>45925</v>
      </c>
      <c r="B1236" s="13">
        <v>3749.44</v>
      </c>
      <c r="C1236" s="13">
        <v>3738.7</v>
      </c>
      <c r="D1236" s="5">
        <v>8.2293617744797913</v>
      </c>
      <c r="E1236" s="5">
        <v>8.226493236401037</v>
      </c>
      <c r="F1236" s="5">
        <v>3.5481494956268733E-3</v>
      </c>
      <c r="G1236" s="5">
        <v>9.9013883411913639E-4</v>
      </c>
    </row>
    <row r="1237" spans="1:7" x14ac:dyDescent="0.25">
      <c r="A1237" s="12">
        <v>45926</v>
      </c>
      <c r="B1237" s="13">
        <v>3759.98</v>
      </c>
      <c r="C1237" s="13">
        <v>3776.2</v>
      </c>
      <c r="D1237" s="5">
        <v>8.2321689172208572</v>
      </c>
      <c r="E1237" s="5">
        <v>8.236473491964432</v>
      </c>
      <c r="F1237" s="5">
        <v>2.80714274106586E-3</v>
      </c>
      <c r="G1237" s="5">
        <v>9.9802555633949908E-3</v>
      </c>
    </row>
    <row r="1238" spans="1:7" x14ac:dyDescent="0.25">
      <c r="A1238" s="12">
        <v>45929</v>
      </c>
      <c r="B1238" s="13">
        <v>3833.55</v>
      </c>
      <c r="C1238" s="13">
        <v>3820.9</v>
      </c>
      <c r="D1238" s="5">
        <v>8.2515465458250681</v>
      </c>
      <c r="E1238" s="5">
        <v>8.2482412759450465</v>
      </c>
      <c r="F1238" s="5">
        <v>1.9377628604210884E-2</v>
      </c>
      <c r="G1238" s="5">
        <v>1.176778398061451E-2</v>
      </c>
    </row>
    <row r="1239" spans="1:7" x14ac:dyDescent="0.25">
      <c r="A1239" s="12">
        <v>45930</v>
      </c>
      <c r="B1239" s="13">
        <v>3858.96</v>
      </c>
      <c r="C1239" s="13">
        <v>3840.8</v>
      </c>
      <c r="D1239" s="5">
        <v>8.2581529961042666</v>
      </c>
      <c r="E1239" s="5">
        <v>8.2534359572167304</v>
      </c>
      <c r="F1239" s="5">
        <v>6.6064502791984836E-3</v>
      </c>
      <c r="G1239" s="5">
        <v>5.1946812716838764E-3</v>
      </c>
    </row>
    <row r="1240" spans="1:7" x14ac:dyDescent="0.25">
      <c r="A1240" s="12">
        <v>45931</v>
      </c>
      <c r="B1240" s="13">
        <v>3865.74</v>
      </c>
      <c r="C1240" s="13">
        <v>3867.5</v>
      </c>
      <c r="D1240" s="5">
        <v>8.2599084045320428</v>
      </c>
      <c r="E1240" s="5">
        <v>8.260363582447221</v>
      </c>
      <c r="F1240" s="5">
        <v>1.7554084277762172E-3</v>
      </c>
      <c r="G1240" s="5">
        <v>6.9276252304906194E-3</v>
      </c>
    </row>
    <row r="1241" spans="1:7" x14ac:dyDescent="0.25">
      <c r="A1241" s="12">
        <v>45932</v>
      </c>
      <c r="B1241" s="13">
        <v>3856.58</v>
      </c>
      <c r="C1241" s="13">
        <v>3839.7</v>
      </c>
      <c r="D1241" s="5">
        <v>8.2575360593570029</v>
      </c>
      <c r="E1241" s="5">
        <v>8.2531495175298559</v>
      </c>
      <c r="F1241" s="5">
        <v>-2.3723451750399249E-3</v>
      </c>
      <c r="G1241" s="5">
        <v>-7.2140649173650928E-3</v>
      </c>
    </row>
    <row r="1242" spans="1:7" x14ac:dyDescent="0.25">
      <c r="A1242" s="12">
        <v>45933</v>
      </c>
      <c r="B1242" s="13">
        <v>3886.54</v>
      </c>
      <c r="C1242" s="13">
        <v>3880.8</v>
      </c>
      <c r="D1242" s="5">
        <v>8.2652745806538483</v>
      </c>
      <c r="E1242" s="5">
        <v>8.263796596931007</v>
      </c>
      <c r="F1242" s="5">
        <v>7.7385212968454908E-3</v>
      </c>
      <c r="G1242" s="5">
        <v>1.0647079401151061E-2</v>
      </c>
    </row>
    <row r="1243" spans="1:7" x14ac:dyDescent="0.25">
      <c r="A1243" s="12">
        <v>45936</v>
      </c>
      <c r="B1243" s="13">
        <v>3960.98</v>
      </c>
      <c r="C1243" s="13">
        <v>3948.5</v>
      </c>
      <c r="D1243" s="5">
        <v>8.2842467483791769</v>
      </c>
      <c r="E1243" s="5">
        <v>8.2810910389376353</v>
      </c>
      <c r="F1243" s="5">
        <v>1.8972167725328504E-2</v>
      </c>
      <c r="G1243" s="5">
        <v>1.729444200662833E-2</v>
      </c>
    </row>
    <row r="1244" spans="1:7" x14ac:dyDescent="0.25">
      <c r="A1244" s="12">
        <v>45937</v>
      </c>
      <c r="B1244" s="13">
        <v>3984.85</v>
      </c>
      <c r="C1244" s="13">
        <v>3976.6</v>
      </c>
      <c r="D1244" s="5">
        <v>8.2902549493615414</v>
      </c>
      <c r="E1244" s="5">
        <v>8.2881824618239808</v>
      </c>
      <c r="F1244" s="5">
        <v>6.0082009823645421E-3</v>
      </c>
      <c r="G1244" s="5">
        <v>7.0914228863454554E-3</v>
      </c>
    </row>
    <row r="1245" spans="1:7" x14ac:dyDescent="0.25">
      <c r="A1245" s="12">
        <v>45938</v>
      </c>
      <c r="B1245" s="13">
        <v>4042.03</v>
      </c>
      <c r="C1245" s="13">
        <v>4043.3</v>
      </c>
      <c r="D1245" s="5">
        <v>8.3045023200043051</v>
      </c>
      <c r="E1245" s="5">
        <v>8.3048164692129216</v>
      </c>
      <c r="F1245" s="5">
        <v>1.4247370642763713E-2</v>
      </c>
      <c r="G1245" s="5">
        <v>1.663400738894083E-2</v>
      </c>
    </row>
    <row r="1246" spans="1:7" x14ac:dyDescent="0.25">
      <c r="A1246" s="12">
        <v>45939</v>
      </c>
      <c r="B1246" s="13">
        <v>3976.86</v>
      </c>
      <c r="C1246" s="13">
        <v>3946.3</v>
      </c>
      <c r="D1246" s="5">
        <v>8.2882478421741919</v>
      </c>
      <c r="E1246" s="5">
        <v>8.2805337100485072</v>
      </c>
      <c r="F1246" s="5">
        <v>-1.6254477830113245E-2</v>
      </c>
      <c r="G1246" s="5">
        <v>-2.4282759164414358E-2</v>
      </c>
    </row>
    <row r="1247" spans="1:7" x14ac:dyDescent="0.25">
      <c r="A1247" s="12">
        <v>45940</v>
      </c>
      <c r="B1247" s="13">
        <v>4017.79</v>
      </c>
      <c r="C1247" s="13">
        <v>3975.9</v>
      </c>
      <c r="D1247" s="5">
        <v>8.2984872792006641</v>
      </c>
      <c r="E1247" s="5">
        <v>8.288006416554742</v>
      </c>
      <c r="F1247" s="5">
        <v>1.0239437026472231E-2</v>
      </c>
      <c r="G1247" s="5">
        <v>7.472706506234772E-3</v>
      </c>
    </row>
    <row r="1248" spans="1:7" x14ac:dyDescent="0.25">
      <c r="A1248" s="12">
        <v>45943</v>
      </c>
      <c r="B1248" s="13">
        <v>4110.2700000000004</v>
      </c>
      <c r="C1248" s="13">
        <v>4108.6000000000004</v>
      </c>
      <c r="D1248" s="5">
        <v>8.3212439987632187</v>
      </c>
      <c r="E1248" s="5">
        <v>8.3208376168584106</v>
      </c>
      <c r="F1248" s="5">
        <v>2.275671956255465E-2</v>
      </c>
      <c r="G1248" s="5">
        <v>3.2831200303668595E-2</v>
      </c>
    </row>
    <row r="1249" spans="1:7" x14ac:dyDescent="0.25">
      <c r="A1249" s="12">
        <v>45944</v>
      </c>
      <c r="B1249" s="13">
        <v>4142.9399999999996</v>
      </c>
      <c r="C1249" s="13">
        <v>4138.7</v>
      </c>
      <c r="D1249" s="5">
        <v>8.3291609597133007</v>
      </c>
      <c r="E1249" s="5">
        <v>8.3281370078461681</v>
      </c>
      <c r="F1249" s="5">
        <v>7.916960950081986E-3</v>
      </c>
      <c r="G1249" s="5">
        <v>7.2993909877574481E-3</v>
      </c>
    </row>
    <row r="1250" spans="1:7" x14ac:dyDescent="0.25">
      <c r="A1250" s="12">
        <v>45945</v>
      </c>
      <c r="B1250" s="13">
        <v>4207.4799999999996</v>
      </c>
      <c r="C1250" s="13">
        <v>4176.8999999999996</v>
      </c>
      <c r="D1250" s="5">
        <v>8.3446191726371453</v>
      </c>
      <c r="E1250" s="5">
        <v>8.3373246235833491</v>
      </c>
      <c r="F1250" s="5">
        <v>1.5458212923844528E-2</v>
      </c>
      <c r="G1250" s="5">
        <v>9.1876157371810763E-3</v>
      </c>
    </row>
    <row r="1251" spans="1:7" x14ac:dyDescent="0.25">
      <c r="A1251" s="12">
        <v>45946</v>
      </c>
      <c r="B1251" s="13">
        <v>4326.58</v>
      </c>
      <c r="C1251" s="13">
        <v>4280.2</v>
      </c>
      <c r="D1251" s="5">
        <v>8.3725326705727117</v>
      </c>
      <c r="E1251" s="5">
        <v>8.3617550164560406</v>
      </c>
      <c r="F1251" s="5">
        <v>2.7913497935566411E-2</v>
      </c>
      <c r="G1251" s="5">
        <v>2.4430392872691442E-2</v>
      </c>
    </row>
    <row r="1252" spans="1:7" x14ac:dyDescent="0.25">
      <c r="A1252" s="12">
        <v>45947</v>
      </c>
      <c r="B1252" s="13">
        <v>4251.82</v>
      </c>
      <c r="C1252" s="13">
        <v>4189.8999999999996</v>
      </c>
      <c r="D1252" s="5">
        <v>8.355102405546015</v>
      </c>
      <c r="E1252" s="5">
        <v>8.3404321462829287</v>
      </c>
      <c r="F1252" s="5">
        <v>-1.7430265026696645E-2</v>
      </c>
      <c r="G1252" s="5">
        <v>-2.1322870173111852E-2</v>
      </c>
    </row>
    <row r="1253" spans="1:7" x14ac:dyDescent="0.25">
      <c r="A1253" s="12">
        <v>45950</v>
      </c>
      <c r="B1253" s="13">
        <v>4356.3</v>
      </c>
      <c r="C1253" s="13">
        <v>4336.3999999999996</v>
      </c>
      <c r="D1253" s="5">
        <v>8.3793783522048013</v>
      </c>
      <c r="E1253" s="5">
        <v>8.3747997897871365</v>
      </c>
      <c r="F1253" s="5">
        <v>2.4275946658786296E-2</v>
      </c>
      <c r="G1253" s="5">
        <v>3.4367643504207734E-2</v>
      </c>
    </row>
    <row r="1254" spans="1:7" x14ac:dyDescent="0.25">
      <c r="A1254" s="12">
        <v>45951</v>
      </c>
      <c r="B1254" s="13">
        <v>4125.22</v>
      </c>
      <c r="C1254" s="13">
        <v>4087.7</v>
      </c>
      <c r="D1254" s="5">
        <v>8.3248746306799433</v>
      </c>
      <c r="E1254" s="5">
        <v>8.3157377436721003</v>
      </c>
      <c r="F1254" s="5">
        <v>-5.4503721524858051E-2</v>
      </c>
      <c r="G1254" s="5">
        <v>-5.9062046115036182E-2</v>
      </c>
    </row>
    <row r="1255" spans="1:7" x14ac:dyDescent="0.25">
      <c r="A1255" s="12">
        <v>45952</v>
      </c>
      <c r="B1255" s="13">
        <v>4098.42</v>
      </c>
      <c r="C1255" s="13">
        <v>4044.4</v>
      </c>
      <c r="D1255" s="5">
        <v>8.3183568125662379</v>
      </c>
      <c r="E1255" s="5">
        <v>8.3050884872172439</v>
      </c>
      <c r="F1255" s="5">
        <v>-6.5178181137053315E-3</v>
      </c>
      <c r="G1255" s="5">
        <v>-1.0649256454856371E-2</v>
      </c>
    </row>
    <row r="1256" spans="1:7" x14ac:dyDescent="0.25">
      <c r="A1256" s="12">
        <v>45953</v>
      </c>
      <c r="B1256" s="13">
        <v>4126.28</v>
      </c>
      <c r="C1256" s="13">
        <v>4125.5</v>
      </c>
      <c r="D1256" s="5">
        <v>8.3251315536650559</v>
      </c>
      <c r="E1256" s="5">
        <v>8.3249425035443974</v>
      </c>
      <c r="F1256" s="5">
        <v>6.7747410988179269E-3</v>
      </c>
      <c r="G1256" s="5">
        <v>1.9854016327153445E-2</v>
      </c>
    </row>
    <row r="1257" spans="1:7" x14ac:dyDescent="0.25">
      <c r="A1257" s="12">
        <v>45954</v>
      </c>
      <c r="B1257" s="13">
        <v>4113.05</v>
      </c>
      <c r="C1257" s="13">
        <v>4118.3999999999996</v>
      </c>
      <c r="D1257" s="5">
        <v>8.3219201247332411</v>
      </c>
      <c r="E1257" s="5">
        <v>8.3232200174018072</v>
      </c>
      <c r="F1257" s="5">
        <v>-3.2114289318148082E-3</v>
      </c>
      <c r="G1257" s="5">
        <v>-1.722486142590185E-3</v>
      </c>
    </row>
    <row r="1258" spans="1:7" x14ac:dyDescent="0.25">
      <c r="A1258" s="12">
        <v>45957</v>
      </c>
      <c r="B1258" s="13">
        <v>3982.21</v>
      </c>
      <c r="C1258" s="13">
        <v>4001.9</v>
      </c>
      <c r="D1258" s="5">
        <v>8.2895922205515085</v>
      </c>
      <c r="E1258" s="5">
        <v>8.2945245273252386</v>
      </c>
      <c r="F1258" s="5">
        <v>-3.2327904181732592E-2</v>
      </c>
      <c r="G1258" s="5">
        <v>-2.8695490076568575E-2</v>
      </c>
    </row>
    <row r="1259" spans="1:7" x14ac:dyDescent="0.25">
      <c r="A1259" s="12">
        <v>45958</v>
      </c>
      <c r="B1259" s="13">
        <v>3952.14</v>
      </c>
      <c r="C1259" s="13">
        <v>3966.2</v>
      </c>
      <c r="D1259" s="5">
        <v>8.2820124833415196</v>
      </c>
      <c r="E1259" s="5">
        <v>8.2855637364517296</v>
      </c>
      <c r="F1259" s="5">
        <v>-7.5797372099888349E-3</v>
      </c>
      <c r="G1259" s="5">
        <v>-8.9607908735089836E-3</v>
      </c>
    </row>
    <row r="1260" spans="1:7" x14ac:dyDescent="0.25">
      <c r="A1260" s="12">
        <v>45959</v>
      </c>
      <c r="B1260" s="13">
        <v>3930.07</v>
      </c>
      <c r="C1260" s="13">
        <v>3983.7</v>
      </c>
      <c r="D1260" s="5">
        <v>8.2764125164095148</v>
      </c>
      <c r="E1260" s="5">
        <v>8.289966314664392</v>
      </c>
      <c r="F1260" s="5">
        <v>-5.5999669320048184E-3</v>
      </c>
      <c r="G1260" s="5">
        <v>4.4025782126624335E-3</v>
      </c>
    </row>
    <row r="1261" spans="1:7" x14ac:dyDescent="0.25">
      <c r="A1261" s="12">
        <v>45960</v>
      </c>
      <c r="B1261" s="13">
        <v>4024.54</v>
      </c>
      <c r="C1261" s="13">
        <v>4015.9</v>
      </c>
      <c r="D1261" s="5">
        <v>8.3001658976072683</v>
      </c>
      <c r="E1261" s="5">
        <v>8.2980167606631383</v>
      </c>
      <c r="F1261" s="5">
        <v>2.3753381197753498E-2</v>
      </c>
      <c r="G1261" s="5">
        <v>8.0504459987462695E-3</v>
      </c>
    </row>
    <row r="1262" spans="1:7" x14ac:dyDescent="0.25">
      <c r="A1262" s="12">
        <v>45961</v>
      </c>
      <c r="B1262" s="13">
        <v>4002.92</v>
      </c>
      <c r="C1262" s="13">
        <v>3996.5</v>
      </c>
      <c r="D1262" s="5">
        <v>8.2947793737816298</v>
      </c>
      <c r="E1262" s="5">
        <v>8.2931742570660738</v>
      </c>
      <c r="F1262" s="5">
        <v>-5.3865238256385339E-3</v>
      </c>
      <c r="G1262" s="5">
        <v>-4.8425035970645069E-3</v>
      </c>
    </row>
    <row r="1263" spans="1:7" x14ac:dyDescent="0.25">
      <c r="A1263" s="12">
        <v>45964</v>
      </c>
      <c r="B1263" s="13">
        <v>4001.42</v>
      </c>
      <c r="C1263" s="13">
        <v>4014</v>
      </c>
      <c r="D1263" s="5">
        <v>8.2944045771044372</v>
      </c>
      <c r="E1263" s="5">
        <v>8.2975435293562843</v>
      </c>
      <c r="F1263" s="5">
        <v>-3.7479667719253484E-4</v>
      </c>
      <c r="G1263" s="5">
        <v>4.3692722902104464E-3</v>
      </c>
    </row>
    <row r="1264" spans="1:7" x14ac:dyDescent="0.25">
      <c r="A1264" s="12">
        <v>45965</v>
      </c>
      <c r="B1264" s="13">
        <v>3932.09</v>
      </c>
      <c r="C1264" s="13">
        <v>3960.5</v>
      </c>
      <c r="D1264" s="5">
        <v>8.2769263701200604</v>
      </c>
      <c r="E1264" s="5">
        <v>8.2841255589043339</v>
      </c>
      <c r="F1264" s="5">
        <v>-1.7478206984376854E-2</v>
      </c>
      <c r="G1264" s="5">
        <v>-1.3417970451950367E-2</v>
      </c>
    </row>
    <row r="1265" spans="1:7" x14ac:dyDescent="0.25">
      <c r="A1265" s="12">
        <v>45966</v>
      </c>
      <c r="B1265" s="13">
        <v>3979.57</v>
      </c>
      <c r="C1265" s="13">
        <v>3992.9</v>
      </c>
      <c r="D1265" s="5">
        <v>8.2889290522407162</v>
      </c>
      <c r="E1265" s="5">
        <v>8.2922730629229235</v>
      </c>
      <c r="F1265" s="5">
        <v>1.2002682120655805E-2</v>
      </c>
      <c r="G1265" s="5">
        <v>8.1475040185896574E-3</v>
      </c>
    </row>
    <row r="1266" spans="1:7" x14ac:dyDescent="0.25">
      <c r="A1266" s="12">
        <v>45967</v>
      </c>
      <c r="B1266" s="13">
        <v>3977.21</v>
      </c>
      <c r="C1266" s="13">
        <v>3991</v>
      </c>
      <c r="D1266" s="5">
        <v>8.288335847434448</v>
      </c>
      <c r="E1266" s="5">
        <v>8.2917971050487331</v>
      </c>
      <c r="F1266" s="5">
        <v>-5.9320480626823269E-4</v>
      </c>
      <c r="G1266" s="5">
        <v>-4.7595787419041358E-4</v>
      </c>
    </row>
    <row r="1267" spans="1:7" x14ac:dyDescent="0.25">
      <c r="A1267" s="12">
        <v>45968</v>
      </c>
      <c r="B1267" s="13">
        <v>4001.26</v>
      </c>
      <c r="C1267" s="13">
        <v>4009.8</v>
      </c>
      <c r="D1267" s="5">
        <v>8.2943645904999439</v>
      </c>
      <c r="E1267" s="5">
        <v>8.2964966437450798</v>
      </c>
      <c r="F1267" s="5">
        <v>6.0287430654959451E-3</v>
      </c>
      <c r="G1267" s="5">
        <v>4.6995386963466501E-3</v>
      </c>
    </row>
    <row r="1268" spans="1:7" x14ac:dyDescent="0.25">
      <c r="A1268" s="12">
        <v>45971</v>
      </c>
      <c r="B1268" s="13">
        <v>4115.76</v>
      </c>
      <c r="C1268" s="13">
        <v>4122</v>
      </c>
      <c r="D1268" s="5">
        <v>8.3225787862160008</v>
      </c>
      <c r="E1268" s="5">
        <v>8.3240937614504045</v>
      </c>
      <c r="F1268" s="5">
        <v>2.8214195716056878E-2</v>
      </c>
      <c r="G1268" s="5">
        <v>2.7597117705324692E-2</v>
      </c>
    </row>
    <row r="1269" spans="1:7" x14ac:dyDescent="0.25">
      <c r="A1269" s="12">
        <v>45972</v>
      </c>
      <c r="B1269" s="13">
        <v>4126.8500000000004</v>
      </c>
      <c r="C1269" s="13">
        <v>4116.3</v>
      </c>
      <c r="D1269" s="5">
        <v>8.3252696830779964</v>
      </c>
      <c r="E1269" s="5">
        <v>8.3227099805952385</v>
      </c>
      <c r="F1269" s="5">
        <v>2.6908968619956397E-3</v>
      </c>
      <c r="G1269" s="5">
        <v>-1.3837808551659947E-3</v>
      </c>
    </row>
    <row r="1270" spans="1:7" x14ac:dyDescent="0.25">
      <c r="A1270" s="12">
        <v>45973</v>
      </c>
      <c r="B1270" s="13">
        <v>4195.3900000000003</v>
      </c>
      <c r="C1270" s="13">
        <v>4213.6000000000004</v>
      </c>
      <c r="D1270" s="5">
        <v>8.3417415823988978</v>
      </c>
      <c r="E1270" s="5">
        <v>8.3460726681691799</v>
      </c>
      <c r="F1270" s="5">
        <v>1.6471899320901429E-2</v>
      </c>
      <c r="G1270" s="5">
        <v>2.3362687573941443E-2</v>
      </c>
    </row>
    <row r="1271" spans="1:7" x14ac:dyDescent="0.25">
      <c r="A1271" s="12">
        <v>45974</v>
      </c>
      <c r="B1271" s="13">
        <v>4171.5200000000004</v>
      </c>
      <c r="C1271" s="13">
        <v>4194.5</v>
      </c>
      <c r="D1271" s="5">
        <v>8.3360357567690873</v>
      </c>
      <c r="E1271" s="5">
        <v>8.3415294222863494</v>
      </c>
      <c r="F1271" s="5">
        <v>-5.7058256298105903E-3</v>
      </c>
      <c r="G1271" s="5">
        <v>-4.5432458828305045E-3</v>
      </c>
    </row>
    <row r="1272" spans="1:7" x14ac:dyDescent="0.25">
      <c r="A1272" s="12">
        <v>45975</v>
      </c>
      <c r="B1272" s="13">
        <v>4084.06</v>
      </c>
      <c r="C1272" s="13">
        <v>4094.2</v>
      </c>
      <c r="D1272" s="5">
        <v>8.3148468706555789</v>
      </c>
      <c r="E1272" s="5">
        <v>8.3173266170065201</v>
      </c>
      <c r="F1272" s="5">
        <v>-2.1188886113508332E-2</v>
      </c>
      <c r="G1272" s="5">
        <v>-2.420280527982932E-2</v>
      </c>
    </row>
    <row r="1273" spans="1:7" x14ac:dyDescent="0.25">
      <c r="A1273" s="12">
        <v>45978</v>
      </c>
      <c r="B1273" s="13">
        <v>4044.96</v>
      </c>
      <c r="C1273" s="13">
        <v>4074.5</v>
      </c>
      <c r="D1273" s="5">
        <v>8.3052269406921528</v>
      </c>
      <c r="E1273" s="5">
        <v>8.3125033187602746</v>
      </c>
      <c r="F1273" s="5">
        <v>-9.6199299634260882E-3</v>
      </c>
      <c r="G1273" s="5">
        <v>-4.8232982462454999E-3</v>
      </c>
    </row>
    <row r="1274" spans="1:7" x14ac:dyDescent="0.25">
      <c r="A1274" s="12">
        <v>45979</v>
      </c>
      <c r="B1274" s="13">
        <v>4067.24</v>
      </c>
      <c r="C1274" s="13">
        <v>4066.5</v>
      </c>
      <c r="D1274" s="5">
        <v>8.3107199157225402</v>
      </c>
      <c r="E1274" s="5">
        <v>8.3105379576068295</v>
      </c>
      <c r="F1274" s="5">
        <v>5.4929750303873703E-3</v>
      </c>
      <c r="G1274" s="5">
        <v>-1.9653611534451443E-3</v>
      </c>
    </row>
    <row r="1275" spans="1:7" x14ac:dyDescent="0.25">
      <c r="A1275" s="12">
        <v>45980</v>
      </c>
      <c r="B1275" s="13">
        <v>4077.98</v>
      </c>
      <c r="C1275" s="13">
        <v>4082.8</v>
      </c>
      <c r="D1275" s="5">
        <v>8.3133570467574884</v>
      </c>
      <c r="E1275" s="5">
        <v>8.314538306529343</v>
      </c>
      <c r="F1275" s="5">
        <v>2.6371310349482258E-3</v>
      </c>
      <c r="G1275" s="5">
        <v>4.0003489225135525E-3</v>
      </c>
    </row>
    <row r="1276" spans="1:7" x14ac:dyDescent="0.25">
      <c r="A1276" s="12">
        <v>45981</v>
      </c>
      <c r="B1276" s="13">
        <v>4077.19</v>
      </c>
      <c r="C1276" s="13">
        <v>4060</v>
      </c>
      <c r="D1276" s="5">
        <v>8.3131633046276576</v>
      </c>
      <c r="E1276" s="5">
        <v>8.3089382525957785</v>
      </c>
      <c r="F1276" s="5">
        <v>-1.9374212983080952E-4</v>
      </c>
      <c r="G1276" s="5">
        <v>-5.6000539335645527E-3</v>
      </c>
    </row>
    <row r="1277" spans="1:7" x14ac:dyDescent="0.25">
      <c r="A1277" s="12">
        <v>45982</v>
      </c>
      <c r="B1277" s="13">
        <v>4065.14</v>
      </c>
      <c r="C1277" s="13">
        <v>4079.5</v>
      </c>
      <c r="D1277" s="5">
        <v>8.3102034617332592</v>
      </c>
      <c r="E1277" s="5">
        <v>8.3137297108688557</v>
      </c>
      <c r="F1277" s="5">
        <v>-2.9598428943984345E-3</v>
      </c>
      <c r="G1277" s="5">
        <v>4.7914582730772537E-3</v>
      </c>
    </row>
    <row r="1278" spans="1:7" x14ac:dyDescent="0.25">
      <c r="A1278" s="12">
        <v>45985</v>
      </c>
      <c r="B1278" s="13">
        <v>4136.3100000000004</v>
      </c>
      <c r="C1278" s="13">
        <v>4094.2</v>
      </c>
      <c r="D1278" s="5">
        <v>8.3275593650236317</v>
      </c>
      <c r="E1278" s="5">
        <v>8.3173266170065201</v>
      </c>
      <c r="F1278" s="5">
        <v>1.735590329037251E-2</v>
      </c>
      <c r="G1278" s="5">
        <v>3.5969061376643907E-3</v>
      </c>
    </row>
    <row r="1279" spans="1:7" x14ac:dyDescent="0.25">
      <c r="A1279" s="12">
        <v>45986</v>
      </c>
      <c r="B1279" s="13">
        <v>4130.6899999999996</v>
      </c>
      <c r="C1279" s="13">
        <v>4140</v>
      </c>
      <c r="D1279" s="5">
        <v>8.3261997422183214</v>
      </c>
      <c r="E1279" s="5">
        <v>8.3284510668193601</v>
      </c>
      <c r="F1279" s="5">
        <v>-1.3596228053103232E-3</v>
      </c>
      <c r="G1279" s="5">
        <v>1.1124449812839998E-2</v>
      </c>
    </row>
    <row r="1280" spans="1:7" x14ac:dyDescent="0.25">
      <c r="A1280" s="12">
        <v>45987</v>
      </c>
      <c r="B1280" s="13">
        <v>4162.1499999999996</v>
      </c>
      <c r="C1280" s="13">
        <v>4165.2</v>
      </c>
      <c r="D1280" s="5">
        <v>8.3337870466693502</v>
      </c>
      <c r="E1280" s="5">
        <v>8.3345195726557417</v>
      </c>
      <c r="F1280" s="5">
        <v>7.5873044510288423E-3</v>
      </c>
      <c r="G1280" s="5">
        <v>6.0685058363816324E-3</v>
      </c>
    </row>
    <row r="1281" spans="1:7" x14ac:dyDescent="0.25">
      <c r="A1281" s="12">
        <v>45988</v>
      </c>
      <c r="B1281" s="13">
        <v>4157.6099999999997</v>
      </c>
      <c r="C1281" s="13">
        <v>4165.2</v>
      </c>
      <c r="D1281" s="5">
        <v>8.3326956689251279</v>
      </c>
      <c r="E1281" s="5">
        <v>8.3345195726557417</v>
      </c>
      <c r="F1281" s="5">
        <v>-1.0913777442222994E-3</v>
      </c>
      <c r="G1281" s="5">
        <v>0</v>
      </c>
    </row>
    <row r="1282" spans="1:7" x14ac:dyDescent="0.25">
      <c r="A1282" s="12">
        <v>45989</v>
      </c>
      <c r="B1282" s="13">
        <v>4239.43</v>
      </c>
      <c r="C1282" s="13">
        <v>4218.3</v>
      </c>
      <c r="D1282" s="5">
        <v>8.3521841052266836</v>
      </c>
      <c r="E1282" s="5">
        <v>8.3471874822648804</v>
      </c>
      <c r="F1282" s="5">
        <v>1.9488436301555723E-2</v>
      </c>
      <c r="G1282" s="5">
        <v>1.2667909609138661E-2</v>
      </c>
    </row>
    <row r="1283" spans="1:7" x14ac:dyDescent="0.25">
      <c r="A1283" s="12">
        <v>45992</v>
      </c>
      <c r="B1283" s="13">
        <v>4232.21</v>
      </c>
      <c r="C1283" s="13">
        <v>4239.3</v>
      </c>
      <c r="D1283" s="5">
        <v>8.3504795942351748</v>
      </c>
      <c r="E1283" s="5">
        <v>8.3521534402568101</v>
      </c>
      <c r="F1283" s="5">
        <v>-1.7045109915088119E-3</v>
      </c>
      <c r="G1283" s="5">
        <v>4.9659579919296704E-3</v>
      </c>
    </row>
    <row r="1284" spans="1:7" x14ac:dyDescent="0.25">
      <c r="A1284" s="12">
        <v>45993</v>
      </c>
      <c r="B1284" s="13">
        <v>4205.8500000000004</v>
      </c>
      <c r="C1284" s="13">
        <v>4186.6000000000004</v>
      </c>
      <c r="D1284" s="5">
        <v>8.344231692288604</v>
      </c>
      <c r="E1284" s="5">
        <v>8.3396442276604201</v>
      </c>
      <c r="F1284" s="5">
        <v>-6.2479019465708774E-3</v>
      </c>
      <c r="G1284" s="5">
        <v>-1.2509212596389929E-2</v>
      </c>
    </row>
    <row r="1285" spans="1:7" x14ac:dyDescent="0.25">
      <c r="A1285" s="12">
        <v>45994</v>
      </c>
      <c r="B1285" s="13">
        <v>4203.08</v>
      </c>
      <c r="C1285" s="13">
        <v>4199.3</v>
      </c>
      <c r="D1285" s="5">
        <v>8.3435728688472892</v>
      </c>
      <c r="E1285" s="5">
        <v>8.342673123714361</v>
      </c>
      <c r="F1285" s="5">
        <v>-6.5882344131473758E-4</v>
      </c>
      <c r="G1285" s="5">
        <v>3.0288960539408549E-3</v>
      </c>
    </row>
    <row r="1286" spans="1:7" x14ac:dyDescent="0.25">
      <c r="A1286" s="12">
        <v>45995</v>
      </c>
      <c r="B1286" s="13">
        <v>4207.62</v>
      </c>
      <c r="C1286" s="13">
        <v>4211.8</v>
      </c>
      <c r="D1286" s="5">
        <v>8.3446524461573688</v>
      </c>
      <c r="E1286" s="5">
        <v>8.3456453887456785</v>
      </c>
      <c r="F1286" s="5">
        <v>1.0795773100795714E-3</v>
      </c>
      <c r="G1286" s="5">
        <v>2.9722650313175336E-3</v>
      </c>
    </row>
    <row r="1287" spans="1:7" x14ac:dyDescent="0.25">
      <c r="A1287" s="12">
        <v>45996</v>
      </c>
      <c r="B1287" s="13">
        <v>4197.78</v>
      </c>
      <c r="C1287" s="13">
        <v>4212.8999999999996</v>
      </c>
      <c r="D1287" s="5">
        <v>8.3423110930997648</v>
      </c>
      <c r="E1287" s="5">
        <v>8.3459065256422438</v>
      </c>
      <c r="F1287" s="5">
        <v>-2.3413530576039676E-3</v>
      </c>
      <c r="G1287" s="5">
        <v>2.6113689656526162E-4</v>
      </c>
    </row>
    <row r="1288" spans="1:7" x14ac:dyDescent="0.25">
      <c r="A1288" s="12">
        <v>45999</v>
      </c>
      <c r="B1288" s="13">
        <v>4190.66</v>
      </c>
      <c r="C1288" s="13">
        <v>4187.2</v>
      </c>
      <c r="D1288" s="5">
        <v>8.3406135184113026</v>
      </c>
      <c r="E1288" s="5">
        <v>8.3397875317758814</v>
      </c>
      <c r="F1288" s="5">
        <v>-1.6975746884622112E-3</v>
      </c>
      <c r="G1288" s="5">
        <v>-6.1189938663623877E-3</v>
      </c>
    </row>
    <row r="1289" spans="1:7" x14ac:dyDescent="0.25">
      <c r="A1289" s="12">
        <v>46000</v>
      </c>
      <c r="B1289" s="13">
        <v>4208.24</v>
      </c>
      <c r="C1289" s="13">
        <v>4206.7</v>
      </c>
      <c r="D1289" s="5">
        <v>8.3447997870116879</v>
      </c>
      <c r="E1289" s="5">
        <v>8.3444337713259689</v>
      </c>
      <c r="F1289" s="5">
        <v>4.18626860038529E-3</v>
      </c>
      <c r="G1289" s="5">
        <v>4.646239550087472E-3</v>
      </c>
    </row>
    <row r="1290" spans="1:7" x14ac:dyDescent="0.25">
      <c r="A1290" s="12">
        <v>46001</v>
      </c>
      <c r="B1290" s="13">
        <v>4228.84</v>
      </c>
      <c r="C1290" s="13">
        <v>4196.3999999999996</v>
      </c>
      <c r="D1290" s="5">
        <v>8.349683002753455</v>
      </c>
      <c r="E1290" s="5">
        <v>8.3419822938573311</v>
      </c>
      <c r="F1290" s="5">
        <v>4.8832157417670885E-3</v>
      </c>
      <c r="G1290" s="5">
        <v>-2.4514774686377194E-3</v>
      </c>
    </row>
    <row r="1291" spans="1:7" x14ac:dyDescent="0.25">
      <c r="A1291" s="12">
        <v>46002</v>
      </c>
      <c r="B1291" s="13">
        <v>4280.18</v>
      </c>
      <c r="C1291" s="13">
        <v>4285.5</v>
      </c>
      <c r="D1291" s="5">
        <v>8.3617503437662766</v>
      </c>
      <c r="E1291" s="5">
        <v>8.3629925103389375</v>
      </c>
      <c r="F1291" s="5">
        <v>1.2067341012821586E-2</v>
      </c>
      <c r="G1291" s="5">
        <v>2.1010216481606392E-2</v>
      </c>
    </row>
    <row r="1292" spans="1:7" x14ac:dyDescent="0.25">
      <c r="A1292" s="12">
        <v>46003</v>
      </c>
      <c r="B1292" s="13">
        <v>4299.63</v>
      </c>
      <c r="C1292" s="13">
        <v>4300.1000000000004</v>
      </c>
      <c r="D1292" s="5">
        <v>8.3662842514678122</v>
      </c>
      <c r="E1292" s="5">
        <v>8.3663935572251944</v>
      </c>
      <c r="F1292" s="5">
        <v>4.5339077015356111E-3</v>
      </c>
      <c r="G1292" s="5">
        <v>3.4010468862568644E-3</v>
      </c>
    </row>
    <row r="1293" spans="1:7" x14ac:dyDescent="0.25">
      <c r="A1293" s="12">
        <v>46006</v>
      </c>
      <c r="B1293" s="13">
        <v>4305.01</v>
      </c>
      <c r="C1293" s="13">
        <v>4306.7</v>
      </c>
      <c r="D1293" s="5">
        <v>8.3675347397395043</v>
      </c>
      <c r="E1293" s="5">
        <v>8.36792722857661</v>
      </c>
      <c r="F1293" s="5">
        <v>1.2504882716921628E-3</v>
      </c>
      <c r="G1293" s="5">
        <v>1.5336713514155775E-3</v>
      </c>
    </row>
    <row r="1294" spans="1:7" x14ac:dyDescent="0.25">
      <c r="A1294" s="12">
        <v>46007</v>
      </c>
      <c r="B1294" s="13">
        <v>4302.32</v>
      </c>
      <c r="C1294" s="13">
        <v>4304.5</v>
      </c>
      <c r="D1294" s="5">
        <v>8.366909691068761</v>
      </c>
      <c r="E1294" s="5">
        <v>8.3674162660980098</v>
      </c>
      <c r="F1294" s="5">
        <v>-6.2504867074331116E-4</v>
      </c>
      <c r="G1294" s="5">
        <v>-5.1096247860016319E-4</v>
      </c>
    </row>
    <row r="1295" spans="1:7" x14ac:dyDescent="0.25">
      <c r="A1295" s="12">
        <v>46008</v>
      </c>
      <c r="B1295" s="13">
        <v>4338.33</v>
      </c>
      <c r="C1295" s="13">
        <v>4347.5</v>
      </c>
      <c r="D1295" s="5">
        <v>8.3752447604160434</v>
      </c>
      <c r="E1295" s="5">
        <v>8.3773562462284374</v>
      </c>
      <c r="F1295" s="5">
        <v>8.3350693472823423E-3</v>
      </c>
      <c r="G1295" s="5">
        <v>9.9399801304276281E-3</v>
      </c>
    </row>
    <row r="1296" spans="1:7" x14ac:dyDescent="0.25">
      <c r="A1296" s="12">
        <v>46009</v>
      </c>
      <c r="B1296" s="13">
        <v>4332.62</v>
      </c>
      <c r="C1296" s="13">
        <v>4339.5</v>
      </c>
      <c r="D1296" s="5">
        <v>8.3739277188403491</v>
      </c>
      <c r="E1296" s="5">
        <v>8.3755144130843</v>
      </c>
      <c r="F1296" s="5">
        <v>-1.3170415756942333E-3</v>
      </c>
      <c r="G1296" s="5">
        <v>-1.8418331441374391E-3</v>
      </c>
    </row>
    <row r="1297" spans="1:7" x14ac:dyDescent="0.25">
      <c r="A1297" s="12">
        <v>46010</v>
      </c>
      <c r="B1297" s="13">
        <v>4338.88</v>
      </c>
      <c r="C1297" s="13">
        <v>4361.3999999999996</v>
      </c>
      <c r="D1297" s="5">
        <v>8.375371529273945</v>
      </c>
      <c r="E1297" s="5">
        <v>8.3805483857186438</v>
      </c>
      <c r="F1297" s="5">
        <v>1.4438104335958712E-3</v>
      </c>
      <c r="G1297" s="5">
        <v>5.0339726343437974E-3</v>
      </c>
    </row>
    <row r="1298" spans="1:7" x14ac:dyDescent="0.25">
      <c r="A1298" s="12">
        <v>46013</v>
      </c>
      <c r="B1298" s="13">
        <v>4443.6000000000004</v>
      </c>
      <c r="C1298" s="13">
        <v>4444.6000000000004</v>
      </c>
      <c r="D1298" s="5">
        <v>8.3992201377075677</v>
      </c>
      <c r="E1298" s="5">
        <v>8.3994451551473688</v>
      </c>
      <c r="F1298" s="5">
        <v>2.3848608433622687E-2</v>
      </c>
      <c r="G1298" s="5">
        <v>1.889676942872498E-2</v>
      </c>
    </row>
    <row r="1299" spans="1:7" x14ac:dyDescent="0.25">
      <c r="A1299" s="12">
        <v>46014</v>
      </c>
      <c r="B1299" s="13">
        <v>4484.47</v>
      </c>
      <c r="C1299" s="13">
        <v>4482.8</v>
      </c>
      <c r="D1299" s="5">
        <v>8.4083755958266835</v>
      </c>
      <c r="E1299" s="5">
        <v>8.4080031301778728</v>
      </c>
      <c r="F1299" s="5">
        <v>9.155458119115778E-3</v>
      </c>
      <c r="G1299" s="5">
        <v>8.5579750305040392E-3</v>
      </c>
    </row>
    <row r="1300" spans="1:7" x14ac:dyDescent="0.25">
      <c r="A1300" s="12">
        <v>46015</v>
      </c>
      <c r="B1300" s="13">
        <v>4479.42</v>
      </c>
      <c r="C1300" s="13">
        <v>4480.6000000000004</v>
      </c>
      <c r="D1300" s="5">
        <v>8.407248852742093</v>
      </c>
      <c r="E1300" s="5">
        <v>8.4075122450128283</v>
      </c>
      <c r="F1300" s="5">
        <v>-1.1267430845904869E-3</v>
      </c>
      <c r="G1300" s="5">
        <v>-4.9088516504447455E-4</v>
      </c>
    </row>
    <row r="1301" spans="1:7" x14ac:dyDescent="0.25">
      <c r="A1301" s="12">
        <v>46016</v>
      </c>
      <c r="B1301" s="13">
        <v>4479.42</v>
      </c>
      <c r="C1301" s="13">
        <v>4480.6000000000004</v>
      </c>
      <c r="D1301" s="5">
        <v>8.407248852742093</v>
      </c>
      <c r="E1301" s="5">
        <v>8.4075122450128283</v>
      </c>
      <c r="F1301" s="5">
        <v>0</v>
      </c>
      <c r="G1301" s="5">
        <v>0</v>
      </c>
    </row>
    <row r="1302" spans="1:7" x14ac:dyDescent="0.25">
      <c r="A1302" s="12">
        <v>46017</v>
      </c>
      <c r="B1302" s="13">
        <v>4533.21</v>
      </c>
      <c r="C1302" s="13">
        <v>4529.1000000000004</v>
      </c>
      <c r="D1302" s="5">
        <v>8.4191855768035939</v>
      </c>
      <c r="E1302" s="5">
        <v>8.4182785232418009</v>
      </c>
      <c r="F1302" s="5">
        <v>1.1936724061500925E-2</v>
      </c>
      <c r="G1302" s="5">
        <v>1.0766278228972581E-2</v>
      </c>
    </row>
    <row r="1303" spans="1:7" x14ac:dyDescent="0.25">
      <c r="A1303" s="12">
        <v>46020</v>
      </c>
      <c r="B1303" s="13">
        <v>4332.3500000000004</v>
      </c>
      <c r="C1303" s="13">
        <v>4325.1000000000004</v>
      </c>
      <c r="D1303" s="5">
        <v>8.3738653989477037</v>
      </c>
      <c r="E1303" s="5">
        <v>8.3721905404859687</v>
      </c>
      <c r="F1303" s="5">
        <v>-4.5320177855890265E-2</v>
      </c>
      <c r="G1303" s="5">
        <v>-4.6087982755832257E-2</v>
      </c>
    </row>
    <row r="1304" spans="1:7" x14ac:dyDescent="0.25">
      <c r="A1304" s="12">
        <v>46021</v>
      </c>
      <c r="B1304" s="13">
        <v>4339.49</v>
      </c>
      <c r="C1304" s="13">
        <v>4386.3</v>
      </c>
      <c r="D1304" s="5">
        <v>8.3755121086686941</v>
      </c>
      <c r="E1304" s="5">
        <v>8.3862413260915023</v>
      </c>
      <c r="F1304" s="5">
        <v>1.646709720990458E-3</v>
      </c>
      <c r="G1304" s="5">
        <v>1.4050785605533633E-2</v>
      </c>
    </row>
    <row r="1305" spans="1:7" x14ac:dyDescent="0.25">
      <c r="A1305" s="12">
        <v>46022</v>
      </c>
      <c r="B1305" s="13">
        <v>4319.37</v>
      </c>
      <c r="C1305" s="13">
        <v>4341.1000000000004</v>
      </c>
      <c r="D1305" s="5">
        <v>8.3708648372701084</v>
      </c>
      <c r="E1305" s="5">
        <v>8.3758830512010469</v>
      </c>
      <c r="F1305" s="5">
        <v>-4.6472713985856728E-3</v>
      </c>
      <c r="G1305" s="5">
        <v>-1.0358274890455377E-2</v>
      </c>
    </row>
    <row r="1306" spans="1:7" x14ac:dyDescent="0.25">
      <c r="A1306" s="14"/>
      <c r="B1306" s="15"/>
      <c r="C1306" s="15"/>
    </row>
    <row r="1307" spans="1:7" x14ac:dyDescent="0.25">
      <c r="A1307"/>
      <c r="B1307"/>
    </row>
    <row r="1308" spans="1:7" x14ac:dyDescent="0.25">
      <c r="A1308" s="16"/>
      <c r="C1308" s="11"/>
    </row>
    <row r="1309" spans="1:7" x14ac:dyDescent="0.25">
      <c r="A1309" s="16"/>
      <c r="C1309" s="11"/>
    </row>
    <row r="1310" spans="1:7" x14ac:dyDescent="0.25">
      <c r="A1310" s="16"/>
      <c r="C1310" s="11"/>
    </row>
    <row r="1311" spans="1:7" x14ac:dyDescent="0.25">
      <c r="A1311" s="16"/>
      <c r="C1311" s="11"/>
    </row>
    <row r="1312" spans="1:7" x14ac:dyDescent="0.25">
      <c r="A1312" s="16"/>
      <c r="C1312" s="11"/>
    </row>
    <row r="1313" spans="1:3" x14ac:dyDescent="0.25">
      <c r="A1313" s="16"/>
      <c r="C1313" s="11"/>
    </row>
    <row r="1314" spans="1:3" x14ac:dyDescent="0.25">
      <c r="A1314" s="16"/>
      <c r="C1314" s="11"/>
    </row>
    <row r="1315" spans="1:3" x14ac:dyDescent="0.25">
      <c r="A1315" s="16"/>
      <c r="C1315" s="11"/>
    </row>
    <row r="1316" spans="1:3" x14ac:dyDescent="0.25">
      <c r="A1316" s="16"/>
      <c r="C1316" s="11"/>
    </row>
    <row r="1317" spans="1:3" x14ac:dyDescent="0.25">
      <c r="A1317" s="16"/>
      <c r="C1317" s="11"/>
    </row>
    <row r="1318" spans="1:3" x14ac:dyDescent="0.25">
      <c r="A1318" s="16"/>
      <c r="C1318" s="11"/>
    </row>
    <row r="1319" spans="1:3" x14ac:dyDescent="0.25">
      <c r="A1319" s="16"/>
      <c r="C1319" s="11"/>
    </row>
    <row r="1320" spans="1:3" x14ac:dyDescent="0.25">
      <c r="A1320" s="16"/>
      <c r="C1320" s="11"/>
    </row>
    <row r="1321" spans="1:3" x14ac:dyDescent="0.25">
      <c r="A1321" s="16"/>
      <c r="C1321" s="11"/>
    </row>
    <row r="1322" spans="1:3" x14ac:dyDescent="0.25">
      <c r="A1322" s="16"/>
      <c r="C1322" s="11"/>
    </row>
    <row r="1323" spans="1:3" x14ac:dyDescent="0.25">
      <c r="A1323" s="16"/>
      <c r="C1323" s="11"/>
    </row>
    <row r="1324" spans="1:3" x14ac:dyDescent="0.25">
      <c r="A1324" s="16"/>
      <c r="C1324" s="11"/>
    </row>
    <row r="1325" spans="1:3" x14ac:dyDescent="0.25">
      <c r="A1325" s="16"/>
      <c r="C1325" s="11"/>
    </row>
    <row r="1326" spans="1:3" x14ac:dyDescent="0.25">
      <c r="A1326" s="16"/>
      <c r="C1326" s="11"/>
    </row>
    <row r="1327" spans="1:3" x14ac:dyDescent="0.25">
      <c r="A1327" s="16"/>
      <c r="C1327" s="11"/>
    </row>
    <row r="1328" spans="1:3" x14ac:dyDescent="0.25">
      <c r="A1328" s="16"/>
      <c r="C1328" s="11"/>
    </row>
    <row r="1329" spans="1:3" x14ac:dyDescent="0.25">
      <c r="A1329" s="16"/>
      <c r="C1329" s="11"/>
    </row>
    <row r="1330" spans="1:3" x14ac:dyDescent="0.25">
      <c r="A1330" s="16"/>
      <c r="C1330" s="11"/>
    </row>
    <row r="1331" spans="1:3" x14ac:dyDescent="0.25">
      <c r="A1331" s="16"/>
      <c r="C1331" s="11"/>
    </row>
    <row r="1332" spans="1:3" x14ac:dyDescent="0.25">
      <c r="A1332" s="16"/>
      <c r="C1332" s="11"/>
    </row>
    <row r="1333" spans="1:3" x14ac:dyDescent="0.25">
      <c r="A1333" s="16"/>
      <c r="C1333" s="11"/>
    </row>
    <row r="1334" spans="1:3" x14ac:dyDescent="0.25">
      <c r="A1334" s="16"/>
      <c r="C1334" s="11"/>
    </row>
    <row r="1335" spans="1:3" x14ac:dyDescent="0.25">
      <c r="A1335" s="16"/>
      <c r="C1335" s="11"/>
    </row>
    <row r="1336" spans="1:3" x14ac:dyDescent="0.25">
      <c r="A1336" s="16"/>
      <c r="C1336" s="11"/>
    </row>
    <row r="1337" spans="1:3" x14ac:dyDescent="0.25">
      <c r="A1337" s="16"/>
      <c r="C1337" s="11"/>
    </row>
    <row r="1338" spans="1:3" x14ac:dyDescent="0.25">
      <c r="A1338" s="16"/>
      <c r="C1338" s="11"/>
    </row>
    <row r="1339" spans="1:3" x14ac:dyDescent="0.25">
      <c r="A1339" s="16"/>
      <c r="C1339" s="11"/>
    </row>
    <row r="1340" spans="1:3" x14ac:dyDescent="0.25">
      <c r="A1340" s="16"/>
      <c r="C1340" s="11"/>
    </row>
    <row r="1341" spans="1:3" x14ac:dyDescent="0.25">
      <c r="A1341" s="16"/>
      <c r="C1341" s="11"/>
    </row>
    <row r="1342" spans="1:3" x14ac:dyDescent="0.25">
      <c r="A1342" s="16"/>
      <c r="C1342" s="11"/>
    </row>
    <row r="1343" spans="1:3" x14ac:dyDescent="0.25">
      <c r="A1343" s="16"/>
      <c r="C1343" s="11"/>
    </row>
    <row r="1344" spans="1:3" x14ac:dyDescent="0.25">
      <c r="A1344" s="16"/>
      <c r="C1344" s="11"/>
    </row>
    <row r="1345" spans="1:3" x14ac:dyDescent="0.25">
      <c r="A1345" s="16"/>
      <c r="C1345" s="11"/>
    </row>
    <row r="1346" spans="1:3" x14ac:dyDescent="0.25">
      <c r="A1346" s="16"/>
      <c r="C1346" s="11"/>
    </row>
    <row r="1347" spans="1:3" x14ac:dyDescent="0.25">
      <c r="A1347" s="16"/>
      <c r="C1347" s="11"/>
    </row>
    <row r="1348" spans="1:3" x14ac:dyDescent="0.25">
      <c r="A1348" s="16"/>
      <c r="C1348" s="11"/>
    </row>
    <row r="1349" spans="1:3" x14ac:dyDescent="0.25">
      <c r="A1349" s="16"/>
      <c r="C1349" s="11"/>
    </row>
    <row r="1350" spans="1:3" x14ac:dyDescent="0.25">
      <c r="A1350" s="16"/>
      <c r="C1350" s="11"/>
    </row>
    <row r="1351" spans="1:3" x14ac:dyDescent="0.25">
      <c r="A1351" s="16"/>
      <c r="C1351" s="11"/>
    </row>
    <row r="1352" spans="1:3" x14ac:dyDescent="0.25">
      <c r="A1352" s="16"/>
      <c r="C1352" s="11"/>
    </row>
    <row r="1353" spans="1:3" x14ac:dyDescent="0.25">
      <c r="A1353" s="16"/>
      <c r="C1353" s="11"/>
    </row>
    <row r="1354" spans="1:3" x14ac:dyDescent="0.25">
      <c r="A1354" s="16"/>
      <c r="C1354" s="11"/>
    </row>
    <row r="1355" spans="1:3" x14ac:dyDescent="0.25">
      <c r="A1355" s="16"/>
      <c r="C1355" s="11"/>
    </row>
    <row r="1356" spans="1:3" x14ac:dyDescent="0.25">
      <c r="A1356" s="16"/>
      <c r="C1356" s="11"/>
    </row>
    <row r="1357" spans="1:3" x14ac:dyDescent="0.25">
      <c r="A1357" s="16"/>
      <c r="C1357" s="11"/>
    </row>
    <row r="1358" spans="1:3" x14ac:dyDescent="0.25">
      <c r="A1358" s="16"/>
      <c r="C1358" s="11"/>
    </row>
    <row r="1359" spans="1:3" x14ac:dyDescent="0.25">
      <c r="A1359" s="16"/>
      <c r="C1359" s="11"/>
    </row>
    <row r="1360" spans="1:3" x14ac:dyDescent="0.25">
      <c r="A1360" s="16"/>
      <c r="C1360" s="11"/>
    </row>
    <row r="1361" spans="1:3" x14ac:dyDescent="0.25">
      <c r="A1361" s="16"/>
      <c r="C1361" s="11"/>
    </row>
    <row r="1362" spans="1:3" x14ac:dyDescent="0.25">
      <c r="A1362" s="16"/>
      <c r="C1362" s="11"/>
    </row>
    <row r="1363" spans="1:3" x14ac:dyDescent="0.25">
      <c r="A1363" s="16"/>
      <c r="C1363" s="11"/>
    </row>
    <row r="1364" spans="1:3" x14ac:dyDescent="0.25">
      <c r="A1364" s="16"/>
      <c r="C1364" s="11"/>
    </row>
    <row r="1365" spans="1:3" x14ac:dyDescent="0.25">
      <c r="A1365" s="16"/>
      <c r="C1365" s="11"/>
    </row>
    <row r="1366" spans="1:3" x14ac:dyDescent="0.25">
      <c r="A1366" s="16"/>
      <c r="C1366" s="11"/>
    </row>
    <row r="1367" spans="1:3" x14ac:dyDescent="0.25">
      <c r="A1367" s="16"/>
      <c r="C1367" s="11"/>
    </row>
    <row r="1368" spans="1:3" x14ac:dyDescent="0.25">
      <c r="A1368" s="16"/>
      <c r="C1368" s="11"/>
    </row>
    <row r="1369" spans="1:3" x14ac:dyDescent="0.25">
      <c r="A1369" s="16"/>
      <c r="C1369" s="11"/>
    </row>
    <row r="1370" spans="1:3" x14ac:dyDescent="0.25">
      <c r="A1370" s="16"/>
      <c r="C1370" s="11"/>
    </row>
    <row r="1371" spans="1:3" x14ac:dyDescent="0.25">
      <c r="A1371" s="16"/>
      <c r="C1371" s="11"/>
    </row>
    <row r="1372" spans="1:3" x14ac:dyDescent="0.25">
      <c r="A1372" s="16"/>
      <c r="C1372" s="11"/>
    </row>
    <row r="1373" spans="1:3" x14ac:dyDescent="0.25">
      <c r="A1373" s="16"/>
      <c r="C1373" s="11"/>
    </row>
    <row r="1374" spans="1:3" x14ac:dyDescent="0.25">
      <c r="A1374" s="16"/>
      <c r="C1374" s="11"/>
    </row>
    <row r="1375" spans="1:3" x14ac:dyDescent="0.25">
      <c r="A1375" s="16"/>
      <c r="C1375" s="11"/>
    </row>
    <row r="1376" spans="1:3" x14ac:dyDescent="0.25">
      <c r="A1376" s="16"/>
      <c r="C1376" s="11"/>
    </row>
    <row r="1377" spans="1:3" x14ac:dyDescent="0.25">
      <c r="A1377" s="16"/>
      <c r="C1377" s="11"/>
    </row>
    <row r="1378" spans="1:3" x14ac:dyDescent="0.25">
      <c r="A1378" s="16"/>
      <c r="C1378" s="11"/>
    </row>
    <row r="1379" spans="1:3" x14ac:dyDescent="0.25">
      <c r="A1379" s="16"/>
      <c r="C1379" s="11"/>
    </row>
    <row r="1380" spans="1:3" x14ac:dyDescent="0.25">
      <c r="A1380" s="16"/>
      <c r="C1380" s="11"/>
    </row>
    <row r="1381" spans="1:3" x14ac:dyDescent="0.25">
      <c r="A1381" s="16"/>
      <c r="C1381" s="11"/>
    </row>
    <row r="1382" spans="1:3" x14ac:dyDescent="0.25">
      <c r="A1382" s="16"/>
      <c r="C1382" s="11"/>
    </row>
    <row r="1383" spans="1:3" x14ac:dyDescent="0.25">
      <c r="A1383" s="16"/>
      <c r="C1383" s="11"/>
    </row>
    <row r="1384" spans="1:3" x14ac:dyDescent="0.25">
      <c r="A1384" s="16"/>
      <c r="C1384" s="11"/>
    </row>
    <row r="1385" spans="1:3" x14ac:dyDescent="0.25">
      <c r="A1385" s="16"/>
      <c r="C1385" s="11"/>
    </row>
    <row r="1386" spans="1:3" x14ac:dyDescent="0.25">
      <c r="A1386" s="16"/>
      <c r="C1386" s="11"/>
    </row>
    <row r="1387" spans="1:3" x14ac:dyDescent="0.25">
      <c r="A1387" s="16"/>
      <c r="C1387" s="11"/>
    </row>
    <row r="1388" spans="1:3" x14ac:dyDescent="0.25">
      <c r="A1388" s="16"/>
      <c r="C1388" s="11"/>
    </row>
    <row r="1389" spans="1:3" x14ac:dyDescent="0.25">
      <c r="A1389" s="16"/>
      <c r="C1389" s="11"/>
    </row>
    <row r="1390" spans="1:3" x14ac:dyDescent="0.25">
      <c r="A1390" s="16"/>
      <c r="C1390" s="11"/>
    </row>
    <row r="1391" spans="1:3" x14ac:dyDescent="0.25">
      <c r="A1391" s="16"/>
      <c r="C1391" s="11"/>
    </row>
    <row r="1392" spans="1:3" x14ac:dyDescent="0.25">
      <c r="A1392" s="16"/>
      <c r="C1392" s="11"/>
    </row>
    <row r="1393" spans="1:3" x14ac:dyDescent="0.25">
      <c r="A1393" s="16"/>
      <c r="C1393" s="11"/>
    </row>
    <row r="1394" spans="1:3" x14ac:dyDescent="0.25">
      <c r="A1394" s="16"/>
      <c r="C1394" s="11"/>
    </row>
    <row r="1395" spans="1:3" x14ac:dyDescent="0.25">
      <c r="A1395" s="16"/>
      <c r="C1395" s="11"/>
    </row>
    <row r="1396" spans="1:3" x14ac:dyDescent="0.25">
      <c r="A1396" s="16"/>
      <c r="C1396" s="11"/>
    </row>
    <row r="1397" spans="1:3" x14ac:dyDescent="0.25">
      <c r="A1397" s="16"/>
      <c r="C1397" s="11"/>
    </row>
    <row r="1398" spans="1:3" x14ac:dyDescent="0.25">
      <c r="A1398" s="16"/>
      <c r="C1398" s="11"/>
    </row>
    <row r="1399" spans="1:3" x14ac:dyDescent="0.25">
      <c r="A1399" s="16"/>
      <c r="C1399" s="11"/>
    </row>
    <row r="1400" spans="1:3" x14ac:dyDescent="0.25">
      <c r="A1400" s="16"/>
      <c r="C1400" s="11"/>
    </row>
    <row r="1401" spans="1:3" x14ac:dyDescent="0.25">
      <c r="A1401" s="16"/>
      <c r="C1401" s="11"/>
    </row>
    <row r="1402" spans="1:3" x14ac:dyDescent="0.25">
      <c r="A1402" s="16"/>
      <c r="C1402" s="11"/>
    </row>
    <row r="1403" spans="1:3" x14ac:dyDescent="0.25">
      <c r="A1403" s="16"/>
      <c r="C1403" s="11"/>
    </row>
    <row r="1404" spans="1:3" x14ac:dyDescent="0.25">
      <c r="A1404" s="16"/>
      <c r="C1404" s="11"/>
    </row>
    <row r="1405" spans="1:3" x14ac:dyDescent="0.25">
      <c r="A1405" s="16"/>
      <c r="C1405" s="11"/>
    </row>
    <row r="1406" spans="1:3" x14ac:dyDescent="0.25">
      <c r="A1406" s="16"/>
      <c r="C1406" s="11"/>
    </row>
    <row r="1407" spans="1:3" x14ac:dyDescent="0.25">
      <c r="A1407" s="16"/>
      <c r="C1407" s="11"/>
    </row>
    <row r="1408" spans="1:3" x14ac:dyDescent="0.25">
      <c r="A1408" s="16"/>
      <c r="C1408" s="11"/>
    </row>
    <row r="1409" spans="1:3" x14ac:dyDescent="0.25">
      <c r="A1409" s="16"/>
      <c r="C1409" s="11"/>
    </row>
    <row r="1410" spans="1:3" x14ac:dyDescent="0.25">
      <c r="A1410" s="16"/>
      <c r="C1410" s="11"/>
    </row>
    <row r="1411" spans="1:3" x14ac:dyDescent="0.25">
      <c r="A1411" s="16"/>
      <c r="C1411" s="11"/>
    </row>
    <row r="1412" spans="1:3" x14ac:dyDescent="0.25">
      <c r="A1412" s="16"/>
      <c r="C1412" s="11"/>
    </row>
    <row r="1413" spans="1:3" x14ac:dyDescent="0.25">
      <c r="A1413" s="16"/>
      <c r="C1413" s="11"/>
    </row>
    <row r="1414" spans="1:3" x14ac:dyDescent="0.25">
      <c r="A1414" s="16"/>
      <c r="C1414" s="11"/>
    </row>
    <row r="1415" spans="1:3" x14ac:dyDescent="0.25">
      <c r="A1415" s="16"/>
      <c r="C1415" s="11"/>
    </row>
    <row r="1416" spans="1:3" x14ac:dyDescent="0.25">
      <c r="A1416" s="16"/>
      <c r="C1416" s="11"/>
    </row>
    <row r="1417" spans="1:3" x14ac:dyDescent="0.25">
      <c r="A1417" s="16"/>
      <c r="C1417" s="11"/>
    </row>
    <row r="1418" spans="1:3" x14ac:dyDescent="0.25">
      <c r="A1418" s="16"/>
      <c r="C1418" s="11"/>
    </row>
    <row r="1419" spans="1:3" x14ac:dyDescent="0.25">
      <c r="A1419" s="16"/>
      <c r="C1419" s="11"/>
    </row>
    <row r="1420" spans="1:3" x14ac:dyDescent="0.25">
      <c r="A1420" s="16"/>
      <c r="C1420" s="11"/>
    </row>
    <row r="1421" spans="1:3" x14ac:dyDescent="0.25">
      <c r="A1421" s="16"/>
      <c r="C1421" s="11"/>
    </row>
    <row r="1422" spans="1:3" x14ac:dyDescent="0.25">
      <c r="A1422" s="16"/>
      <c r="C1422" s="11"/>
    </row>
    <row r="1423" spans="1:3" x14ac:dyDescent="0.25">
      <c r="A1423" s="16"/>
      <c r="C1423" s="11"/>
    </row>
    <row r="1424" spans="1:3" x14ac:dyDescent="0.25">
      <c r="A1424" s="16"/>
      <c r="C1424" s="11"/>
    </row>
    <row r="1425" spans="1:3" x14ac:dyDescent="0.25">
      <c r="A1425" s="16"/>
      <c r="C1425" s="11"/>
    </row>
    <row r="1426" spans="1:3" x14ac:dyDescent="0.25">
      <c r="A1426" s="16"/>
      <c r="C1426" s="11"/>
    </row>
    <row r="1427" spans="1:3" x14ac:dyDescent="0.25">
      <c r="A1427" s="16"/>
      <c r="C1427" s="11"/>
    </row>
    <row r="1428" spans="1:3" x14ac:dyDescent="0.25">
      <c r="A1428" s="16"/>
      <c r="C1428" s="11"/>
    </row>
    <row r="1429" spans="1:3" x14ac:dyDescent="0.25">
      <c r="A1429" s="16"/>
      <c r="C1429" s="11"/>
    </row>
    <row r="1430" spans="1:3" x14ac:dyDescent="0.25">
      <c r="A1430" s="16"/>
      <c r="C1430" s="11"/>
    </row>
    <row r="1431" spans="1:3" x14ac:dyDescent="0.25">
      <c r="A1431" s="16"/>
      <c r="C1431" s="11"/>
    </row>
    <row r="1432" spans="1:3" x14ac:dyDescent="0.25">
      <c r="A1432" s="16"/>
      <c r="C1432" s="11"/>
    </row>
    <row r="1433" spans="1:3" x14ac:dyDescent="0.25">
      <c r="A1433" s="16"/>
      <c r="C1433" s="11"/>
    </row>
    <row r="1434" spans="1:3" x14ac:dyDescent="0.25">
      <c r="A1434" s="16"/>
      <c r="C1434" s="11"/>
    </row>
    <row r="1435" spans="1:3" x14ac:dyDescent="0.25">
      <c r="A1435" s="16"/>
      <c r="C1435" s="11"/>
    </row>
    <row r="1436" spans="1:3" x14ac:dyDescent="0.25">
      <c r="A1436" s="16"/>
      <c r="C1436" s="11"/>
    </row>
    <row r="1437" spans="1:3" x14ac:dyDescent="0.25">
      <c r="A1437" s="16"/>
      <c r="C1437" s="11"/>
    </row>
    <row r="1438" spans="1:3" x14ac:dyDescent="0.25">
      <c r="A1438" s="16"/>
      <c r="C1438" s="11"/>
    </row>
    <row r="1439" spans="1:3" x14ac:dyDescent="0.25">
      <c r="A1439" s="16"/>
      <c r="C1439" s="11"/>
    </row>
    <row r="1440" spans="1:3" x14ac:dyDescent="0.25">
      <c r="A1440" s="16"/>
      <c r="C1440" s="11"/>
    </row>
    <row r="1441" spans="1:3" x14ac:dyDescent="0.25">
      <c r="A1441" s="16"/>
      <c r="C1441" s="11"/>
    </row>
    <row r="1442" spans="1:3" x14ac:dyDescent="0.25">
      <c r="A1442" s="16"/>
      <c r="C1442" s="11"/>
    </row>
    <row r="1443" spans="1:3" x14ac:dyDescent="0.25">
      <c r="A1443" s="16"/>
      <c r="C1443" s="11"/>
    </row>
    <row r="1444" spans="1:3" x14ac:dyDescent="0.25">
      <c r="A1444" s="16"/>
      <c r="C1444" s="11"/>
    </row>
    <row r="1445" spans="1:3" x14ac:dyDescent="0.25">
      <c r="A1445" s="16"/>
      <c r="C1445" s="11"/>
    </row>
    <row r="1446" spans="1:3" x14ac:dyDescent="0.25">
      <c r="A1446" s="16"/>
      <c r="C1446" s="11"/>
    </row>
    <row r="1447" spans="1:3" x14ac:dyDescent="0.25">
      <c r="A1447" s="16"/>
      <c r="C1447" s="11"/>
    </row>
    <row r="1448" spans="1:3" x14ac:dyDescent="0.25">
      <c r="A1448" s="16"/>
      <c r="C1448" s="11"/>
    </row>
    <row r="1449" spans="1:3" x14ac:dyDescent="0.25">
      <c r="A1449" s="16"/>
      <c r="C1449" s="11"/>
    </row>
    <row r="1450" spans="1:3" x14ac:dyDescent="0.25">
      <c r="A1450" s="16"/>
      <c r="C1450" s="11"/>
    </row>
    <row r="1451" spans="1:3" x14ac:dyDescent="0.25">
      <c r="A1451" s="16"/>
      <c r="C1451" s="11"/>
    </row>
    <row r="1452" spans="1:3" x14ac:dyDescent="0.25">
      <c r="A1452" s="16"/>
      <c r="C1452" s="11"/>
    </row>
    <row r="1453" spans="1:3" x14ac:dyDescent="0.25">
      <c r="A1453" s="16"/>
      <c r="C1453" s="11"/>
    </row>
    <row r="1454" spans="1:3" x14ac:dyDescent="0.25">
      <c r="A1454" s="16"/>
      <c r="C1454" s="11"/>
    </row>
    <row r="1455" spans="1:3" x14ac:dyDescent="0.25">
      <c r="A1455" s="16"/>
      <c r="C1455" s="11"/>
    </row>
    <row r="1456" spans="1:3" x14ac:dyDescent="0.25">
      <c r="A1456" s="16"/>
      <c r="C1456" s="11"/>
    </row>
    <row r="1457" spans="1:3" x14ac:dyDescent="0.25">
      <c r="A1457" s="16"/>
      <c r="C1457" s="11"/>
    </row>
    <row r="1458" spans="1:3" x14ac:dyDescent="0.25">
      <c r="A1458" s="16"/>
      <c r="C1458" s="11"/>
    </row>
    <row r="1459" spans="1:3" x14ac:dyDescent="0.25">
      <c r="A1459" s="16"/>
      <c r="C1459" s="11"/>
    </row>
    <row r="1460" spans="1:3" x14ac:dyDescent="0.25">
      <c r="A1460" s="16"/>
      <c r="C1460" s="11"/>
    </row>
    <row r="1461" spans="1:3" x14ac:dyDescent="0.25">
      <c r="A1461" s="16"/>
      <c r="C1461" s="11"/>
    </row>
    <row r="1462" spans="1:3" x14ac:dyDescent="0.25">
      <c r="A1462" s="16"/>
      <c r="C1462" s="11"/>
    </row>
    <row r="1463" spans="1:3" x14ac:dyDescent="0.25">
      <c r="A1463" s="16"/>
      <c r="C1463" s="11"/>
    </row>
    <row r="1464" spans="1:3" x14ac:dyDescent="0.25">
      <c r="A1464" s="16"/>
      <c r="C1464" s="11"/>
    </row>
    <row r="1465" spans="1:3" x14ac:dyDescent="0.25">
      <c r="A1465" s="16"/>
      <c r="C1465" s="11"/>
    </row>
    <row r="1466" spans="1:3" x14ac:dyDescent="0.25">
      <c r="A1466" s="16"/>
      <c r="C1466" s="11"/>
    </row>
    <row r="1467" spans="1:3" x14ac:dyDescent="0.25">
      <c r="A1467" s="16"/>
      <c r="C1467" s="11"/>
    </row>
    <row r="1468" spans="1:3" x14ac:dyDescent="0.25">
      <c r="A1468" s="16"/>
      <c r="C1468" s="11"/>
    </row>
    <row r="1469" spans="1:3" x14ac:dyDescent="0.25">
      <c r="A1469" s="16"/>
      <c r="C1469" s="11"/>
    </row>
    <row r="1470" spans="1:3" x14ac:dyDescent="0.25">
      <c r="A1470" s="16"/>
      <c r="C1470" s="11"/>
    </row>
    <row r="1471" spans="1:3" x14ac:dyDescent="0.25">
      <c r="A1471" s="16"/>
      <c r="C1471" s="11"/>
    </row>
    <row r="1472" spans="1:3" x14ac:dyDescent="0.25">
      <c r="A1472" s="16"/>
      <c r="C1472" s="11"/>
    </row>
    <row r="1473" spans="1:3" x14ac:dyDescent="0.25">
      <c r="A1473" s="16"/>
      <c r="C1473" s="11"/>
    </row>
    <row r="1474" spans="1:3" x14ac:dyDescent="0.25">
      <c r="A1474" s="16"/>
      <c r="C1474" s="11"/>
    </row>
    <row r="1475" spans="1:3" x14ac:dyDescent="0.25">
      <c r="A1475" s="16"/>
      <c r="C1475" s="11"/>
    </row>
    <row r="1476" spans="1:3" x14ac:dyDescent="0.25">
      <c r="A1476" s="16"/>
      <c r="C1476" s="11"/>
    </row>
    <row r="1477" spans="1:3" x14ac:dyDescent="0.25">
      <c r="A1477" s="16"/>
      <c r="C1477" s="11"/>
    </row>
    <row r="1478" spans="1:3" x14ac:dyDescent="0.25">
      <c r="A1478" s="16"/>
      <c r="C1478" s="11"/>
    </row>
    <row r="1479" spans="1:3" x14ac:dyDescent="0.25">
      <c r="A1479" s="16"/>
      <c r="C1479" s="11"/>
    </row>
    <row r="1480" spans="1:3" x14ac:dyDescent="0.25">
      <c r="A1480" s="16"/>
      <c r="C1480" s="11"/>
    </row>
    <row r="1481" spans="1:3" x14ac:dyDescent="0.25">
      <c r="A1481" s="16"/>
      <c r="C1481" s="11"/>
    </row>
    <row r="1482" spans="1:3" x14ac:dyDescent="0.25">
      <c r="A1482" s="16"/>
      <c r="C1482" s="11"/>
    </row>
    <row r="1483" spans="1:3" x14ac:dyDescent="0.25">
      <c r="A1483" s="16"/>
      <c r="C1483" s="11"/>
    </row>
    <row r="1484" spans="1:3" x14ac:dyDescent="0.25">
      <c r="A1484" s="16"/>
      <c r="C1484" s="11"/>
    </row>
    <row r="1485" spans="1:3" x14ac:dyDescent="0.25">
      <c r="A1485" s="16"/>
      <c r="C1485" s="11"/>
    </row>
    <row r="1486" spans="1:3" x14ac:dyDescent="0.25">
      <c r="A1486" s="16"/>
      <c r="C1486" s="11"/>
    </row>
    <row r="1487" spans="1:3" x14ac:dyDescent="0.25">
      <c r="A1487" s="16"/>
      <c r="C1487" s="11"/>
    </row>
    <row r="1488" spans="1:3" x14ac:dyDescent="0.25">
      <c r="A1488" s="16"/>
      <c r="C1488" s="11"/>
    </row>
    <row r="1489" spans="1:3" x14ac:dyDescent="0.25">
      <c r="A1489" s="16"/>
      <c r="C1489" s="11"/>
    </row>
    <row r="1490" spans="1:3" x14ac:dyDescent="0.25">
      <c r="A1490" s="16"/>
      <c r="C1490" s="11"/>
    </row>
    <row r="1491" spans="1:3" x14ac:dyDescent="0.25">
      <c r="A1491" s="16"/>
      <c r="C1491" s="11"/>
    </row>
    <row r="1492" spans="1:3" x14ac:dyDescent="0.25">
      <c r="A1492" s="16"/>
      <c r="C1492" s="11"/>
    </row>
    <row r="1493" spans="1:3" x14ac:dyDescent="0.25">
      <c r="A1493" s="16"/>
      <c r="C1493" s="11"/>
    </row>
    <row r="1494" spans="1:3" x14ac:dyDescent="0.25">
      <c r="A1494" s="16"/>
      <c r="C1494" s="11"/>
    </row>
    <row r="1495" spans="1:3" x14ac:dyDescent="0.25">
      <c r="A1495" s="16"/>
      <c r="C1495" s="11"/>
    </row>
    <row r="1496" spans="1:3" x14ac:dyDescent="0.25">
      <c r="A1496" s="16"/>
      <c r="C1496" s="11"/>
    </row>
    <row r="1497" spans="1:3" x14ac:dyDescent="0.25">
      <c r="A1497" s="16"/>
      <c r="C1497" s="11"/>
    </row>
    <row r="1498" spans="1:3" x14ac:dyDescent="0.25">
      <c r="A1498" s="16"/>
      <c r="C1498" s="11"/>
    </row>
    <row r="1499" spans="1:3" x14ac:dyDescent="0.25">
      <c r="A1499" s="16"/>
      <c r="C1499" s="11"/>
    </row>
    <row r="1500" spans="1:3" x14ac:dyDescent="0.25">
      <c r="A1500" s="16"/>
      <c r="C1500" s="11"/>
    </row>
    <row r="1501" spans="1:3" x14ac:dyDescent="0.25">
      <c r="A1501" s="16"/>
      <c r="C1501" s="11"/>
    </row>
    <row r="1502" spans="1:3" x14ac:dyDescent="0.25">
      <c r="A1502" s="16"/>
      <c r="C1502" s="11"/>
    </row>
    <row r="1503" spans="1:3" x14ac:dyDescent="0.25">
      <c r="A1503" s="16"/>
      <c r="C1503" s="11"/>
    </row>
    <row r="1504" spans="1:3" x14ac:dyDescent="0.25">
      <c r="A1504" s="16"/>
      <c r="C1504" s="11"/>
    </row>
    <row r="1505" spans="1:3" x14ac:dyDescent="0.25">
      <c r="A1505" s="16"/>
      <c r="C1505" s="11"/>
    </row>
    <row r="1506" spans="1:3" x14ac:dyDescent="0.25">
      <c r="A1506" s="16"/>
      <c r="C1506" s="11"/>
    </row>
    <row r="1507" spans="1:3" x14ac:dyDescent="0.25">
      <c r="A1507" s="16"/>
      <c r="C1507" s="11"/>
    </row>
    <row r="1508" spans="1:3" x14ac:dyDescent="0.25">
      <c r="A1508" s="16"/>
      <c r="C1508" s="11"/>
    </row>
    <row r="1509" spans="1:3" x14ac:dyDescent="0.25">
      <c r="A1509" s="16"/>
      <c r="C1509" s="11"/>
    </row>
    <row r="1510" spans="1:3" x14ac:dyDescent="0.25">
      <c r="A1510" s="16"/>
      <c r="C1510" s="11"/>
    </row>
    <row r="1511" spans="1:3" x14ac:dyDescent="0.25">
      <c r="A1511" s="16"/>
      <c r="C1511" s="11"/>
    </row>
    <row r="1512" spans="1:3" x14ac:dyDescent="0.25">
      <c r="A1512" s="16"/>
      <c r="C1512" s="11"/>
    </row>
    <row r="1513" spans="1:3" x14ac:dyDescent="0.25">
      <c r="A1513" s="16"/>
      <c r="C1513" s="11"/>
    </row>
    <row r="1514" spans="1:3" x14ac:dyDescent="0.25">
      <c r="A1514" s="16"/>
      <c r="C1514" s="11"/>
    </row>
    <row r="1515" spans="1:3" x14ac:dyDescent="0.25">
      <c r="A1515" s="16"/>
      <c r="C1515" s="11"/>
    </row>
    <row r="1516" spans="1:3" x14ac:dyDescent="0.25">
      <c r="A1516" s="16"/>
      <c r="C1516" s="11"/>
    </row>
    <row r="1517" spans="1:3" x14ac:dyDescent="0.25">
      <c r="A1517" s="16"/>
      <c r="C1517" s="11"/>
    </row>
    <row r="1518" spans="1:3" x14ac:dyDescent="0.25">
      <c r="A1518" s="16"/>
      <c r="C1518" s="11"/>
    </row>
    <row r="1519" spans="1:3" x14ac:dyDescent="0.25">
      <c r="A1519" s="16"/>
      <c r="C1519" s="11"/>
    </row>
    <row r="1520" spans="1:3" x14ac:dyDescent="0.25">
      <c r="A1520" s="16"/>
      <c r="C1520" s="11"/>
    </row>
    <row r="1521" spans="1:3" x14ac:dyDescent="0.25">
      <c r="A1521" s="16"/>
      <c r="C1521" s="11"/>
    </row>
    <row r="1522" spans="1:3" x14ac:dyDescent="0.25">
      <c r="A1522" s="16"/>
      <c r="C1522" s="11"/>
    </row>
    <row r="1523" spans="1:3" x14ac:dyDescent="0.25">
      <c r="A1523" s="16"/>
      <c r="C1523" s="11"/>
    </row>
    <row r="1524" spans="1:3" x14ac:dyDescent="0.25">
      <c r="A1524" s="16"/>
      <c r="C1524" s="11"/>
    </row>
    <row r="1525" spans="1:3" x14ac:dyDescent="0.25">
      <c r="A1525" s="16"/>
      <c r="C1525" s="11"/>
    </row>
    <row r="1526" spans="1:3" x14ac:dyDescent="0.25">
      <c r="A1526" s="16"/>
      <c r="C1526" s="11"/>
    </row>
    <row r="1527" spans="1:3" x14ac:dyDescent="0.25">
      <c r="A1527" s="16"/>
      <c r="C1527" s="11"/>
    </row>
    <row r="1528" spans="1:3" x14ac:dyDescent="0.25">
      <c r="A1528" s="16"/>
      <c r="C1528" s="11"/>
    </row>
    <row r="1529" spans="1:3" x14ac:dyDescent="0.25">
      <c r="A1529" s="16"/>
      <c r="C1529" s="11"/>
    </row>
    <row r="1530" spans="1:3" x14ac:dyDescent="0.25">
      <c r="A1530" s="16"/>
      <c r="C1530" s="11"/>
    </row>
    <row r="1531" spans="1:3" x14ac:dyDescent="0.25">
      <c r="A1531" s="16"/>
      <c r="C1531" s="11"/>
    </row>
    <row r="1532" spans="1:3" x14ac:dyDescent="0.25">
      <c r="A1532" s="16"/>
      <c r="C1532" s="11"/>
    </row>
    <row r="1533" spans="1:3" x14ac:dyDescent="0.25">
      <c r="A1533" s="16"/>
      <c r="C1533" s="11"/>
    </row>
    <row r="1534" spans="1:3" x14ac:dyDescent="0.25">
      <c r="A1534" s="16"/>
      <c r="C1534" s="11"/>
    </row>
    <row r="1535" spans="1:3" x14ac:dyDescent="0.25">
      <c r="A1535" s="16"/>
      <c r="C1535" s="11"/>
    </row>
    <row r="1536" spans="1:3" x14ac:dyDescent="0.25">
      <c r="A1536" s="16"/>
      <c r="C1536" s="11"/>
    </row>
    <row r="1537" spans="1:3" x14ac:dyDescent="0.25">
      <c r="A1537" s="16"/>
      <c r="C1537" s="11"/>
    </row>
    <row r="1538" spans="1:3" x14ac:dyDescent="0.25">
      <c r="A1538" s="16"/>
      <c r="C1538" s="11"/>
    </row>
    <row r="1539" spans="1:3" x14ac:dyDescent="0.25">
      <c r="A1539" s="16"/>
      <c r="C1539" s="11"/>
    </row>
    <row r="1540" spans="1:3" x14ac:dyDescent="0.25">
      <c r="A1540" s="16"/>
      <c r="C1540" s="11"/>
    </row>
    <row r="1541" spans="1:3" x14ac:dyDescent="0.25">
      <c r="A1541" s="16"/>
      <c r="C1541" s="11"/>
    </row>
    <row r="1542" spans="1:3" x14ac:dyDescent="0.25">
      <c r="A1542" s="16"/>
      <c r="C1542" s="11"/>
    </row>
    <row r="1543" spans="1:3" x14ac:dyDescent="0.25">
      <c r="A1543" s="16"/>
      <c r="C1543" s="11"/>
    </row>
    <row r="1544" spans="1:3" x14ac:dyDescent="0.25">
      <c r="A1544" s="16"/>
      <c r="C1544" s="11"/>
    </row>
    <row r="1545" spans="1:3" x14ac:dyDescent="0.25">
      <c r="A1545" s="16"/>
      <c r="C1545" s="11"/>
    </row>
    <row r="1546" spans="1:3" x14ac:dyDescent="0.25">
      <c r="A1546" s="16"/>
      <c r="C1546" s="11"/>
    </row>
    <row r="1547" spans="1:3" x14ac:dyDescent="0.25">
      <c r="A1547" s="16"/>
      <c r="C1547" s="11"/>
    </row>
    <row r="1548" spans="1:3" x14ac:dyDescent="0.25">
      <c r="A1548" s="16"/>
      <c r="C1548" s="11"/>
    </row>
    <row r="1549" spans="1:3" x14ac:dyDescent="0.25">
      <c r="A1549" s="16"/>
      <c r="C1549" s="11"/>
    </row>
    <row r="1550" spans="1:3" x14ac:dyDescent="0.25">
      <c r="A1550" s="16"/>
      <c r="C1550" s="11"/>
    </row>
    <row r="1551" spans="1:3" x14ac:dyDescent="0.25">
      <c r="A1551" s="16"/>
      <c r="C1551" s="11"/>
    </row>
    <row r="1552" spans="1:3" x14ac:dyDescent="0.25">
      <c r="A1552" s="16"/>
      <c r="C1552" s="11"/>
    </row>
    <row r="1553" spans="1:3" x14ac:dyDescent="0.25">
      <c r="A1553" s="16"/>
      <c r="C1553" s="11"/>
    </row>
    <row r="1554" spans="1:3" x14ac:dyDescent="0.25">
      <c r="A1554" s="16"/>
      <c r="C1554" s="11"/>
    </row>
    <row r="1555" spans="1:3" x14ac:dyDescent="0.25">
      <c r="A1555" s="16"/>
      <c r="C1555" s="11"/>
    </row>
    <row r="1556" spans="1:3" x14ac:dyDescent="0.25">
      <c r="A1556" s="16"/>
      <c r="C1556" s="11"/>
    </row>
    <row r="1557" spans="1:3" x14ac:dyDescent="0.25">
      <c r="A1557" s="16"/>
      <c r="C1557" s="11"/>
    </row>
    <row r="1558" spans="1:3" x14ac:dyDescent="0.25">
      <c r="A1558" s="16"/>
      <c r="C1558" s="11"/>
    </row>
    <row r="1559" spans="1:3" x14ac:dyDescent="0.25">
      <c r="A1559" s="16"/>
      <c r="C1559" s="11"/>
    </row>
    <row r="1560" spans="1:3" x14ac:dyDescent="0.25">
      <c r="A1560" s="16"/>
      <c r="C1560" s="11"/>
    </row>
    <row r="1561" spans="1:3" x14ac:dyDescent="0.25">
      <c r="A1561" s="16"/>
      <c r="C1561" s="11"/>
    </row>
    <row r="1562" spans="1:3" x14ac:dyDescent="0.25">
      <c r="A1562" s="16"/>
      <c r="C1562" s="11"/>
    </row>
    <row r="1563" spans="1:3" x14ac:dyDescent="0.25">
      <c r="A1563" s="16"/>
      <c r="C1563" s="11"/>
    </row>
    <row r="1564" spans="1:3" x14ac:dyDescent="0.25">
      <c r="A1564" s="16"/>
      <c r="C1564" s="11"/>
    </row>
    <row r="1565" spans="1:3" x14ac:dyDescent="0.25">
      <c r="A1565" s="16"/>
      <c r="C1565" s="11"/>
    </row>
    <row r="1566" spans="1:3" x14ac:dyDescent="0.25">
      <c r="A1566" s="16"/>
      <c r="C1566" s="11"/>
    </row>
    <row r="1567" spans="1:3" x14ac:dyDescent="0.25">
      <c r="A1567" s="16"/>
      <c r="C1567" s="11"/>
    </row>
    <row r="1568" spans="1:3" x14ac:dyDescent="0.25">
      <c r="A1568" s="16"/>
      <c r="C1568" s="11"/>
    </row>
    <row r="1569" spans="1:3" x14ac:dyDescent="0.25">
      <c r="A1569" s="16"/>
      <c r="C1569" s="11"/>
    </row>
    <row r="1570" spans="1:3" x14ac:dyDescent="0.25">
      <c r="A1570" s="16"/>
      <c r="C1570" s="11"/>
    </row>
    <row r="1571" spans="1:3" x14ac:dyDescent="0.25">
      <c r="A1571" s="16"/>
      <c r="C1571" s="11"/>
    </row>
    <row r="1572" spans="1:3" x14ac:dyDescent="0.25">
      <c r="A1572" s="16"/>
      <c r="C1572" s="11"/>
    </row>
    <row r="1573" spans="1:3" x14ac:dyDescent="0.25">
      <c r="A1573" s="16"/>
      <c r="C1573" s="11"/>
    </row>
    <row r="1574" spans="1:3" x14ac:dyDescent="0.25">
      <c r="A1574" s="16"/>
      <c r="C1574" s="11"/>
    </row>
    <row r="1575" spans="1:3" x14ac:dyDescent="0.25">
      <c r="A1575" s="16"/>
      <c r="C1575" s="11"/>
    </row>
    <row r="1576" spans="1:3" x14ac:dyDescent="0.25">
      <c r="A1576" s="16"/>
      <c r="C1576" s="11"/>
    </row>
    <row r="1577" spans="1:3" x14ac:dyDescent="0.25">
      <c r="A1577" s="16"/>
      <c r="C1577" s="11"/>
    </row>
    <row r="1578" spans="1:3" x14ac:dyDescent="0.25">
      <c r="A1578" s="16"/>
      <c r="C1578" s="11"/>
    </row>
    <row r="1579" spans="1:3" x14ac:dyDescent="0.25">
      <c r="A1579" s="16"/>
      <c r="C1579" s="11"/>
    </row>
    <row r="1580" spans="1:3" x14ac:dyDescent="0.25">
      <c r="A1580" s="16"/>
      <c r="C1580" s="11"/>
    </row>
    <row r="1581" spans="1:3" x14ac:dyDescent="0.25">
      <c r="A1581" s="16"/>
      <c r="C1581" s="11"/>
    </row>
    <row r="1582" spans="1:3" x14ac:dyDescent="0.25">
      <c r="A1582" s="16"/>
      <c r="C1582" s="11"/>
    </row>
    <row r="1583" spans="1:3" x14ac:dyDescent="0.25">
      <c r="A1583" s="16"/>
      <c r="C1583" s="11"/>
    </row>
    <row r="1584" spans="1:3" x14ac:dyDescent="0.25">
      <c r="A1584" s="16"/>
      <c r="C1584" s="11"/>
    </row>
    <row r="1585" spans="1:3" x14ac:dyDescent="0.25">
      <c r="A1585" s="16"/>
      <c r="C1585" s="11"/>
    </row>
    <row r="1586" spans="1:3" x14ac:dyDescent="0.25">
      <c r="A1586" s="16"/>
      <c r="C1586" s="11"/>
    </row>
    <row r="1587" spans="1:3" x14ac:dyDescent="0.25">
      <c r="A1587" s="16"/>
      <c r="C1587" s="11"/>
    </row>
    <row r="1588" spans="1:3" x14ac:dyDescent="0.25">
      <c r="A1588" s="16"/>
      <c r="C1588" s="11"/>
    </row>
    <row r="1589" spans="1:3" x14ac:dyDescent="0.25">
      <c r="A1589" s="16"/>
      <c r="C1589" s="11"/>
    </row>
    <row r="1590" spans="1:3" x14ac:dyDescent="0.25">
      <c r="A1590" s="16"/>
      <c r="C1590" s="11"/>
    </row>
    <row r="1591" spans="1:3" x14ac:dyDescent="0.25">
      <c r="A1591" s="16"/>
      <c r="C1591" s="11"/>
    </row>
    <row r="1592" spans="1:3" x14ac:dyDescent="0.25">
      <c r="A1592" s="16"/>
      <c r="C1592" s="11"/>
    </row>
    <row r="1593" spans="1:3" x14ac:dyDescent="0.25">
      <c r="A1593" s="16"/>
      <c r="C1593" s="11"/>
    </row>
    <row r="1594" spans="1:3" x14ac:dyDescent="0.25">
      <c r="A1594" s="16"/>
      <c r="C1594" s="11"/>
    </row>
    <row r="1595" spans="1:3" x14ac:dyDescent="0.25">
      <c r="A1595" s="16"/>
      <c r="C1595" s="11"/>
    </row>
    <row r="1596" spans="1:3" x14ac:dyDescent="0.25">
      <c r="A1596" s="16"/>
      <c r="C1596" s="11"/>
    </row>
    <row r="1597" spans="1:3" x14ac:dyDescent="0.25">
      <c r="A1597" s="16"/>
      <c r="C1597" s="11"/>
    </row>
    <row r="1598" spans="1:3" x14ac:dyDescent="0.25">
      <c r="A1598" s="16"/>
      <c r="C1598" s="11"/>
    </row>
    <row r="1599" spans="1:3" x14ac:dyDescent="0.25">
      <c r="A1599" s="16"/>
      <c r="C1599" s="11"/>
    </row>
    <row r="1600" spans="1:3" x14ac:dyDescent="0.25">
      <c r="A1600" s="16"/>
      <c r="C1600" s="11"/>
    </row>
    <row r="1601" spans="1:3" x14ac:dyDescent="0.25">
      <c r="A1601" s="16"/>
      <c r="C1601" s="11"/>
    </row>
    <row r="1602" spans="1:3" x14ac:dyDescent="0.25">
      <c r="A1602" s="16"/>
      <c r="C1602" s="11"/>
    </row>
    <row r="1603" spans="1:3" x14ac:dyDescent="0.25">
      <c r="A1603" s="16"/>
      <c r="C1603" s="11"/>
    </row>
    <row r="1604" spans="1:3" x14ac:dyDescent="0.25">
      <c r="A1604" s="16"/>
      <c r="C1604" s="11"/>
    </row>
    <row r="1605" spans="1:3" x14ac:dyDescent="0.25">
      <c r="A1605" s="16"/>
      <c r="C1605" s="11"/>
    </row>
    <row r="1606" spans="1:3" x14ac:dyDescent="0.25">
      <c r="A1606" s="16"/>
      <c r="C1606" s="11"/>
    </row>
    <row r="1607" spans="1:3" x14ac:dyDescent="0.25">
      <c r="A1607" s="16"/>
      <c r="C1607" s="11"/>
    </row>
    <row r="1608" spans="1:3" x14ac:dyDescent="0.25">
      <c r="A1608" s="16"/>
      <c r="C1608" s="11"/>
    </row>
    <row r="1609" spans="1:3" x14ac:dyDescent="0.25">
      <c r="A1609" s="16"/>
      <c r="C1609" s="11"/>
    </row>
    <row r="1610" spans="1:3" x14ac:dyDescent="0.25">
      <c r="A1610" s="16"/>
      <c r="C1610" s="11"/>
    </row>
    <row r="1611" spans="1:3" x14ac:dyDescent="0.25">
      <c r="A1611" s="16"/>
      <c r="C1611" s="11"/>
    </row>
    <row r="1612" spans="1:3" x14ac:dyDescent="0.25">
      <c r="A1612" s="16"/>
      <c r="C1612" s="11"/>
    </row>
    <row r="1613" spans="1:3" x14ac:dyDescent="0.25">
      <c r="A1613" s="16"/>
      <c r="C1613" s="11"/>
    </row>
    <row r="1614" spans="1:3" x14ac:dyDescent="0.25">
      <c r="A1614" s="16"/>
      <c r="C1614" s="11"/>
    </row>
    <row r="1615" spans="1:3" x14ac:dyDescent="0.25">
      <c r="A1615" s="16"/>
      <c r="C1615" s="11"/>
    </row>
    <row r="1616" spans="1:3" x14ac:dyDescent="0.25">
      <c r="A1616" s="16"/>
      <c r="C1616" s="11"/>
    </row>
    <row r="1617" spans="1:3" x14ac:dyDescent="0.25">
      <c r="A1617" s="16"/>
      <c r="C1617" s="11"/>
    </row>
    <row r="1618" spans="1:3" x14ac:dyDescent="0.25">
      <c r="A1618" s="16"/>
      <c r="C1618" s="11"/>
    </row>
    <row r="1619" spans="1:3" x14ac:dyDescent="0.25">
      <c r="A1619" s="16"/>
      <c r="C1619" s="11"/>
    </row>
    <row r="1620" spans="1:3" x14ac:dyDescent="0.25">
      <c r="A1620" s="16"/>
      <c r="C1620" s="11"/>
    </row>
    <row r="1621" spans="1:3" x14ac:dyDescent="0.25">
      <c r="A1621" s="16"/>
      <c r="C1621" s="11"/>
    </row>
    <row r="1622" spans="1:3" x14ac:dyDescent="0.25">
      <c r="A1622" s="16"/>
      <c r="C1622" s="11"/>
    </row>
    <row r="1623" spans="1:3" x14ac:dyDescent="0.25">
      <c r="A1623" s="16"/>
      <c r="C1623" s="11"/>
    </row>
    <row r="1624" spans="1:3" x14ac:dyDescent="0.25">
      <c r="A1624" s="16"/>
      <c r="C1624" s="11"/>
    </row>
    <row r="1625" spans="1:3" x14ac:dyDescent="0.25">
      <c r="A1625" s="16"/>
      <c r="C1625" s="11"/>
    </row>
    <row r="1626" spans="1:3" x14ac:dyDescent="0.25">
      <c r="A1626" s="16"/>
      <c r="C1626" s="11"/>
    </row>
    <row r="1627" spans="1:3" x14ac:dyDescent="0.25">
      <c r="A1627" s="16"/>
      <c r="C1627" s="11"/>
    </row>
    <row r="1628" spans="1:3" x14ac:dyDescent="0.25">
      <c r="A1628" s="16"/>
      <c r="C1628" s="11"/>
    </row>
    <row r="1629" spans="1:3" x14ac:dyDescent="0.25">
      <c r="A1629" s="16"/>
      <c r="C1629" s="11"/>
    </row>
    <row r="1630" spans="1:3" x14ac:dyDescent="0.25">
      <c r="A1630" s="16"/>
      <c r="C1630" s="11"/>
    </row>
    <row r="1631" spans="1:3" x14ac:dyDescent="0.25">
      <c r="A1631" s="16"/>
      <c r="C1631" s="11"/>
    </row>
    <row r="1632" spans="1:3" x14ac:dyDescent="0.25">
      <c r="A1632" s="16"/>
      <c r="C1632" s="11"/>
    </row>
    <row r="1633" spans="1:3" x14ac:dyDescent="0.25">
      <c r="A1633" s="16"/>
      <c r="C1633" s="11"/>
    </row>
    <row r="1634" spans="1:3" x14ac:dyDescent="0.25">
      <c r="A1634" s="16"/>
      <c r="C1634" s="11"/>
    </row>
    <row r="1635" spans="1:3" x14ac:dyDescent="0.25">
      <c r="A1635" s="16"/>
      <c r="C1635" s="11"/>
    </row>
    <row r="1636" spans="1:3" x14ac:dyDescent="0.25">
      <c r="A1636" s="16"/>
      <c r="C1636" s="11"/>
    </row>
    <row r="1637" spans="1:3" x14ac:dyDescent="0.25">
      <c r="A1637" s="16"/>
      <c r="C1637" s="11"/>
    </row>
    <row r="1638" spans="1:3" x14ac:dyDescent="0.25">
      <c r="A1638" s="16"/>
      <c r="C1638" s="11"/>
    </row>
    <row r="1639" spans="1:3" x14ac:dyDescent="0.25">
      <c r="A1639" s="16"/>
      <c r="C1639" s="11"/>
    </row>
    <row r="1640" spans="1:3" x14ac:dyDescent="0.25">
      <c r="A1640" s="16"/>
      <c r="C1640" s="11"/>
    </row>
    <row r="1641" spans="1:3" x14ac:dyDescent="0.25">
      <c r="A1641" s="16"/>
      <c r="C1641" s="11"/>
    </row>
    <row r="1642" spans="1:3" x14ac:dyDescent="0.25">
      <c r="A1642" s="16"/>
      <c r="C1642" s="11"/>
    </row>
    <row r="1643" spans="1:3" x14ac:dyDescent="0.25">
      <c r="A1643" s="16"/>
      <c r="C1643" s="11"/>
    </row>
    <row r="1644" spans="1:3" x14ac:dyDescent="0.25">
      <c r="A1644" s="16"/>
      <c r="C1644" s="11"/>
    </row>
    <row r="1645" spans="1:3" x14ac:dyDescent="0.25">
      <c r="A1645" s="16"/>
      <c r="C1645" s="11"/>
    </row>
    <row r="1646" spans="1:3" x14ac:dyDescent="0.25">
      <c r="A1646" s="16"/>
      <c r="C1646" s="11"/>
    </row>
    <row r="1647" spans="1:3" x14ac:dyDescent="0.25">
      <c r="A1647" s="16"/>
      <c r="C1647" s="11"/>
    </row>
    <row r="1648" spans="1:3" x14ac:dyDescent="0.25">
      <c r="A1648" s="16"/>
      <c r="C1648" s="11"/>
    </row>
    <row r="1649" spans="1:3" x14ac:dyDescent="0.25">
      <c r="A1649" s="16"/>
      <c r="C1649" s="11"/>
    </row>
    <row r="1650" spans="1:3" x14ac:dyDescent="0.25">
      <c r="A1650" s="16"/>
      <c r="C1650" s="11"/>
    </row>
    <row r="1651" spans="1:3" x14ac:dyDescent="0.25">
      <c r="A1651" s="16"/>
      <c r="C1651" s="11"/>
    </row>
    <row r="1652" spans="1:3" x14ac:dyDescent="0.25">
      <c r="A1652" s="16"/>
      <c r="C1652" s="11"/>
    </row>
    <row r="1653" spans="1:3" x14ac:dyDescent="0.25">
      <c r="A1653" s="16"/>
      <c r="C1653" s="11"/>
    </row>
    <row r="1654" spans="1:3" x14ac:dyDescent="0.25">
      <c r="A1654" s="16"/>
      <c r="C1654" s="11"/>
    </row>
    <row r="1655" spans="1:3" x14ac:dyDescent="0.25">
      <c r="A1655" s="16"/>
      <c r="C1655" s="11"/>
    </row>
    <row r="1656" spans="1:3" x14ac:dyDescent="0.25">
      <c r="A1656" s="16"/>
      <c r="C1656" s="11"/>
    </row>
    <row r="1657" spans="1:3" x14ac:dyDescent="0.25">
      <c r="A1657" s="16"/>
      <c r="C1657" s="11"/>
    </row>
    <row r="1658" spans="1:3" x14ac:dyDescent="0.25">
      <c r="A1658" s="16"/>
      <c r="C1658" s="11"/>
    </row>
    <row r="1659" spans="1:3" x14ac:dyDescent="0.25">
      <c r="A1659" s="16"/>
      <c r="C1659" s="11"/>
    </row>
    <row r="1660" spans="1:3" x14ac:dyDescent="0.25">
      <c r="A1660" s="16"/>
      <c r="C1660" s="11"/>
    </row>
    <row r="1661" spans="1:3" x14ac:dyDescent="0.25">
      <c r="A1661" s="16"/>
      <c r="C1661" s="11"/>
    </row>
    <row r="1662" spans="1:3" x14ac:dyDescent="0.25">
      <c r="A1662" s="16"/>
      <c r="C1662" s="11"/>
    </row>
    <row r="1663" spans="1:3" x14ac:dyDescent="0.25">
      <c r="A1663" s="16"/>
      <c r="C1663" s="11"/>
    </row>
    <row r="1664" spans="1:3" x14ac:dyDescent="0.25">
      <c r="A1664" s="16"/>
      <c r="C1664" s="11"/>
    </row>
    <row r="1665" spans="1:3" x14ac:dyDescent="0.25">
      <c r="A1665" s="16"/>
      <c r="C1665" s="11"/>
    </row>
    <row r="1666" spans="1:3" x14ac:dyDescent="0.25">
      <c r="A1666" s="16"/>
      <c r="C1666" s="11"/>
    </row>
    <row r="1667" spans="1:3" x14ac:dyDescent="0.25">
      <c r="A1667" s="16"/>
      <c r="C1667" s="11"/>
    </row>
    <row r="1668" spans="1:3" x14ac:dyDescent="0.25">
      <c r="A1668" s="16"/>
      <c r="C1668" s="11"/>
    </row>
    <row r="1669" spans="1:3" x14ac:dyDescent="0.25">
      <c r="A1669" s="16"/>
      <c r="C1669" s="11"/>
    </row>
    <row r="1670" spans="1:3" x14ac:dyDescent="0.25">
      <c r="A1670" s="16"/>
      <c r="C1670" s="11"/>
    </row>
    <row r="1671" spans="1:3" x14ac:dyDescent="0.25">
      <c r="A1671" s="16"/>
      <c r="C1671" s="11"/>
    </row>
    <row r="1672" spans="1:3" x14ac:dyDescent="0.25">
      <c r="A1672" s="16"/>
      <c r="C1672" s="11"/>
    </row>
    <row r="1673" spans="1:3" x14ac:dyDescent="0.25">
      <c r="A1673" s="16"/>
      <c r="C1673" s="11"/>
    </row>
    <row r="1674" spans="1:3" x14ac:dyDescent="0.25">
      <c r="A1674" s="16"/>
      <c r="C1674" s="11"/>
    </row>
    <row r="1675" spans="1:3" x14ac:dyDescent="0.25">
      <c r="A1675" s="16"/>
      <c r="C1675" s="11"/>
    </row>
    <row r="1676" spans="1:3" x14ac:dyDescent="0.25">
      <c r="A1676" s="16"/>
      <c r="C1676" s="11"/>
    </row>
    <row r="1677" spans="1:3" x14ac:dyDescent="0.25">
      <c r="A1677" s="16"/>
      <c r="C1677" s="11"/>
    </row>
    <row r="1678" spans="1:3" x14ac:dyDescent="0.25">
      <c r="A1678" s="16"/>
      <c r="C1678" s="11"/>
    </row>
    <row r="1679" spans="1:3" x14ac:dyDescent="0.25">
      <c r="A1679" s="16"/>
      <c r="C1679" s="11"/>
    </row>
    <row r="1680" spans="1:3" x14ac:dyDescent="0.25">
      <c r="A1680" s="16"/>
      <c r="C1680" s="11"/>
    </row>
    <row r="1681" spans="1:3" x14ac:dyDescent="0.25">
      <c r="A1681" s="16"/>
      <c r="C1681" s="11"/>
    </row>
    <row r="1682" spans="1:3" x14ac:dyDescent="0.25">
      <c r="A1682" s="16"/>
      <c r="C1682" s="11"/>
    </row>
    <row r="1683" spans="1:3" x14ac:dyDescent="0.25">
      <c r="A1683" s="16"/>
      <c r="C1683" s="11"/>
    </row>
    <row r="1684" spans="1:3" x14ac:dyDescent="0.25">
      <c r="A1684" s="16"/>
      <c r="C1684" s="11"/>
    </row>
    <row r="1685" spans="1:3" x14ac:dyDescent="0.25">
      <c r="A1685" s="16"/>
      <c r="C1685" s="11"/>
    </row>
    <row r="1686" spans="1:3" x14ac:dyDescent="0.25">
      <c r="A1686" s="16"/>
      <c r="C1686" s="11"/>
    </row>
    <row r="1687" spans="1:3" x14ac:dyDescent="0.25">
      <c r="A1687" s="16"/>
      <c r="C1687" s="11"/>
    </row>
    <row r="1688" spans="1:3" x14ac:dyDescent="0.25">
      <c r="A1688" s="16"/>
      <c r="C1688" s="11"/>
    </row>
    <row r="1689" spans="1:3" x14ac:dyDescent="0.25">
      <c r="A1689" s="16"/>
      <c r="C1689" s="11"/>
    </row>
    <row r="1690" spans="1:3" x14ac:dyDescent="0.25">
      <c r="A1690" s="16"/>
      <c r="C1690" s="11"/>
    </row>
    <row r="1691" spans="1:3" x14ac:dyDescent="0.25">
      <c r="A1691" s="16"/>
      <c r="C1691" s="11"/>
    </row>
    <row r="1692" spans="1:3" x14ac:dyDescent="0.25">
      <c r="A1692" s="16"/>
      <c r="C1692" s="11"/>
    </row>
    <row r="1693" spans="1:3" x14ac:dyDescent="0.25">
      <c r="A1693" s="16"/>
      <c r="C1693" s="11"/>
    </row>
    <row r="1694" spans="1:3" x14ac:dyDescent="0.25">
      <c r="A1694" s="16"/>
      <c r="C1694" s="11"/>
    </row>
    <row r="1695" spans="1:3" x14ac:dyDescent="0.25">
      <c r="A1695" s="16"/>
      <c r="C1695" s="11"/>
    </row>
    <row r="1696" spans="1:3" x14ac:dyDescent="0.25">
      <c r="A1696" s="16"/>
      <c r="C1696" s="11"/>
    </row>
    <row r="1697" spans="1:3" x14ac:dyDescent="0.25">
      <c r="A1697" s="16"/>
      <c r="C1697" s="11"/>
    </row>
    <row r="1698" spans="1:3" x14ac:dyDescent="0.25">
      <c r="A1698" s="16"/>
      <c r="C1698" s="11"/>
    </row>
    <row r="1699" spans="1:3" x14ac:dyDescent="0.25">
      <c r="A1699" s="16"/>
      <c r="C1699" s="11"/>
    </row>
    <row r="1700" spans="1:3" x14ac:dyDescent="0.25">
      <c r="A1700" s="16"/>
      <c r="C1700" s="11"/>
    </row>
    <row r="1701" spans="1:3" x14ac:dyDescent="0.25">
      <c r="A1701" s="16"/>
      <c r="C1701" s="11"/>
    </row>
    <row r="1702" spans="1:3" x14ac:dyDescent="0.25">
      <c r="A1702" s="16"/>
      <c r="C1702" s="11"/>
    </row>
    <row r="1703" spans="1:3" x14ac:dyDescent="0.25">
      <c r="A1703" s="16"/>
      <c r="C1703" s="11"/>
    </row>
    <row r="1704" spans="1:3" x14ac:dyDescent="0.25">
      <c r="A1704" s="16"/>
      <c r="C1704" s="11"/>
    </row>
    <row r="1705" spans="1:3" x14ac:dyDescent="0.25">
      <c r="A1705" s="16"/>
      <c r="C1705" s="11"/>
    </row>
    <row r="1706" spans="1:3" x14ac:dyDescent="0.25">
      <c r="A1706" s="16"/>
      <c r="C1706" s="11"/>
    </row>
    <row r="1707" spans="1:3" x14ac:dyDescent="0.25">
      <c r="A1707" s="16"/>
      <c r="C1707" s="11"/>
    </row>
    <row r="1708" spans="1:3" x14ac:dyDescent="0.25">
      <c r="A1708" s="16"/>
      <c r="C1708" s="11"/>
    </row>
    <row r="1709" spans="1:3" x14ac:dyDescent="0.25">
      <c r="A1709" s="16"/>
      <c r="C1709" s="11"/>
    </row>
    <row r="1710" spans="1:3" x14ac:dyDescent="0.25">
      <c r="A1710" s="16"/>
      <c r="C1710" s="11"/>
    </row>
    <row r="1711" spans="1:3" x14ac:dyDescent="0.25">
      <c r="A1711" s="16"/>
      <c r="C1711" s="11"/>
    </row>
    <row r="1712" spans="1:3" x14ac:dyDescent="0.25">
      <c r="A1712" s="16"/>
      <c r="C1712" s="11"/>
    </row>
    <row r="1713" spans="1:3" x14ac:dyDescent="0.25">
      <c r="A1713" s="16"/>
      <c r="C1713" s="11"/>
    </row>
    <row r="1714" spans="1:3" x14ac:dyDescent="0.25">
      <c r="A1714" s="16"/>
      <c r="C1714" s="11"/>
    </row>
    <row r="1715" spans="1:3" x14ac:dyDescent="0.25">
      <c r="A1715" s="16"/>
      <c r="C1715" s="11"/>
    </row>
    <row r="1716" spans="1:3" x14ac:dyDescent="0.25">
      <c r="A1716" s="16"/>
      <c r="C1716" s="11"/>
    </row>
    <row r="1717" spans="1:3" x14ac:dyDescent="0.25">
      <c r="A1717" s="16"/>
      <c r="C1717" s="11"/>
    </row>
    <row r="1718" spans="1:3" x14ac:dyDescent="0.25">
      <c r="A1718" s="16"/>
      <c r="C1718" s="11"/>
    </row>
    <row r="1719" spans="1:3" x14ac:dyDescent="0.25">
      <c r="A1719" s="16"/>
      <c r="C1719" s="11"/>
    </row>
    <row r="1720" spans="1:3" x14ac:dyDescent="0.25">
      <c r="A1720" s="16"/>
      <c r="C1720" s="11"/>
    </row>
    <row r="1721" spans="1:3" x14ac:dyDescent="0.25">
      <c r="A1721" s="16"/>
      <c r="C1721" s="11"/>
    </row>
    <row r="1722" spans="1:3" x14ac:dyDescent="0.25">
      <c r="A1722" s="16"/>
      <c r="C1722" s="11"/>
    </row>
    <row r="1723" spans="1:3" x14ac:dyDescent="0.25">
      <c r="A1723" s="16"/>
      <c r="C1723" s="11"/>
    </row>
    <row r="1724" spans="1:3" x14ac:dyDescent="0.25">
      <c r="A1724" s="16"/>
      <c r="C1724" s="11"/>
    </row>
    <row r="1725" spans="1:3" x14ac:dyDescent="0.25">
      <c r="A1725" s="16"/>
      <c r="C1725" s="11"/>
    </row>
    <row r="1726" spans="1:3" x14ac:dyDescent="0.25">
      <c r="A1726" s="16"/>
      <c r="C1726" s="11"/>
    </row>
    <row r="1727" spans="1:3" x14ac:dyDescent="0.25">
      <c r="A1727" s="16"/>
      <c r="C1727" s="11"/>
    </row>
    <row r="1728" spans="1:3" x14ac:dyDescent="0.25">
      <c r="A1728" s="16"/>
      <c r="C1728" s="11"/>
    </row>
    <row r="1729" spans="1:3" x14ac:dyDescent="0.25">
      <c r="A1729" s="16"/>
      <c r="C1729" s="11"/>
    </row>
    <row r="1730" spans="1:3" x14ac:dyDescent="0.25">
      <c r="A1730" s="16"/>
      <c r="C1730" s="11"/>
    </row>
    <row r="1731" spans="1:3" x14ac:dyDescent="0.25">
      <c r="A1731" s="16"/>
      <c r="C1731" s="11"/>
    </row>
    <row r="1732" spans="1:3" x14ac:dyDescent="0.25">
      <c r="A1732" s="16"/>
      <c r="C1732" s="11"/>
    </row>
    <row r="1733" spans="1:3" x14ac:dyDescent="0.25">
      <c r="A1733" s="16"/>
      <c r="C1733" s="11"/>
    </row>
    <row r="1734" spans="1:3" x14ac:dyDescent="0.25">
      <c r="A1734" s="16"/>
      <c r="C1734" s="11"/>
    </row>
    <row r="1735" spans="1:3" x14ac:dyDescent="0.25">
      <c r="A1735" s="16"/>
      <c r="C1735" s="11"/>
    </row>
    <row r="1736" spans="1:3" x14ac:dyDescent="0.25">
      <c r="A1736" s="16"/>
      <c r="C1736" s="11"/>
    </row>
    <row r="1737" spans="1:3" x14ac:dyDescent="0.25">
      <c r="A1737" s="16"/>
      <c r="C1737" s="11"/>
    </row>
    <row r="1738" spans="1:3" x14ac:dyDescent="0.25">
      <c r="A1738" s="16"/>
      <c r="C1738" s="11"/>
    </row>
    <row r="1739" spans="1:3" x14ac:dyDescent="0.25">
      <c r="A1739" s="16"/>
      <c r="C1739" s="11"/>
    </row>
    <row r="1740" spans="1:3" x14ac:dyDescent="0.25">
      <c r="A1740" s="16"/>
      <c r="C1740" s="11"/>
    </row>
    <row r="1741" spans="1:3" x14ac:dyDescent="0.25">
      <c r="A1741" s="16"/>
      <c r="C1741" s="11"/>
    </row>
    <row r="1742" spans="1:3" x14ac:dyDescent="0.25">
      <c r="A1742" s="16"/>
      <c r="C1742" s="11"/>
    </row>
    <row r="1743" spans="1:3" x14ac:dyDescent="0.25">
      <c r="A1743" s="16"/>
      <c r="C1743" s="11"/>
    </row>
    <row r="1744" spans="1:3" x14ac:dyDescent="0.25">
      <c r="A1744" s="16"/>
      <c r="C1744" s="11"/>
    </row>
    <row r="1745" spans="1:3" x14ac:dyDescent="0.25">
      <c r="A1745" s="16"/>
      <c r="C1745" s="11"/>
    </row>
    <row r="1746" spans="1:3" x14ac:dyDescent="0.25">
      <c r="A1746" s="16"/>
      <c r="C1746" s="11"/>
    </row>
    <row r="1747" spans="1:3" x14ac:dyDescent="0.25">
      <c r="A1747" s="16"/>
      <c r="C1747" s="11"/>
    </row>
    <row r="1748" spans="1:3" x14ac:dyDescent="0.25">
      <c r="A1748" s="16"/>
      <c r="C1748" s="11"/>
    </row>
    <row r="1749" spans="1:3" x14ac:dyDescent="0.25">
      <c r="A1749" s="16"/>
      <c r="C1749" s="11"/>
    </row>
    <row r="1750" spans="1:3" x14ac:dyDescent="0.25">
      <c r="A1750" s="16"/>
      <c r="C1750" s="11"/>
    </row>
    <row r="1751" spans="1:3" x14ac:dyDescent="0.25">
      <c r="A1751" s="16"/>
      <c r="C1751" s="11"/>
    </row>
    <row r="1752" spans="1:3" x14ac:dyDescent="0.25">
      <c r="A1752" s="16"/>
      <c r="C1752" s="11"/>
    </row>
    <row r="1753" spans="1:3" x14ac:dyDescent="0.25">
      <c r="A1753" s="16"/>
      <c r="C1753" s="11"/>
    </row>
    <row r="1754" spans="1:3" x14ac:dyDescent="0.25">
      <c r="A1754" s="16"/>
      <c r="C1754" s="11"/>
    </row>
    <row r="1755" spans="1:3" x14ac:dyDescent="0.25">
      <c r="A1755" s="16"/>
      <c r="C1755" s="11"/>
    </row>
    <row r="1756" spans="1:3" x14ac:dyDescent="0.25">
      <c r="A1756" s="16"/>
      <c r="C1756" s="11"/>
    </row>
    <row r="1757" spans="1:3" x14ac:dyDescent="0.25">
      <c r="A1757" s="16"/>
      <c r="C1757" s="11"/>
    </row>
    <row r="1758" spans="1:3" x14ac:dyDescent="0.25">
      <c r="A1758" s="16"/>
      <c r="C1758" s="11"/>
    </row>
    <row r="1759" spans="1:3" x14ac:dyDescent="0.25">
      <c r="A1759" s="16"/>
      <c r="C1759" s="11"/>
    </row>
    <row r="1760" spans="1:3" x14ac:dyDescent="0.25">
      <c r="A1760" s="16"/>
      <c r="C1760" s="11"/>
    </row>
    <row r="1761" spans="1:3" x14ac:dyDescent="0.25">
      <c r="A1761" s="16"/>
      <c r="C1761" s="11"/>
    </row>
    <row r="1762" spans="1:3" x14ac:dyDescent="0.25">
      <c r="A1762" s="16"/>
      <c r="C1762" s="11"/>
    </row>
    <row r="1763" spans="1:3" x14ac:dyDescent="0.25">
      <c r="A1763" s="16"/>
      <c r="C1763" s="11"/>
    </row>
    <row r="1764" spans="1:3" x14ac:dyDescent="0.25">
      <c r="A1764" s="16"/>
      <c r="C1764" s="11"/>
    </row>
    <row r="1765" spans="1:3" x14ac:dyDescent="0.25">
      <c r="A1765" s="16"/>
      <c r="C1765" s="11"/>
    </row>
    <row r="1766" spans="1:3" x14ac:dyDescent="0.25">
      <c r="A1766" s="16"/>
      <c r="C1766" s="11"/>
    </row>
    <row r="1767" spans="1:3" x14ac:dyDescent="0.25">
      <c r="A1767" s="16"/>
      <c r="C1767" s="11"/>
    </row>
    <row r="1768" spans="1:3" x14ac:dyDescent="0.25">
      <c r="A1768" s="16"/>
      <c r="C1768" s="11"/>
    </row>
    <row r="1769" spans="1:3" x14ac:dyDescent="0.25">
      <c r="A1769" s="16"/>
      <c r="C1769" s="11"/>
    </row>
    <row r="1770" spans="1:3" x14ac:dyDescent="0.25">
      <c r="A1770" s="16"/>
      <c r="C1770" s="11"/>
    </row>
    <row r="1771" spans="1:3" x14ac:dyDescent="0.25">
      <c r="A1771" s="16"/>
      <c r="C1771" s="11"/>
    </row>
    <row r="1772" spans="1:3" x14ac:dyDescent="0.25">
      <c r="A1772" s="16"/>
      <c r="C1772" s="11"/>
    </row>
    <row r="1773" spans="1:3" x14ac:dyDescent="0.25">
      <c r="A1773" s="16"/>
      <c r="C1773" s="11"/>
    </row>
    <row r="1774" spans="1:3" x14ac:dyDescent="0.25">
      <c r="A1774" s="16"/>
      <c r="C1774" s="11"/>
    </row>
    <row r="1775" spans="1:3" x14ac:dyDescent="0.25">
      <c r="A1775" s="16"/>
      <c r="C1775" s="11"/>
    </row>
    <row r="1776" spans="1:3" x14ac:dyDescent="0.25">
      <c r="A1776" s="16"/>
      <c r="C1776" s="11"/>
    </row>
    <row r="1777" spans="1:3" x14ac:dyDescent="0.25">
      <c r="A1777" s="16"/>
      <c r="C1777" s="11"/>
    </row>
    <row r="1778" spans="1:3" x14ac:dyDescent="0.25">
      <c r="A1778" s="16"/>
      <c r="C1778" s="11"/>
    </row>
    <row r="1779" spans="1:3" x14ac:dyDescent="0.25">
      <c r="A1779" s="16"/>
      <c r="C1779" s="11"/>
    </row>
    <row r="1780" spans="1:3" x14ac:dyDescent="0.25">
      <c r="A1780" s="16"/>
      <c r="C1780" s="11"/>
    </row>
    <row r="1781" spans="1:3" x14ac:dyDescent="0.25">
      <c r="A1781" s="16"/>
      <c r="C1781" s="11"/>
    </row>
    <row r="1782" spans="1:3" x14ac:dyDescent="0.25">
      <c r="A1782" s="16"/>
      <c r="C1782" s="11"/>
    </row>
    <row r="1783" spans="1:3" x14ac:dyDescent="0.25">
      <c r="A1783" s="16"/>
      <c r="C1783" s="11"/>
    </row>
    <row r="1784" spans="1:3" x14ac:dyDescent="0.25">
      <c r="A1784" s="16"/>
      <c r="C1784" s="11"/>
    </row>
    <row r="1785" spans="1:3" x14ac:dyDescent="0.25">
      <c r="A1785" s="16"/>
      <c r="C1785" s="11"/>
    </row>
    <row r="1786" spans="1:3" x14ac:dyDescent="0.25">
      <c r="A1786" s="16"/>
      <c r="C1786" s="11"/>
    </row>
    <row r="1787" spans="1:3" x14ac:dyDescent="0.25">
      <c r="A1787" s="16"/>
      <c r="C1787" s="11"/>
    </row>
    <row r="1788" spans="1:3" x14ac:dyDescent="0.25">
      <c r="A1788" s="16"/>
      <c r="C1788" s="11"/>
    </row>
    <row r="1789" spans="1:3" x14ac:dyDescent="0.25">
      <c r="A1789" s="16"/>
      <c r="C1789" s="11"/>
    </row>
    <row r="1790" spans="1:3" x14ac:dyDescent="0.25">
      <c r="A1790" s="16"/>
      <c r="C1790" s="11"/>
    </row>
    <row r="1791" spans="1:3" x14ac:dyDescent="0.25">
      <c r="A1791" s="16"/>
      <c r="C1791" s="11"/>
    </row>
    <row r="1792" spans="1:3" x14ac:dyDescent="0.25">
      <c r="A1792" s="16"/>
      <c r="C1792" s="11"/>
    </row>
    <row r="1793" spans="1:3" x14ac:dyDescent="0.25">
      <c r="A1793" s="16"/>
      <c r="C1793" s="11"/>
    </row>
    <row r="1794" spans="1:3" x14ac:dyDescent="0.25">
      <c r="A1794" s="16"/>
      <c r="C1794" s="11"/>
    </row>
    <row r="1795" spans="1:3" x14ac:dyDescent="0.25">
      <c r="A1795" s="16"/>
      <c r="C1795" s="11"/>
    </row>
    <row r="1796" spans="1:3" x14ac:dyDescent="0.25">
      <c r="A1796" s="16"/>
      <c r="C1796" s="11"/>
    </row>
    <row r="1797" spans="1:3" x14ac:dyDescent="0.25">
      <c r="A1797" s="16"/>
      <c r="C1797" s="11"/>
    </row>
    <row r="1798" spans="1:3" x14ac:dyDescent="0.25">
      <c r="A1798" s="16"/>
      <c r="C1798" s="11"/>
    </row>
    <row r="1799" spans="1:3" x14ac:dyDescent="0.25">
      <c r="A1799" s="16"/>
      <c r="C1799" s="11"/>
    </row>
    <row r="1800" spans="1:3" x14ac:dyDescent="0.25">
      <c r="A1800" s="16"/>
      <c r="C1800" s="11"/>
    </row>
    <row r="1801" spans="1:3" x14ac:dyDescent="0.25">
      <c r="A1801" s="16"/>
      <c r="C1801" s="11"/>
    </row>
    <row r="1802" spans="1:3" x14ac:dyDescent="0.25">
      <c r="A1802" s="16"/>
      <c r="C1802" s="11"/>
    </row>
    <row r="1803" spans="1:3" x14ac:dyDescent="0.25">
      <c r="A1803" s="16"/>
      <c r="C1803" s="11"/>
    </row>
    <row r="1804" spans="1:3" x14ac:dyDescent="0.25">
      <c r="A1804" s="16"/>
      <c r="C1804" s="11"/>
    </row>
    <row r="1805" spans="1:3" x14ac:dyDescent="0.25">
      <c r="A1805" s="16"/>
      <c r="C1805" s="11"/>
    </row>
    <row r="1806" spans="1:3" x14ac:dyDescent="0.25">
      <c r="A1806" s="16"/>
      <c r="C1806" s="11"/>
    </row>
    <row r="1807" spans="1:3" x14ac:dyDescent="0.25">
      <c r="A1807" s="16"/>
      <c r="C1807" s="11"/>
    </row>
    <row r="1808" spans="1:3" x14ac:dyDescent="0.25">
      <c r="A1808" s="16"/>
      <c r="C1808" s="11"/>
    </row>
    <row r="1809" spans="1:3" x14ac:dyDescent="0.25">
      <c r="A1809" s="16"/>
      <c r="C1809" s="11"/>
    </row>
    <row r="1810" spans="1:3" x14ac:dyDescent="0.25">
      <c r="A1810" s="16"/>
      <c r="C1810" s="11"/>
    </row>
    <row r="1811" spans="1:3" x14ac:dyDescent="0.25">
      <c r="A1811" s="16"/>
      <c r="C1811" s="11"/>
    </row>
    <row r="1812" spans="1:3" x14ac:dyDescent="0.25">
      <c r="A1812" s="16"/>
      <c r="C1812" s="11"/>
    </row>
    <row r="1813" spans="1:3" x14ac:dyDescent="0.25">
      <c r="A1813" s="16"/>
      <c r="C1813" s="11"/>
    </row>
    <row r="1814" spans="1:3" x14ac:dyDescent="0.25">
      <c r="A1814" s="16"/>
      <c r="C1814" s="11"/>
    </row>
    <row r="1815" spans="1:3" x14ac:dyDescent="0.25">
      <c r="A1815" s="16"/>
      <c r="C1815" s="11"/>
    </row>
    <row r="1816" spans="1:3" x14ac:dyDescent="0.25">
      <c r="A1816" s="16"/>
      <c r="C1816" s="11"/>
    </row>
    <row r="1817" spans="1:3" x14ac:dyDescent="0.25">
      <c r="A1817" s="16"/>
      <c r="C1817" s="11"/>
    </row>
    <row r="1818" spans="1:3" x14ac:dyDescent="0.25">
      <c r="A1818" s="16"/>
      <c r="C1818" s="11"/>
    </row>
    <row r="1819" spans="1:3" x14ac:dyDescent="0.25">
      <c r="A1819" s="16"/>
      <c r="C1819" s="11"/>
    </row>
    <row r="1820" spans="1:3" x14ac:dyDescent="0.25">
      <c r="A1820" s="16"/>
      <c r="C1820" s="11"/>
    </row>
    <row r="1821" spans="1:3" x14ac:dyDescent="0.25">
      <c r="A1821" s="16"/>
      <c r="C1821" s="11"/>
    </row>
    <row r="1822" spans="1:3" x14ac:dyDescent="0.25">
      <c r="A1822" s="16"/>
      <c r="C1822" s="11"/>
    </row>
    <row r="1823" spans="1:3" x14ac:dyDescent="0.25">
      <c r="A1823" s="16"/>
      <c r="C1823" s="11"/>
    </row>
    <row r="1824" spans="1:3" x14ac:dyDescent="0.25">
      <c r="A1824" s="16"/>
      <c r="C1824" s="11"/>
    </row>
    <row r="1825" spans="1:3" x14ac:dyDescent="0.25">
      <c r="A1825" s="16"/>
      <c r="C1825" s="11"/>
    </row>
    <row r="1826" spans="1:3" x14ac:dyDescent="0.25">
      <c r="A1826" s="16"/>
      <c r="C1826" s="11"/>
    </row>
    <row r="1827" spans="1:3" x14ac:dyDescent="0.25">
      <c r="A1827" s="16"/>
      <c r="C1827" s="11"/>
    </row>
    <row r="1828" spans="1:3" x14ac:dyDescent="0.25">
      <c r="A1828" s="16"/>
      <c r="C1828" s="11"/>
    </row>
    <row r="1829" spans="1:3" x14ac:dyDescent="0.25">
      <c r="A1829" s="16"/>
      <c r="C1829" s="11"/>
    </row>
    <row r="1830" spans="1:3" x14ac:dyDescent="0.25">
      <c r="A1830" s="16"/>
      <c r="C1830" s="11"/>
    </row>
    <row r="1831" spans="1:3" x14ac:dyDescent="0.25">
      <c r="A1831" s="16"/>
      <c r="C1831" s="11"/>
    </row>
    <row r="1832" spans="1:3" x14ac:dyDescent="0.25">
      <c r="A1832" s="16"/>
      <c r="C1832" s="11"/>
    </row>
    <row r="1833" spans="1:3" x14ac:dyDescent="0.25">
      <c r="A1833" s="16"/>
      <c r="C1833" s="11"/>
    </row>
    <row r="1834" spans="1:3" x14ac:dyDescent="0.25">
      <c r="A1834" s="16"/>
      <c r="C1834" s="11"/>
    </row>
    <row r="1835" spans="1:3" x14ac:dyDescent="0.25">
      <c r="A1835" s="16"/>
      <c r="C1835" s="11"/>
    </row>
    <row r="1836" spans="1:3" x14ac:dyDescent="0.25">
      <c r="A1836" s="16"/>
      <c r="C1836" s="11"/>
    </row>
    <row r="1837" spans="1:3" x14ac:dyDescent="0.25">
      <c r="A1837" s="16"/>
      <c r="C1837" s="11"/>
    </row>
    <row r="1838" spans="1:3" x14ac:dyDescent="0.25">
      <c r="A1838" s="16"/>
      <c r="C1838" s="11"/>
    </row>
    <row r="1839" spans="1:3" x14ac:dyDescent="0.25">
      <c r="A1839" s="16"/>
      <c r="C1839" s="11"/>
    </row>
    <row r="1840" spans="1:3" x14ac:dyDescent="0.25">
      <c r="A1840" s="16"/>
      <c r="C1840" s="11"/>
    </row>
    <row r="1841" spans="1:3" x14ac:dyDescent="0.25">
      <c r="A1841" s="16"/>
      <c r="C1841" s="11"/>
    </row>
    <row r="1842" spans="1:3" x14ac:dyDescent="0.25">
      <c r="A1842" s="16"/>
      <c r="C1842" s="11"/>
    </row>
    <row r="1843" spans="1:3" x14ac:dyDescent="0.25">
      <c r="A1843" s="16"/>
      <c r="C1843" s="11"/>
    </row>
    <row r="1844" spans="1:3" x14ac:dyDescent="0.25">
      <c r="A1844" s="16"/>
      <c r="C1844" s="11"/>
    </row>
    <row r="1845" spans="1:3" x14ac:dyDescent="0.25">
      <c r="A1845" s="16"/>
      <c r="C1845" s="11"/>
    </row>
    <row r="1846" spans="1:3" x14ac:dyDescent="0.25">
      <c r="A1846" s="16"/>
      <c r="C1846" s="11"/>
    </row>
    <row r="1847" spans="1:3" x14ac:dyDescent="0.25">
      <c r="A1847" s="16"/>
      <c r="C1847" s="11"/>
    </row>
    <row r="1848" spans="1:3" x14ac:dyDescent="0.25">
      <c r="A1848" s="16"/>
      <c r="C1848" s="11"/>
    </row>
    <row r="1849" spans="1:3" x14ac:dyDescent="0.25">
      <c r="A1849" s="16"/>
      <c r="C1849" s="11"/>
    </row>
    <row r="1850" spans="1:3" x14ac:dyDescent="0.25">
      <c r="A1850" s="16"/>
      <c r="C1850" s="11"/>
    </row>
    <row r="1851" spans="1:3" x14ac:dyDescent="0.25">
      <c r="A1851" s="16"/>
      <c r="C1851" s="11"/>
    </row>
    <row r="1852" spans="1:3" x14ac:dyDescent="0.25">
      <c r="A1852" s="16"/>
      <c r="C1852" s="11"/>
    </row>
    <row r="1853" spans="1:3" x14ac:dyDescent="0.25">
      <c r="A1853" s="16"/>
      <c r="C1853" s="11"/>
    </row>
    <row r="1854" spans="1:3" x14ac:dyDescent="0.25">
      <c r="A1854" s="16"/>
      <c r="C1854" s="11"/>
    </row>
    <row r="1855" spans="1:3" x14ac:dyDescent="0.25">
      <c r="A1855" s="16"/>
      <c r="C1855" s="11"/>
    </row>
    <row r="1856" spans="1:3" x14ac:dyDescent="0.25">
      <c r="A1856" s="16"/>
      <c r="C1856" s="11"/>
    </row>
    <row r="1857" spans="1:3" x14ac:dyDescent="0.25">
      <c r="A1857" s="16"/>
      <c r="C1857" s="11"/>
    </row>
    <row r="1858" spans="1:3" x14ac:dyDescent="0.25">
      <c r="A1858" s="16"/>
      <c r="C1858" s="11"/>
    </row>
    <row r="1859" spans="1:3" x14ac:dyDescent="0.25">
      <c r="A1859" s="16"/>
      <c r="C1859" s="11"/>
    </row>
    <row r="1860" spans="1:3" x14ac:dyDescent="0.25">
      <c r="A1860" s="16"/>
      <c r="C1860" s="11"/>
    </row>
    <row r="1861" spans="1:3" x14ac:dyDescent="0.25">
      <c r="A1861" s="16"/>
      <c r="C1861" s="11"/>
    </row>
    <row r="1862" spans="1:3" x14ac:dyDescent="0.25">
      <c r="A1862" s="16"/>
      <c r="C1862" s="11"/>
    </row>
    <row r="1863" spans="1:3" x14ac:dyDescent="0.25">
      <c r="A1863" s="16"/>
      <c r="C1863" s="11"/>
    </row>
    <row r="1864" spans="1:3" x14ac:dyDescent="0.25">
      <c r="A1864" s="16"/>
      <c r="C1864" s="11"/>
    </row>
    <row r="1865" spans="1:3" x14ac:dyDescent="0.25">
      <c r="A1865" s="16"/>
      <c r="C1865" s="11"/>
    </row>
    <row r="1866" spans="1:3" x14ac:dyDescent="0.25">
      <c r="A1866" s="16"/>
      <c r="C1866" s="11"/>
    </row>
    <row r="1867" spans="1:3" x14ac:dyDescent="0.25">
      <c r="A1867" s="16"/>
      <c r="C1867" s="11"/>
    </row>
    <row r="1868" spans="1:3" x14ac:dyDescent="0.25">
      <c r="A1868" s="16"/>
      <c r="C1868" s="11"/>
    </row>
    <row r="1869" spans="1:3" x14ac:dyDescent="0.25">
      <c r="A1869" s="16"/>
      <c r="C1869" s="11"/>
    </row>
    <row r="1870" spans="1:3" x14ac:dyDescent="0.25">
      <c r="A1870" s="16"/>
      <c r="C1870" s="11"/>
    </row>
    <row r="1871" spans="1:3" x14ac:dyDescent="0.25">
      <c r="A1871" s="16"/>
      <c r="C1871" s="11"/>
    </row>
    <row r="1872" spans="1:3" x14ac:dyDescent="0.25">
      <c r="A1872" s="16"/>
      <c r="C1872" s="11"/>
    </row>
    <row r="1873" spans="1:3" x14ac:dyDescent="0.25">
      <c r="A1873" s="16"/>
      <c r="C1873" s="11"/>
    </row>
    <row r="1874" spans="1:3" x14ac:dyDescent="0.25">
      <c r="A1874" s="16"/>
      <c r="C1874" s="11"/>
    </row>
    <row r="1875" spans="1:3" x14ac:dyDescent="0.25">
      <c r="A1875" s="16"/>
      <c r="C1875" s="11"/>
    </row>
    <row r="1876" spans="1:3" x14ac:dyDescent="0.25">
      <c r="A1876" s="16"/>
      <c r="C1876" s="11"/>
    </row>
    <row r="1877" spans="1:3" x14ac:dyDescent="0.25">
      <c r="A1877" s="16"/>
      <c r="C1877" s="11"/>
    </row>
    <row r="1878" spans="1:3" x14ac:dyDescent="0.25">
      <c r="A1878" s="16"/>
      <c r="C1878" s="11"/>
    </row>
    <row r="1879" spans="1:3" x14ac:dyDescent="0.25">
      <c r="A1879" s="16"/>
      <c r="C1879" s="11"/>
    </row>
    <row r="1880" spans="1:3" x14ac:dyDescent="0.25">
      <c r="A1880" s="16"/>
      <c r="C1880" s="11"/>
    </row>
    <row r="1881" spans="1:3" x14ac:dyDescent="0.25">
      <c r="A1881" s="16"/>
      <c r="C1881" s="11"/>
    </row>
    <row r="1882" spans="1:3" x14ac:dyDescent="0.25">
      <c r="A1882" s="16"/>
      <c r="C1882" s="11"/>
    </row>
    <row r="1883" spans="1:3" x14ac:dyDescent="0.25">
      <c r="A1883" s="16"/>
      <c r="C1883" s="11"/>
    </row>
    <row r="1884" spans="1:3" x14ac:dyDescent="0.25">
      <c r="A1884" s="16"/>
      <c r="C1884" s="11"/>
    </row>
    <row r="1885" spans="1:3" x14ac:dyDescent="0.25">
      <c r="A1885" s="16"/>
      <c r="C1885" s="11"/>
    </row>
    <row r="1886" spans="1:3" x14ac:dyDescent="0.25">
      <c r="A1886" s="16"/>
      <c r="C1886" s="11"/>
    </row>
    <row r="1887" spans="1:3" x14ac:dyDescent="0.25">
      <c r="A1887" s="16"/>
      <c r="C1887" s="11"/>
    </row>
    <row r="1888" spans="1:3" x14ac:dyDescent="0.25">
      <c r="A1888" s="16"/>
      <c r="C1888" s="11"/>
    </row>
    <row r="1889" spans="1:3" x14ac:dyDescent="0.25">
      <c r="A1889" s="16"/>
      <c r="C1889" s="11"/>
    </row>
    <row r="1890" spans="1:3" x14ac:dyDescent="0.25">
      <c r="A1890" s="16"/>
      <c r="C1890" s="11"/>
    </row>
    <row r="1891" spans="1:3" x14ac:dyDescent="0.25">
      <c r="A1891" s="16"/>
      <c r="C1891" s="11"/>
    </row>
    <row r="1892" spans="1:3" x14ac:dyDescent="0.25">
      <c r="A1892" s="16"/>
      <c r="C1892" s="11"/>
    </row>
    <row r="1893" spans="1:3" x14ac:dyDescent="0.25">
      <c r="A1893" s="16"/>
      <c r="C1893" s="11"/>
    </row>
    <row r="1894" spans="1:3" x14ac:dyDescent="0.25">
      <c r="A1894" s="16"/>
      <c r="C1894" s="11"/>
    </row>
    <row r="1895" spans="1:3" x14ac:dyDescent="0.25">
      <c r="A1895" s="16"/>
      <c r="C1895" s="11"/>
    </row>
    <row r="1896" spans="1:3" x14ac:dyDescent="0.25">
      <c r="A1896" s="16"/>
      <c r="C1896" s="11"/>
    </row>
    <row r="1897" spans="1:3" x14ac:dyDescent="0.25">
      <c r="A1897" s="16"/>
      <c r="C1897" s="11"/>
    </row>
    <row r="1898" spans="1:3" x14ac:dyDescent="0.25">
      <c r="A1898" s="16"/>
      <c r="C1898" s="11"/>
    </row>
    <row r="1899" spans="1:3" x14ac:dyDescent="0.25">
      <c r="A1899" s="16"/>
      <c r="C1899" s="11"/>
    </row>
    <row r="1900" spans="1:3" x14ac:dyDescent="0.25">
      <c r="A1900" s="16"/>
      <c r="C1900" s="11"/>
    </row>
    <row r="1901" spans="1:3" x14ac:dyDescent="0.25">
      <c r="A1901" s="16"/>
      <c r="C1901" s="11"/>
    </row>
    <row r="1902" spans="1:3" x14ac:dyDescent="0.25">
      <c r="A1902" s="16"/>
      <c r="C1902" s="11"/>
    </row>
    <row r="1903" spans="1:3" x14ac:dyDescent="0.25">
      <c r="A1903" s="16"/>
      <c r="C1903" s="11"/>
    </row>
    <row r="1904" spans="1:3" x14ac:dyDescent="0.25">
      <c r="A1904" s="16"/>
      <c r="C1904" s="11"/>
    </row>
    <row r="1905" spans="1:3" x14ac:dyDescent="0.25">
      <c r="A1905" s="16"/>
      <c r="C1905" s="11"/>
    </row>
    <row r="1906" spans="1:3" x14ac:dyDescent="0.25">
      <c r="A1906" s="16"/>
      <c r="C1906" s="11"/>
    </row>
    <row r="1907" spans="1:3" x14ac:dyDescent="0.25">
      <c r="A1907" s="16"/>
      <c r="C1907" s="11"/>
    </row>
    <row r="1908" spans="1:3" x14ac:dyDescent="0.25">
      <c r="A1908" s="16"/>
      <c r="C1908" s="11"/>
    </row>
    <row r="1909" spans="1:3" x14ac:dyDescent="0.25">
      <c r="A1909" s="16"/>
      <c r="C1909" s="11"/>
    </row>
    <row r="1910" spans="1:3" x14ac:dyDescent="0.25">
      <c r="A1910" s="16"/>
      <c r="C1910" s="11"/>
    </row>
    <row r="1911" spans="1:3" x14ac:dyDescent="0.25">
      <c r="A1911" s="16"/>
      <c r="C1911" s="11"/>
    </row>
    <row r="1912" spans="1:3" x14ac:dyDescent="0.25">
      <c r="A1912" s="16"/>
      <c r="C1912" s="11"/>
    </row>
    <row r="1913" spans="1:3" x14ac:dyDescent="0.25">
      <c r="A1913" s="16"/>
      <c r="C1913" s="11"/>
    </row>
    <row r="1914" spans="1:3" x14ac:dyDescent="0.25">
      <c r="A1914" s="16"/>
      <c r="C1914" s="11"/>
    </row>
    <row r="1915" spans="1:3" x14ac:dyDescent="0.25">
      <c r="A1915" s="16"/>
      <c r="C1915" s="11"/>
    </row>
    <row r="1916" spans="1:3" x14ac:dyDescent="0.25">
      <c r="A1916" s="16"/>
      <c r="C1916" s="11"/>
    </row>
    <row r="1917" spans="1:3" x14ac:dyDescent="0.25">
      <c r="A1917" s="16"/>
      <c r="C1917" s="11"/>
    </row>
    <row r="1918" spans="1:3" x14ac:dyDescent="0.25">
      <c r="A1918" s="16"/>
      <c r="C1918" s="11"/>
    </row>
    <row r="1919" spans="1:3" x14ac:dyDescent="0.25">
      <c r="A1919" s="16"/>
      <c r="C1919" s="11"/>
    </row>
    <row r="1920" spans="1:3" x14ac:dyDescent="0.25">
      <c r="A1920" s="16"/>
      <c r="C1920" s="11"/>
    </row>
    <row r="1921" spans="1:3" x14ac:dyDescent="0.25">
      <c r="A1921" s="16"/>
      <c r="C1921" s="11"/>
    </row>
    <row r="1922" spans="1:3" x14ac:dyDescent="0.25">
      <c r="A1922" s="16"/>
      <c r="C1922" s="11"/>
    </row>
    <row r="1923" spans="1:3" x14ac:dyDescent="0.25">
      <c r="A1923" s="16"/>
      <c r="C1923" s="11"/>
    </row>
    <row r="1924" spans="1:3" x14ac:dyDescent="0.25">
      <c r="A1924" s="16"/>
      <c r="C1924" s="11"/>
    </row>
    <row r="1925" spans="1:3" x14ac:dyDescent="0.25">
      <c r="A1925" s="16"/>
      <c r="C1925" s="11"/>
    </row>
    <row r="1926" spans="1:3" x14ac:dyDescent="0.25">
      <c r="A1926" s="16"/>
      <c r="C1926" s="11"/>
    </row>
    <row r="1927" spans="1:3" x14ac:dyDescent="0.25">
      <c r="A1927" s="16"/>
      <c r="C1927" s="11"/>
    </row>
    <row r="1928" spans="1:3" x14ac:dyDescent="0.25">
      <c r="A1928" s="16"/>
      <c r="C1928" s="11"/>
    </row>
    <row r="1929" spans="1:3" x14ac:dyDescent="0.25">
      <c r="A1929" s="16"/>
      <c r="C1929" s="11"/>
    </row>
    <row r="1930" spans="1:3" x14ac:dyDescent="0.25">
      <c r="A1930" s="16"/>
      <c r="C1930" s="11"/>
    </row>
    <row r="1931" spans="1:3" x14ac:dyDescent="0.25">
      <c r="A1931" s="16"/>
      <c r="C1931" s="11"/>
    </row>
    <row r="1932" spans="1:3" x14ac:dyDescent="0.25">
      <c r="A1932" s="16"/>
      <c r="C1932" s="11"/>
    </row>
    <row r="1933" spans="1:3" x14ac:dyDescent="0.25">
      <c r="A1933" s="16"/>
      <c r="C1933" s="11"/>
    </row>
    <row r="1934" spans="1:3" x14ac:dyDescent="0.25">
      <c r="A1934" s="16"/>
      <c r="C1934" s="11"/>
    </row>
    <row r="1935" spans="1:3" x14ac:dyDescent="0.25">
      <c r="A1935" s="16"/>
      <c r="C1935" s="11"/>
    </row>
    <row r="1936" spans="1:3" x14ac:dyDescent="0.25">
      <c r="A1936" s="16"/>
      <c r="C1936" s="11"/>
    </row>
    <row r="1937" spans="1:3" x14ac:dyDescent="0.25">
      <c r="A1937" s="16"/>
      <c r="C1937" s="11"/>
    </row>
    <row r="1938" spans="1:3" x14ac:dyDescent="0.25">
      <c r="A1938" s="16"/>
      <c r="C1938" s="11"/>
    </row>
    <row r="1939" spans="1:3" x14ac:dyDescent="0.25">
      <c r="A1939" s="16"/>
      <c r="C1939" s="11"/>
    </row>
    <row r="1940" spans="1:3" x14ac:dyDescent="0.25">
      <c r="A1940" s="16"/>
      <c r="C1940" s="11"/>
    </row>
    <row r="1941" spans="1:3" x14ac:dyDescent="0.25">
      <c r="A1941" s="16"/>
      <c r="C1941" s="11"/>
    </row>
    <row r="1942" spans="1:3" x14ac:dyDescent="0.25">
      <c r="A1942" s="16"/>
      <c r="C1942" s="11"/>
    </row>
    <row r="1943" spans="1:3" x14ac:dyDescent="0.25">
      <c r="A1943" s="16"/>
      <c r="C1943" s="11"/>
    </row>
    <row r="1944" spans="1:3" x14ac:dyDescent="0.25">
      <c r="A1944" s="16"/>
      <c r="C1944" s="11"/>
    </row>
    <row r="1945" spans="1:3" x14ac:dyDescent="0.25">
      <c r="A1945" s="16"/>
      <c r="C1945" s="11"/>
    </row>
    <row r="1946" spans="1:3" x14ac:dyDescent="0.25">
      <c r="A1946" s="16"/>
      <c r="C1946" s="11"/>
    </row>
    <row r="1947" spans="1:3" x14ac:dyDescent="0.25">
      <c r="A1947" s="16"/>
      <c r="C1947" s="11"/>
    </row>
    <row r="1948" spans="1:3" x14ac:dyDescent="0.25">
      <c r="A1948" s="16"/>
      <c r="C1948" s="11"/>
    </row>
    <row r="1949" spans="1:3" x14ac:dyDescent="0.25">
      <c r="A1949" s="16"/>
      <c r="C1949" s="11"/>
    </row>
    <row r="1950" spans="1:3" x14ac:dyDescent="0.25">
      <c r="A1950" s="16"/>
      <c r="C1950" s="11"/>
    </row>
    <row r="1951" spans="1:3" x14ac:dyDescent="0.25">
      <c r="A1951" s="16"/>
      <c r="C1951" s="11"/>
    </row>
    <row r="1952" spans="1:3" x14ac:dyDescent="0.25">
      <c r="A1952" s="16"/>
      <c r="C1952" s="11"/>
    </row>
    <row r="1953" spans="1:3" x14ac:dyDescent="0.25">
      <c r="A1953" s="16"/>
      <c r="C1953" s="11"/>
    </row>
    <row r="1954" spans="1:3" x14ac:dyDescent="0.25">
      <c r="A1954" s="16"/>
      <c r="C1954" s="11"/>
    </row>
    <row r="1955" spans="1:3" x14ac:dyDescent="0.25">
      <c r="A1955" s="16"/>
      <c r="C1955" s="11"/>
    </row>
    <row r="1956" spans="1:3" x14ac:dyDescent="0.25">
      <c r="A1956" s="16"/>
      <c r="C1956" s="11"/>
    </row>
    <row r="1957" spans="1:3" x14ac:dyDescent="0.25">
      <c r="A1957" s="16"/>
      <c r="C1957" s="11"/>
    </row>
    <row r="1958" spans="1:3" x14ac:dyDescent="0.25">
      <c r="A1958" s="16"/>
      <c r="C1958" s="11"/>
    </row>
    <row r="1959" spans="1:3" x14ac:dyDescent="0.25">
      <c r="A1959" s="16"/>
      <c r="C1959" s="11"/>
    </row>
    <row r="1960" spans="1:3" x14ac:dyDescent="0.25">
      <c r="A1960" s="16"/>
      <c r="C1960" s="11"/>
    </row>
    <row r="1961" spans="1:3" x14ac:dyDescent="0.25">
      <c r="A1961" s="16"/>
      <c r="C1961" s="11"/>
    </row>
    <row r="1962" spans="1:3" x14ac:dyDescent="0.25">
      <c r="A1962" s="16"/>
      <c r="C1962" s="11"/>
    </row>
    <row r="1963" spans="1:3" x14ac:dyDescent="0.25">
      <c r="A1963" s="16"/>
      <c r="C1963" s="11"/>
    </row>
    <row r="1964" spans="1:3" x14ac:dyDescent="0.25">
      <c r="A1964" s="16"/>
      <c r="C1964" s="11"/>
    </row>
    <row r="1965" spans="1:3" x14ac:dyDescent="0.25">
      <c r="A1965" s="16"/>
      <c r="C1965" s="11"/>
    </row>
    <row r="1966" spans="1:3" x14ac:dyDescent="0.25">
      <c r="A1966" s="16"/>
      <c r="C1966" s="11"/>
    </row>
    <row r="1967" spans="1:3" x14ac:dyDescent="0.25">
      <c r="A1967" s="16"/>
      <c r="C1967" s="11"/>
    </row>
    <row r="1968" spans="1:3" x14ac:dyDescent="0.25">
      <c r="A1968" s="16"/>
      <c r="C1968" s="11"/>
    </row>
    <row r="1969" spans="1:3" x14ac:dyDescent="0.25">
      <c r="A1969" s="16"/>
      <c r="C1969" s="11"/>
    </row>
    <row r="1970" spans="1:3" x14ac:dyDescent="0.25">
      <c r="A1970" s="16"/>
      <c r="C1970" s="11"/>
    </row>
    <row r="1971" spans="1:3" x14ac:dyDescent="0.25">
      <c r="A1971" s="16"/>
      <c r="C1971" s="11"/>
    </row>
    <row r="1972" spans="1:3" x14ac:dyDescent="0.25">
      <c r="A1972" s="16"/>
      <c r="C1972" s="11"/>
    </row>
    <row r="1973" spans="1:3" x14ac:dyDescent="0.25">
      <c r="A1973" s="16"/>
      <c r="C1973" s="11"/>
    </row>
    <row r="1974" spans="1:3" x14ac:dyDescent="0.25">
      <c r="A1974" s="16"/>
      <c r="C1974" s="11"/>
    </row>
    <row r="1975" spans="1:3" x14ac:dyDescent="0.25">
      <c r="A1975" s="16"/>
      <c r="C1975" s="11"/>
    </row>
    <row r="1976" spans="1:3" x14ac:dyDescent="0.25">
      <c r="A1976" s="16"/>
      <c r="C1976" s="11"/>
    </row>
    <row r="1977" spans="1:3" x14ac:dyDescent="0.25">
      <c r="A1977" s="16"/>
      <c r="C1977" s="11"/>
    </row>
    <row r="1978" spans="1:3" x14ac:dyDescent="0.25">
      <c r="A1978" s="16"/>
      <c r="C1978" s="11"/>
    </row>
    <row r="1979" spans="1:3" x14ac:dyDescent="0.25">
      <c r="A1979" s="16"/>
      <c r="C1979" s="11"/>
    </row>
    <row r="1980" spans="1:3" x14ac:dyDescent="0.25">
      <c r="A1980" s="16"/>
      <c r="C1980" s="11"/>
    </row>
    <row r="1981" spans="1:3" x14ac:dyDescent="0.25">
      <c r="A1981" s="16"/>
      <c r="C1981" s="11"/>
    </row>
    <row r="1982" spans="1:3" x14ac:dyDescent="0.25">
      <c r="A1982" s="16"/>
      <c r="C1982" s="11"/>
    </row>
    <row r="1983" spans="1:3" x14ac:dyDescent="0.25">
      <c r="A1983" s="16"/>
      <c r="C1983" s="11"/>
    </row>
    <row r="1984" spans="1:3" x14ac:dyDescent="0.25">
      <c r="A1984" s="16"/>
      <c r="C1984" s="11"/>
    </row>
    <row r="1985" spans="1:3" x14ac:dyDescent="0.25">
      <c r="A1985" s="16"/>
      <c r="C1985" s="11"/>
    </row>
    <row r="1986" spans="1:3" x14ac:dyDescent="0.25">
      <c r="A1986" s="16"/>
      <c r="C1986" s="11"/>
    </row>
    <row r="1987" spans="1:3" x14ac:dyDescent="0.25">
      <c r="A1987" s="16"/>
      <c r="C1987" s="11"/>
    </row>
    <row r="1988" spans="1:3" x14ac:dyDescent="0.25">
      <c r="A1988" s="16"/>
      <c r="C1988" s="11"/>
    </row>
    <row r="1989" spans="1:3" x14ac:dyDescent="0.25">
      <c r="A1989" s="16"/>
      <c r="C1989" s="11"/>
    </row>
    <row r="1990" spans="1:3" x14ac:dyDescent="0.25">
      <c r="A1990" s="16"/>
      <c r="C1990" s="11"/>
    </row>
    <row r="1991" spans="1:3" x14ac:dyDescent="0.25">
      <c r="A1991" s="16"/>
      <c r="C1991" s="11"/>
    </row>
    <row r="1992" spans="1:3" x14ac:dyDescent="0.25">
      <c r="A1992" s="16"/>
      <c r="C1992" s="11"/>
    </row>
    <row r="1993" spans="1:3" x14ac:dyDescent="0.25">
      <c r="A1993" s="16"/>
      <c r="C1993" s="11"/>
    </row>
    <row r="1994" spans="1:3" x14ac:dyDescent="0.25">
      <c r="A1994" s="16"/>
      <c r="C1994" s="11"/>
    </row>
    <row r="1995" spans="1:3" x14ac:dyDescent="0.25">
      <c r="A1995" s="16"/>
      <c r="C1995" s="11"/>
    </row>
    <row r="1996" spans="1:3" x14ac:dyDescent="0.25">
      <c r="A1996" s="16"/>
      <c r="C1996" s="11"/>
    </row>
    <row r="1997" spans="1:3" x14ac:dyDescent="0.25">
      <c r="A1997" s="16"/>
      <c r="C1997" s="11"/>
    </row>
    <row r="1998" spans="1:3" x14ac:dyDescent="0.25">
      <c r="A1998" s="16"/>
      <c r="C1998" s="11"/>
    </row>
    <row r="1999" spans="1:3" x14ac:dyDescent="0.25">
      <c r="A1999" s="16"/>
      <c r="C1999" s="11"/>
    </row>
    <row r="2000" spans="1:3" x14ac:dyDescent="0.25">
      <c r="A2000" s="16"/>
      <c r="C2000" s="11"/>
    </row>
    <row r="2001" spans="1:3" x14ac:dyDescent="0.25">
      <c r="A2001" s="16"/>
      <c r="C2001" s="11"/>
    </row>
    <row r="2002" spans="1:3" x14ac:dyDescent="0.25">
      <c r="A2002" s="16"/>
      <c r="C2002" s="11"/>
    </row>
    <row r="2003" spans="1:3" x14ac:dyDescent="0.25">
      <c r="A2003" s="16"/>
      <c r="C2003" s="11"/>
    </row>
    <row r="2004" spans="1:3" x14ac:dyDescent="0.25">
      <c r="A2004" s="16"/>
      <c r="C2004" s="11"/>
    </row>
    <row r="2005" spans="1:3" x14ac:dyDescent="0.25">
      <c r="A2005" s="16"/>
      <c r="C2005" s="11"/>
    </row>
    <row r="2006" spans="1:3" x14ac:dyDescent="0.25">
      <c r="A2006" s="16"/>
      <c r="C2006" s="11"/>
    </row>
    <row r="2007" spans="1:3" x14ac:dyDescent="0.25">
      <c r="A2007" s="16"/>
      <c r="C2007" s="11"/>
    </row>
    <row r="2008" spans="1:3" x14ac:dyDescent="0.25">
      <c r="A2008" s="16"/>
      <c r="C2008" s="11"/>
    </row>
    <row r="2009" spans="1:3" x14ac:dyDescent="0.25">
      <c r="A2009" s="16"/>
      <c r="C2009" s="11"/>
    </row>
    <row r="2010" spans="1:3" x14ac:dyDescent="0.25">
      <c r="A2010" s="16"/>
      <c r="C2010" s="11"/>
    </row>
    <row r="2011" spans="1:3" x14ac:dyDescent="0.25">
      <c r="A2011" s="16"/>
      <c r="C2011" s="11"/>
    </row>
    <row r="2012" spans="1:3" x14ac:dyDescent="0.25">
      <c r="A2012" s="16"/>
      <c r="C2012" s="11"/>
    </row>
    <row r="2013" spans="1:3" x14ac:dyDescent="0.25">
      <c r="A2013" s="16"/>
      <c r="C2013" s="11"/>
    </row>
    <row r="2014" spans="1:3" x14ac:dyDescent="0.25">
      <c r="A2014" s="16"/>
      <c r="C2014" s="11"/>
    </row>
    <row r="2015" spans="1:3" x14ac:dyDescent="0.25">
      <c r="A2015" s="16"/>
      <c r="C2015" s="11"/>
    </row>
    <row r="2016" spans="1:3" x14ac:dyDescent="0.25">
      <c r="A2016" s="16"/>
      <c r="C2016" s="11"/>
    </row>
    <row r="2017" spans="1:3" x14ac:dyDescent="0.25">
      <c r="A2017" s="16"/>
      <c r="C2017" s="11"/>
    </row>
    <row r="2018" spans="1:3" x14ac:dyDescent="0.25">
      <c r="A2018" s="16"/>
      <c r="C2018" s="11"/>
    </row>
    <row r="2019" spans="1:3" x14ac:dyDescent="0.25">
      <c r="A2019" s="16"/>
      <c r="C2019" s="11"/>
    </row>
    <row r="2020" spans="1:3" x14ac:dyDescent="0.25">
      <c r="A2020" s="16"/>
      <c r="C2020" s="11"/>
    </row>
    <row r="2021" spans="1:3" x14ac:dyDescent="0.25">
      <c r="A2021" s="16"/>
      <c r="C2021" s="11"/>
    </row>
    <row r="2022" spans="1:3" x14ac:dyDescent="0.25">
      <c r="A2022" s="16"/>
      <c r="C2022" s="11"/>
    </row>
    <row r="2023" spans="1:3" x14ac:dyDescent="0.25">
      <c r="A2023" s="16"/>
      <c r="C2023" s="11"/>
    </row>
    <row r="2024" spans="1:3" x14ac:dyDescent="0.25">
      <c r="A2024" s="16"/>
      <c r="C2024" s="11"/>
    </row>
    <row r="2025" spans="1:3" x14ac:dyDescent="0.25">
      <c r="A2025" s="16"/>
      <c r="C2025" s="11"/>
    </row>
    <row r="2026" spans="1:3" x14ac:dyDescent="0.25">
      <c r="A2026" s="16"/>
      <c r="C2026" s="11"/>
    </row>
    <row r="2027" spans="1:3" x14ac:dyDescent="0.25">
      <c r="A2027" s="16"/>
      <c r="C2027" s="11"/>
    </row>
    <row r="2028" spans="1:3" x14ac:dyDescent="0.25">
      <c r="A2028" s="16"/>
      <c r="C2028" s="11"/>
    </row>
    <row r="2029" spans="1:3" x14ac:dyDescent="0.25">
      <c r="A2029" s="16"/>
      <c r="C2029" s="11"/>
    </row>
    <row r="2030" spans="1:3" x14ac:dyDescent="0.25">
      <c r="A2030" s="16"/>
      <c r="C2030" s="11"/>
    </row>
    <row r="2031" spans="1:3" x14ac:dyDescent="0.25">
      <c r="A2031" s="16"/>
      <c r="C2031" s="11"/>
    </row>
    <row r="2032" spans="1:3" x14ac:dyDescent="0.25">
      <c r="A2032" s="16"/>
      <c r="C2032" s="11"/>
    </row>
    <row r="2033" spans="1:3" x14ac:dyDescent="0.25">
      <c r="A2033" s="16"/>
      <c r="C2033" s="11"/>
    </row>
    <row r="2034" spans="1:3" x14ac:dyDescent="0.25">
      <c r="A2034" s="16"/>
      <c r="C2034" s="11"/>
    </row>
    <row r="2035" spans="1:3" x14ac:dyDescent="0.25">
      <c r="A2035" s="16"/>
      <c r="C2035" s="11"/>
    </row>
    <row r="2036" spans="1:3" x14ac:dyDescent="0.25">
      <c r="A2036" s="16"/>
      <c r="C2036" s="11"/>
    </row>
    <row r="2037" spans="1:3" x14ac:dyDescent="0.25">
      <c r="A2037" s="16"/>
      <c r="C2037" s="11"/>
    </row>
    <row r="2038" spans="1:3" x14ac:dyDescent="0.25">
      <c r="A2038" s="16"/>
      <c r="C2038" s="11"/>
    </row>
    <row r="2039" spans="1:3" x14ac:dyDescent="0.25">
      <c r="A2039" s="16"/>
      <c r="C2039" s="11"/>
    </row>
    <row r="2040" spans="1:3" x14ac:dyDescent="0.25">
      <c r="A2040" s="16"/>
      <c r="C2040" s="11"/>
    </row>
    <row r="2041" spans="1:3" x14ac:dyDescent="0.25">
      <c r="A2041" s="16"/>
      <c r="C2041" s="11"/>
    </row>
    <row r="2042" spans="1:3" x14ac:dyDescent="0.25">
      <c r="A2042" s="16"/>
      <c r="C2042" s="11"/>
    </row>
    <row r="2043" spans="1:3" x14ac:dyDescent="0.25">
      <c r="A2043" s="16"/>
      <c r="C2043" s="11"/>
    </row>
    <row r="2044" spans="1:3" x14ac:dyDescent="0.25">
      <c r="A2044" s="16"/>
      <c r="C2044" s="11"/>
    </row>
    <row r="2045" spans="1:3" x14ac:dyDescent="0.25">
      <c r="A2045" s="16"/>
      <c r="C2045" s="11"/>
    </row>
    <row r="2046" spans="1:3" x14ac:dyDescent="0.25">
      <c r="A2046" s="16"/>
      <c r="C2046" s="11"/>
    </row>
    <row r="2047" spans="1:3" x14ac:dyDescent="0.25">
      <c r="A2047" s="16"/>
      <c r="C2047" s="11"/>
    </row>
    <row r="2048" spans="1:3" x14ac:dyDescent="0.25">
      <c r="A2048" s="16"/>
      <c r="C2048" s="11"/>
    </row>
    <row r="2049" spans="1:3" x14ac:dyDescent="0.25">
      <c r="A2049" s="16"/>
      <c r="C2049" s="11"/>
    </row>
    <row r="2050" spans="1:3" x14ac:dyDescent="0.25">
      <c r="A2050" s="16"/>
      <c r="C2050" s="11"/>
    </row>
    <row r="2051" spans="1:3" x14ac:dyDescent="0.25">
      <c r="A2051" s="16"/>
      <c r="C2051" s="11"/>
    </row>
    <row r="2052" spans="1:3" x14ac:dyDescent="0.25">
      <c r="A2052" s="16"/>
      <c r="C2052" s="11"/>
    </row>
    <row r="2053" spans="1:3" x14ac:dyDescent="0.25">
      <c r="A2053" s="16"/>
      <c r="C2053" s="11"/>
    </row>
    <row r="2054" spans="1:3" x14ac:dyDescent="0.25">
      <c r="A2054" s="16"/>
      <c r="C2054" s="11"/>
    </row>
    <row r="2055" spans="1:3" x14ac:dyDescent="0.25">
      <c r="A2055" s="16"/>
      <c r="C2055" s="11"/>
    </row>
    <row r="2056" spans="1:3" x14ac:dyDescent="0.25">
      <c r="A2056" s="16"/>
      <c r="C2056" s="11"/>
    </row>
    <row r="2057" spans="1:3" x14ac:dyDescent="0.25">
      <c r="A2057" s="16"/>
      <c r="C2057" s="11"/>
    </row>
    <row r="2058" spans="1:3" x14ac:dyDescent="0.25">
      <c r="A2058" s="16"/>
      <c r="C2058" s="11"/>
    </row>
    <row r="2059" spans="1:3" x14ac:dyDescent="0.25">
      <c r="A2059" s="16"/>
      <c r="C2059" s="11"/>
    </row>
    <row r="2060" spans="1:3" x14ac:dyDescent="0.25">
      <c r="A2060" s="16"/>
      <c r="C2060" s="11"/>
    </row>
    <row r="2061" spans="1:3" x14ac:dyDescent="0.25">
      <c r="A2061" s="16"/>
      <c r="C2061" s="11"/>
    </row>
    <row r="2062" spans="1:3" x14ac:dyDescent="0.25">
      <c r="A2062" s="16"/>
      <c r="C2062" s="11"/>
    </row>
    <row r="2063" spans="1:3" x14ac:dyDescent="0.25">
      <c r="A2063" s="16"/>
      <c r="C2063" s="11"/>
    </row>
    <row r="2064" spans="1:3" x14ac:dyDescent="0.25">
      <c r="A2064" s="16"/>
      <c r="C2064" s="11"/>
    </row>
    <row r="2065" spans="1:3" x14ac:dyDescent="0.25">
      <c r="A2065" s="16"/>
      <c r="C2065" s="11"/>
    </row>
    <row r="2066" spans="1:3" x14ac:dyDescent="0.25">
      <c r="A2066" s="16"/>
      <c r="C2066" s="11"/>
    </row>
    <row r="2067" spans="1:3" x14ac:dyDescent="0.25">
      <c r="A2067" s="16"/>
      <c r="C2067" s="11"/>
    </row>
    <row r="2068" spans="1:3" x14ac:dyDescent="0.25">
      <c r="A2068" s="16"/>
      <c r="C2068" s="11"/>
    </row>
    <row r="2069" spans="1:3" x14ac:dyDescent="0.25">
      <c r="A2069" s="16"/>
      <c r="C2069" s="11"/>
    </row>
    <row r="2070" spans="1:3" x14ac:dyDescent="0.25">
      <c r="A2070" s="16"/>
      <c r="C2070" s="11"/>
    </row>
    <row r="2071" spans="1:3" x14ac:dyDescent="0.25">
      <c r="A2071" s="16"/>
      <c r="C2071" s="11"/>
    </row>
    <row r="2072" spans="1:3" x14ac:dyDescent="0.25">
      <c r="A2072" s="16"/>
      <c r="C2072" s="11"/>
    </row>
    <row r="2073" spans="1:3" x14ac:dyDescent="0.25">
      <c r="A2073" s="16"/>
      <c r="C2073" s="11"/>
    </row>
    <row r="2074" spans="1:3" x14ac:dyDescent="0.25">
      <c r="A2074" s="16"/>
      <c r="C2074" s="11"/>
    </row>
    <row r="2075" spans="1:3" x14ac:dyDescent="0.25">
      <c r="A2075" s="16"/>
      <c r="C2075" s="11"/>
    </row>
    <row r="2076" spans="1:3" x14ac:dyDescent="0.25">
      <c r="A2076" s="16"/>
      <c r="C2076" s="11"/>
    </row>
    <row r="2077" spans="1:3" x14ac:dyDescent="0.25">
      <c r="A2077" s="16"/>
      <c r="C2077" s="11"/>
    </row>
    <row r="2078" spans="1:3" x14ac:dyDescent="0.25">
      <c r="A2078" s="16"/>
      <c r="C2078" s="11"/>
    </row>
    <row r="2079" spans="1:3" x14ac:dyDescent="0.25">
      <c r="A2079" s="16"/>
      <c r="C2079" s="11"/>
    </row>
    <row r="2080" spans="1:3" x14ac:dyDescent="0.25">
      <c r="A2080" s="16"/>
      <c r="C2080" s="11"/>
    </row>
    <row r="2081" spans="1:3" x14ac:dyDescent="0.25">
      <c r="A2081" s="16"/>
      <c r="C2081" s="11"/>
    </row>
    <row r="2082" spans="1:3" x14ac:dyDescent="0.25">
      <c r="A2082" s="16"/>
      <c r="C2082" s="11"/>
    </row>
    <row r="2083" spans="1:3" x14ac:dyDescent="0.25">
      <c r="A2083" s="16"/>
      <c r="C2083" s="11"/>
    </row>
    <row r="2084" spans="1:3" x14ac:dyDescent="0.25">
      <c r="A2084" s="16"/>
      <c r="C2084" s="11"/>
    </row>
    <row r="2085" spans="1:3" x14ac:dyDescent="0.25">
      <c r="A2085" s="16"/>
      <c r="C2085" s="11"/>
    </row>
    <row r="2086" spans="1:3" x14ac:dyDescent="0.25">
      <c r="A2086" s="16"/>
      <c r="C2086" s="11"/>
    </row>
    <row r="2087" spans="1:3" x14ac:dyDescent="0.25">
      <c r="A2087" s="16"/>
      <c r="C2087" s="11"/>
    </row>
    <row r="2088" spans="1:3" x14ac:dyDescent="0.25">
      <c r="A2088" s="16"/>
      <c r="C2088" s="11"/>
    </row>
    <row r="2089" spans="1:3" x14ac:dyDescent="0.25">
      <c r="A2089" s="16"/>
      <c r="C2089" s="11"/>
    </row>
    <row r="2090" spans="1:3" x14ac:dyDescent="0.25">
      <c r="A2090" s="16"/>
      <c r="C2090" s="11"/>
    </row>
    <row r="2091" spans="1:3" x14ac:dyDescent="0.25">
      <c r="A2091" s="16"/>
      <c r="C2091" s="11"/>
    </row>
    <row r="2092" spans="1:3" x14ac:dyDescent="0.25">
      <c r="A2092" s="16"/>
      <c r="C2092" s="11"/>
    </row>
    <row r="2093" spans="1:3" x14ac:dyDescent="0.25">
      <c r="A2093" s="16"/>
      <c r="C2093" s="11"/>
    </row>
    <row r="2094" spans="1:3" x14ac:dyDescent="0.25">
      <c r="A2094" s="16"/>
      <c r="C2094" s="11"/>
    </row>
    <row r="2095" spans="1:3" x14ac:dyDescent="0.25">
      <c r="A2095" s="16"/>
      <c r="C2095" s="11"/>
    </row>
    <row r="2096" spans="1:3" x14ac:dyDescent="0.25">
      <c r="A2096" s="16"/>
      <c r="C2096" s="11"/>
    </row>
    <row r="2097" spans="1:3" x14ac:dyDescent="0.25">
      <c r="A2097" s="16"/>
      <c r="C2097" s="11"/>
    </row>
    <row r="2098" spans="1:3" x14ac:dyDescent="0.25">
      <c r="A2098" s="16"/>
      <c r="C2098" s="11"/>
    </row>
    <row r="2099" spans="1:3" x14ac:dyDescent="0.25">
      <c r="A2099" s="16"/>
      <c r="C2099" s="11"/>
    </row>
    <row r="2100" spans="1:3" x14ac:dyDescent="0.25">
      <c r="A2100" s="16"/>
      <c r="C2100" s="11"/>
    </row>
    <row r="2101" spans="1:3" x14ac:dyDescent="0.25">
      <c r="A2101" s="16"/>
      <c r="C2101" s="11"/>
    </row>
    <row r="2102" spans="1:3" x14ac:dyDescent="0.25">
      <c r="A2102" s="16"/>
      <c r="C2102" s="11"/>
    </row>
    <row r="2103" spans="1:3" x14ac:dyDescent="0.25">
      <c r="A2103" s="16"/>
      <c r="C2103" s="11"/>
    </row>
    <row r="2104" spans="1:3" x14ac:dyDescent="0.25">
      <c r="A2104" s="16"/>
      <c r="C2104" s="11"/>
    </row>
    <row r="2105" spans="1:3" x14ac:dyDescent="0.25">
      <c r="A2105" s="16"/>
      <c r="C2105" s="11"/>
    </row>
    <row r="2106" spans="1:3" x14ac:dyDescent="0.25">
      <c r="A2106" s="16"/>
      <c r="C2106" s="11"/>
    </row>
    <row r="2107" spans="1:3" x14ac:dyDescent="0.25">
      <c r="A2107" s="16"/>
      <c r="C2107" s="11"/>
    </row>
    <row r="2108" spans="1:3" x14ac:dyDescent="0.25">
      <c r="A2108" s="16"/>
      <c r="C2108" s="11"/>
    </row>
    <row r="2109" spans="1:3" x14ac:dyDescent="0.25">
      <c r="A2109" s="16"/>
      <c r="C2109" s="11"/>
    </row>
    <row r="2110" spans="1:3" x14ac:dyDescent="0.25">
      <c r="A2110" s="16"/>
      <c r="C2110" s="11"/>
    </row>
    <row r="2111" spans="1:3" x14ac:dyDescent="0.25">
      <c r="A2111" s="16"/>
      <c r="C2111" s="11"/>
    </row>
    <row r="2112" spans="1:3" x14ac:dyDescent="0.25">
      <c r="A2112" s="16"/>
      <c r="C2112" s="11"/>
    </row>
    <row r="2113" spans="1:3" x14ac:dyDescent="0.25">
      <c r="A2113" s="16"/>
      <c r="C2113" s="11"/>
    </row>
    <row r="2114" spans="1:3" x14ac:dyDescent="0.25">
      <c r="A2114" s="16"/>
      <c r="C2114" s="11"/>
    </row>
    <row r="2115" spans="1:3" x14ac:dyDescent="0.25">
      <c r="A2115" s="16"/>
      <c r="C2115" s="11"/>
    </row>
    <row r="2116" spans="1:3" x14ac:dyDescent="0.25">
      <c r="A2116" s="16"/>
      <c r="C2116" s="11"/>
    </row>
    <row r="2117" spans="1:3" x14ac:dyDescent="0.25">
      <c r="A2117" s="16"/>
      <c r="C2117" s="11"/>
    </row>
    <row r="2118" spans="1:3" x14ac:dyDescent="0.25">
      <c r="A2118" s="16"/>
      <c r="C2118" s="11"/>
    </row>
    <row r="2119" spans="1:3" x14ac:dyDescent="0.25">
      <c r="A2119" s="16"/>
      <c r="C2119" s="11"/>
    </row>
    <row r="2120" spans="1:3" x14ac:dyDescent="0.25">
      <c r="A2120" s="16"/>
      <c r="C2120" s="11"/>
    </row>
    <row r="2121" spans="1:3" x14ac:dyDescent="0.25">
      <c r="A2121" s="16"/>
      <c r="C2121" s="11"/>
    </row>
    <row r="2122" spans="1:3" x14ac:dyDescent="0.25">
      <c r="A2122" s="16"/>
      <c r="C2122" s="11"/>
    </row>
    <row r="2123" spans="1:3" x14ac:dyDescent="0.25">
      <c r="A2123" s="16"/>
      <c r="C2123" s="11"/>
    </row>
    <row r="2124" spans="1:3" x14ac:dyDescent="0.25">
      <c r="A2124" s="16"/>
      <c r="C2124" s="11"/>
    </row>
    <row r="2125" spans="1:3" x14ac:dyDescent="0.25">
      <c r="A2125" s="16"/>
      <c r="C2125" s="11"/>
    </row>
    <row r="2126" spans="1:3" x14ac:dyDescent="0.25">
      <c r="A2126" s="16"/>
      <c r="C2126" s="11"/>
    </row>
    <row r="2127" spans="1:3" x14ac:dyDescent="0.25">
      <c r="A2127" s="16"/>
      <c r="C2127" s="11"/>
    </row>
    <row r="2128" spans="1:3" x14ac:dyDescent="0.25">
      <c r="A2128" s="16"/>
      <c r="C2128" s="11"/>
    </row>
    <row r="2129" spans="1:3" x14ac:dyDescent="0.25">
      <c r="A2129" s="16"/>
      <c r="C2129" s="11"/>
    </row>
    <row r="2130" spans="1:3" x14ac:dyDescent="0.25">
      <c r="A2130" s="16"/>
      <c r="C2130" s="11"/>
    </row>
    <row r="2131" spans="1:3" x14ac:dyDescent="0.25">
      <c r="A2131" s="16"/>
      <c r="C2131" s="11"/>
    </row>
    <row r="2132" spans="1:3" x14ac:dyDescent="0.25">
      <c r="A2132" s="16"/>
      <c r="C2132" s="11"/>
    </row>
    <row r="2133" spans="1:3" x14ac:dyDescent="0.25">
      <c r="A2133" s="16"/>
      <c r="C2133" s="11"/>
    </row>
    <row r="2134" spans="1:3" x14ac:dyDescent="0.25">
      <c r="A2134" s="16"/>
      <c r="C2134" s="11"/>
    </row>
    <row r="2135" spans="1:3" x14ac:dyDescent="0.25">
      <c r="A2135" s="16"/>
      <c r="C2135" s="11"/>
    </row>
    <row r="2136" spans="1:3" x14ac:dyDescent="0.25">
      <c r="A2136" s="16"/>
      <c r="C2136" s="11"/>
    </row>
    <row r="2137" spans="1:3" x14ac:dyDescent="0.25">
      <c r="A2137" s="16"/>
      <c r="C2137" s="11"/>
    </row>
    <row r="2138" spans="1:3" x14ac:dyDescent="0.25">
      <c r="A2138" s="16"/>
      <c r="C2138" s="11"/>
    </row>
    <row r="2139" spans="1:3" x14ac:dyDescent="0.25">
      <c r="A2139" s="16"/>
      <c r="C2139" s="11"/>
    </row>
    <row r="2140" spans="1:3" x14ac:dyDescent="0.25">
      <c r="A2140" s="16"/>
      <c r="C2140" s="11"/>
    </row>
    <row r="2141" spans="1:3" x14ac:dyDescent="0.25">
      <c r="A2141" s="16"/>
      <c r="C2141" s="11"/>
    </row>
    <row r="2142" spans="1:3" x14ac:dyDescent="0.25">
      <c r="A2142" s="16"/>
      <c r="C2142" s="11"/>
    </row>
    <row r="2143" spans="1:3" x14ac:dyDescent="0.25">
      <c r="A2143" s="16"/>
      <c r="C2143" s="11"/>
    </row>
    <row r="2144" spans="1:3" x14ac:dyDescent="0.25">
      <c r="A2144" s="16"/>
      <c r="C2144" s="11"/>
    </row>
    <row r="2145" spans="1:3" x14ac:dyDescent="0.25">
      <c r="A2145" s="16"/>
      <c r="C2145" s="11"/>
    </row>
    <row r="2146" spans="1:3" x14ac:dyDescent="0.25">
      <c r="A2146" s="16"/>
      <c r="C2146" s="11"/>
    </row>
    <row r="2147" spans="1:3" x14ac:dyDescent="0.25">
      <c r="A2147" s="16"/>
      <c r="C2147" s="11"/>
    </row>
    <row r="2148" spans="1:3" x14ac:dyDescent="0.25">
      <c r="A2148" s="16"/>
      <c r="C2148" s="11"/>
    </row>
    <row r="2149" spans="1:3" x14ac:dyDescent="0.25">
      <c r="A2149" s="16"/>
      <c r="C2149" s="11"/>
    </row>
    <row r="2150" spans="1:3" x14ac:dyDescent="0.25">
      <c r="A2150" s="16"/>
      <c r="C2150" s="11"/>
    </row>
    <row r="2151" spans="1:3" x14ac:dyDescent="0.25">
      <c r="A2151" s="16"/>
      <c r="C2151" s="11"/>
    </row>
    <row r="2152" spans="1:3" x14ac:dyDescent="0.25">
      <c r="A2152" s="16"/>
      <c r="C2152" s="11"/>
    </row>
    <row r="2153" spans="1:3" x14ac:dyDescent="0.25">
      <c r="A2153" s="16"/>
      <c r="C2153" s="11"/>
    </row>
    <row r="2154" spans="1:3" x14ac:dyDescent="0.25">
      <c r="A2154" s="16"/>
      <c r="C2154" s="11"/>
    </row>
    <row r="2155" spans="1:3" x14ac:dyDescent="0.25">
      <c r="A2155" s="16"/>
      <c r="C2155" s="11"/>
    </row>
    <row r="2156" spans="1:3" x14ac:dyDescent="0.25">
      <c r="A2156" s="16"/>
      <c r="C2156" s="11"/>
    </row>
    <row r="2157" spans="1:3" x14ac:dyDescent="0.25">
      <c r="A2157" s="16"/>
      <c r="C2157" s="11"/>
    </row>
    <row r="2158" spans="1:3" x14ac:dyDescent="0.25">
      <c r="A2158" s="16"/>
      <c r="C2158" s="11"/>
    </row>
    <row r="2159" spans="1:3" x14ac:dyDescent="0.25">
      <c r="A2159" s="16"/>
      <c r="C2159" s="11"/>
    </row>
    <row r="2160" spans="1:3" x14ac:dyDescent="0.25">
      <c r="A2160" s="16"/>
      <c r="C2160" s="11"/>
    </row>
    <row r="2161" spans="1:3" x14ac:dyDescent="0.25">
      <c r="A2161" s="16"/>
      <c r="C2161" s="11"/>
    </row>
    <row r="2162" spans="1:3" x14ac:dyDescent="0.25">
      <c r="A2162" s="16"/>
      <c r="C2162" s="11"/>
    </row>
    <row r="2163" spans="1:3" x14ac:dyDescent="0.25">
      <c r="A2163" s="16"/>
      <c r="C2163" s="11"/>
    </row>
    <row r="2164" spans="1:3" x14ac:dyDescent="0.25">
      <c r="A2164" s="16"/>
      <c r="C2164" s="11"/>
    </row>
    <row r="2165" spans="1:3" x14ac:dyDescent="0.25">
      <c r="A2165" s="16"/>
      <c r="C2165" s="11"/>
    </row>
    <row r="2166" spans="1:3" x14ac:dyDescent="0.25">
      <c r="A2166" s="16"/>
      <c r="C2166" s="11"/>
    </row>
    <row r="2167" spans="1:3" x14ac:dyDescent="0.25">
      <c r="A2167" s="16"/>
      <c r="C2167" s="11"/>
    </row>
    <row r="2168" spans="1:3" x14ac:dyDescent="0.25">
      <c r="A2168" s="16"/>
      <c r="C2168" s="11"/>
    </row>
    <row r="2169" spans="1:3" x14ac:dyDescent="0.25">
      <c r="A2169" s="16"/>
      <c r="C2169" s="11"/>
    </row>
    <row r="2170" spans="1:3" x14ac:dyDescent="0.25">
      <c r="A2170" s="16"/>
      <c r="C2170" s="11"/>
    </row>
    <row r="2171" spans="1:3" x14ac:dyDescent="0.25">
      <c r="A2171" s="16"/>
      <c r="C2171" s="11"/>
    </row>
    <row r="2172" spans="1:3" x14ac:dyDescent="0.25">
      <c r="A2172" s="16"/>
      <c r="C2172" s="11"/>
    </row>
    <row r="2173" spans="1:3" x14ac:dyDescent="0.25">
      <c r="A2173" s="16"/>
      <c r="C2173" s="11"/>
    </row>
    <row r="2174" spans="1:3" x14ac:dyDescent="0.25">
      <c r="A2174" s="16"/>
      <c r="C2174" s="11"/>
    </row>
    <row r="2175" spans="1:3" x14ac:dyDescent="0.25">
      <c r="A2175" s="16"/>
      <c r="C2175" s="11"/>
    </row>
    <row r="2176" spans="1:3" x14ac:dyDescent="0.25">
      <c r="A2176" s="16"/>
      <c r="C2176" s="11"/>
    </row>
    <row r="2177" spans="1:3" x14ac:dyDescent="0.25">
      <c r="A2177" s="16"/>
      <c r="C2177" s="11"/>
    </row>
    <row r="2178" spans="1:3" x14ac:dyDescent="0.25">
      <c r="A2178" s="16"/>
      <c r="C2178" s="11"/>
    </row>
    <row r="2179" spans="1:3" x14ac:dyDescent="0.25">
      <c r="A2179" s="16"/>
      <c r="C2179" s="11"/>
    </row>
    <row r="2180" spans="1:3" x14ac:dyDescent="0.25">
      <c r="A2180" s="16"/>
      <c r="C2180" s="11"/>
    </row>
    <row r="2181" spans="1:3" x14ac:dyDescent="0.25">
      <c r="A2181" s="16"/>
      <c r="C2181" s="11"/>
    </row>
    <row r="2182" spans="1:3" x14ac:dyDescent="0.25">
      <c r="A2182" s="16"/>
      <c r="C2182" s="11"/>
    </row>
    <row r="2183" spans="1:3" x14ac:dyDescent="0.25">
      <c r="A2183" s="16"/>
      <c r="C2183" s="11"/>
    </row>
    <row r="2184" spans="1:3" x14ac:dyDescent="0.25">
      <c r="A2184" s="16"/>
      <c r="C2184" s="11"/>
    </row>
    <row r="2185" spans="1:3" x14ac:dyDescent="0.25">
      <c r="A2185" s="16"/>
      <c r="C2185" s="11"/>
    </row>
    <row r="2186" spans="1:3" x14ac:dyDescent="0.25">
      <c r="A2186" s="16"/>
      <c r="C2186" s="11"/>
    </row>
    <row r="2187" spans="1:3" x14ac:dyDescent="0.25">
      <c r="A2187" s="16"/>
      <c r="C2187" s="11"/>
    </row>
    <row r="2188" spans="1:3" x14ac:dyDescent="0.25">
      <c r="A2188" s="16"/>
      <c r="C2188" s="11"/>
    </row>
    <row r="2189" spans="1:3" x14ac:dyDescent="0.25">
      <c r="A2189" s="16"/>
      <c r="C2189" s="11"/>
    </row>
    <row r="2190" spans="1:3" x14ac:dyDescent="0.25">
      <c r="A2190" s="16"/>
      <c r="C2190" s="11"/>
    </row>
    <row r="2191" spans="1:3" x14ac:dyDescent="0.25">
      <c r="A2191" s="16"/>
      <c r="C2191" s="11"/>
    </row>
    <row r="2192" spans="1:3" x14ac:dyDescent="0.25">
      <c r="A2192" s="16"/>
      <c r="C2192" s="11"/>
    </row>
    <row r="2193" spans="1:3" x14ac:dyDescent="0.25">
      <c r="A2193" s="16"/>
      <c r="C2193" s="11"/>
    </row>
    <row r="2194" spans="1:3" x14ac:dyDescent="0.25">
      <c r="A2194" s="16"/>
      <c r="C2194" s="11"/>
    </row>
    <row r="2195" spans="1:3" x14ac:dyDescent="0.25">
      <c r="A2195" s="16"/>
      <c r="C2195" s="11"/>
    </row>
    <row r="2196" spans="1:3" x14ac:dyDescent="0.25">
      <c r="A2196" s="16"/>
      <c r="C2196" s="11"/>
    </row>
    <row r="2197" spans="1:3" x14ac:dyDescent="0.25">
      <c r="A2197" s="16"/>
      <c r="C2197" s="11"/>
    </row>
    <row r="2198" spans="1:3" x14ac:dyDescent="0.25">
      <c r="A2198" s="16"/>
      <c r="C2198" s="11"/>
    </row>
    <row r="2199" spans="1:3" x14ac:dyDescent="0.25">
      <c r="A2199" s="16"/>
      <c r="C2199" s="11"/>
    </row>
    <row r="2200" spans="1:3" x14ac:dyDescent="0.25">
      <c r="A2200" s="16"/>
      <c r="C2200" s="11"/>
    </row>
    <row r="2201" spans="1:3" x14ac:dyDescent="0.25">
      <c r="A2201" s="16"/>
      <c r="C2201" s="11"/>
    </row>
    <row r="2202" spans="1:3" x14ac:dyDescent="0.25">
      <c r="A2202" s="16"/>
      <c r="C2202" s="11"/>
    </row>
    <row r="2203" spans="1:3" x14ac:dyDescent="0.25">
      <c r="A2203" s="16"/>
      <c r="C2203" s="11"/>
    </row>
    <row r="2204" spans="1:3" x14ac:dyDescent="0.25">
      <c r="A2204" s="16"/>
      <c r="C2204" s="11"/>
    </row>
    <row r="2205" spans="1:3" x14ac:dyDescent="0.25">
      <c r="A2205" s="16"/>
      <c r="C2205" s="11"/>
    </row>
    <row r="2206" spans="1:3" x14ac:dyDescent="0.25">
      <c r="A2206" s="16"/>
      <c r="C2206" s="11"/>
    </row>
    <row r="2207" spans="1:3" x14ac:dyDescent="0.25">
      <c r="A2207" s="16"/>
      <c r="C2207" s="11"/>
    </row>
    <row r="2208" spans="1:3" x14ac:dyDescent="0.25">
      <c r="A2208" s="16"/>
      <c r="C2208" s="11"/>
    </row>
    <row r="2209" spans="1:3" x14ac:dyDescent="0.25">
      <c r="A2209" s="16"/>
      <c r="C2209" s="11"/>
    </row>
    <row r="2210" spans="1:3" x14ac:dyDescent="0.25">
      <c r="A2210" s="16"/>
      <c r="C2210" s="11"/>
    </row>
    <row r="2211" spans="1:3" x14ac:dyDescent="0.25">
      <c r="A2211" s="16"/>
      <c r="C2211" s="11"/>
    </row>
    <row r="2212" spans="1:3" x14ac:dyDescent="0.25">
      <c r="A2212" s="16"/>
      <c r="C2212" s="11"/>
    </row>
    <row r="2213" spans="1:3" x14ac:dyDescent="0.25">
      <c r="A2213" s="16"/>
      <c r="C2213" s="11"/>
    </row>
    <row r="2214" spans="1:3" x14ac:dyDescent="0.25">
      <c r="A2214" s="16"/>
      <c r="C2214" s="11"/>
    </row>
    <row r="2215" spans="1:3" x14ac:dyDescent="0.25">
      <c r="A2215" s="16"/>
      <c r="C2215" s="11"/>
    </row>
    <row r="2216" spans="1:3" x14ac:dyDescent="0.25">
      <c r="A2216" s="16"/>
      <c r="C2216" s="11"/>
    </row>
    <row r="2217" spans="1:3" x14ac:dyDescent="0.25">
      <c r="A2217" s="16"/>
      <c r="C2217" s="11"/>
    </row>
    <row r="2218" spans="1:3" x14ac:dyDescent="0.25">
      <c r="A2218" s="16"/>
      <c r="C2218" s="11"/>
    </row>
    <row r="2219" spans="1:3" x14ac:dyDescent="0.25">
      <c r="A2219" s="16"/>
      <c r="C2219" s="11"/>
    </row>
    <row r="2220" spans="1:3" x14ac:dyDescent="0.25">
      <c r="A2220" s="16"/>
      <c r="C2220" s="11"/>
    </row>
    <row r="2221" spans="1:3" x14ac:dyDescent="0.25">
      <c r="A2221" s="16"/>
      <c r="C2221" s="11"/>
    </row>
    <row r="2222" spans="1:3" x14ac:dyDescent="0.25">
      <c r="A2222" s="16"/>
      <c r="C2222" s="11"/>
    </row>
    <row r="2223" spans="1:3" x14ac:dyDescent="0.25">
      <c r="A2223" s="16"/>
      <c r="C2223" s="11"/>
    </row>
    <row r="2224" spans="1:3" x14ac:dyDescent="0.25">
      <c r="A2224" s="16"/>
      <c r="C2224" s="11"/>
    </row>
    <row r="2225" spans="1:3" x14ac:dyDescent="0.25">
      <c r="A2225" s="16"/>
      <c r="C2225" s="11"/>
    </row>
    <row r="2226" spans="1:3" x14ac:dyDescent="0.25">
      <c r="A2226" s="16"/>
      <c r="C2226" s="11"/>
    </row>
    <row r="2227" spans="1:3" x14ac:dyDescent="0.25">
      <c r="A2227" s="16"/>
      <c r="C2227" s="11"/>
    </row>
    <row r="2228" spans="1:3" x14ac:dyDescent="0.25">
      <c r="A2228" s="16"/>
      <c r="C2228" s="11"/>
    </row>
    <row r="2229" spans="1:3" x14ac:dyDescent="0.25">
      <c r="A2229" s="16"/>
      <c r="C2229" s="11"/>
    </row>
    <row r="2230" spans="1:3" x14ac:dyDescent="0.25">
      <c r="A2230" s="16"/>
      <c r="C2230" s="11"/>
    </row>
    <row r="2231" spans="1:3" x14ac:dyDescent="0.25">
      <c r="A2231" s="16"/>
      <c r="C2231" s="11"/>
    </row>
    <row r="2232" spans="1:3" x14ac:dyDescent="0.25">
      <c r="A2232" s="16"/>
      <c r="C2232" s="11"/>
    </row>
    <row r="2233" spans="1:3" x14ac:dyDescent="0.25">
      <c r="A2233" s="16"/>
      <c r="C2233" s="11"/>
    </row>
    <row r="2234" spans="1:3" x14ac:dyDescent="0.25">
      <c r="A2234" s="16"/>
      <c r="C2234" s="11"/>
    </row>
    <row r="2235" spans="1:3" x14ac:dyDescent="0.25">
      <c r="A2235" s="16"/>
      <c r="C2235" s="11"/>
    </row>
    <row r="2236" spans="1:3" x14ac:dyDescent="0.25">
      <c r="A2236" s="16"/>
      <c r="C2236" s="11"/>
    </row>
    <row r="2237" spans="1:3" x14ac:dyDescent="0.25">
      <c r="A2237" s="16"/>
      <c r="C2237" s="11"/>
    </row>
    <row r="2238" spans="1:3" x14ac:dyDescent="0.25">
      <c r="A2238" s="16"/>
      <c r="C2238" s="11"/>
    </row>
    <row r="2239" spans="1:3" x14ac:dyDescent="0.25">
      <c r="A2239" s="16"/>
      <c r="C2239" s="11"/>
    </row>
    <row r="2240" spans="1:3" x14ac:dyDescent="0.25">
      <c r="A2240" s="16"/>
      <c r="C2240" s="11"/>
    </row>
    <row r="2241" spans="1:3" x14ac:dyDescent="0.25">
      <c r="A2241" s="16"/>
      <c r="C2241" s="11"/>
    </row>
    <row r="2242" spans="1:3" x14ac:dyDescent="0.25">
      <c r="A2242" s="16"/>
      <c r="C2242" s="11"/>
    </row>
    <row r="2243" spans="1:3" x14ac:dyDescent="0.25">
      <c r="A2243" s="16"/>
      <c r="C2243" s="11"/>
    </row>
    <row r="2244" spans="1:3" x14ac:dyDescent="0.25">
      <c r="A2244" s="16"/>
      <c r="C2244" s="11"/>
    </row>
    <row r="2245" spans="1:3" x14ac:dyDescent="0.25">
      <c r="A2245" s="16"/>
      <c r="C2245" s="11"/>
    </row>
    <row r="2246" spans="1:3" x14ac:dyDescent="0.25">
      <c r="A2246" s="16"/>
      <c r="C2246" s="11"/>
    </row>
    <row r="2247" spans="1:3" x14ac:dyDescent="0.25">
      <c r="A2247" s="16"/>
      <c r="C2247" s="11"/>
    </row>
    <row r="2248" spans="1:3" x14ac:dyDescent="0.25">
      <c r="A2248" s="16"/>
      <c r="C2248" s="11"/>
    </row>
    <row r="2249" spans="1:3" x14ac:dyDescent="0.25">
      <c r="A2249" s="16"/>
      <c r="C2249" s="11"/>
    </row>
    <row r="2250" spans="1:3" x14ac:dyDescent="0.25">
      <c r="A2250" s="16"/>
      <c r="C2250" s="11"/>
    </row>
    <row r="2251" spans="1:3" x14ac:dyDescent="0.25">
      <c r="A2251" s="16"/>
      <c r="C2251" s="11"/>
    </row>
    <row r="2252" spans="1:3" x14ac:dyDescent="0.25">
      <c r="A2252" s="16"/>
      <c r="C2252" s="11"/>
    </row>
    <row r="2253" spans="1:3" x14ac:dyDescent="0.25">
      <c r="A2253" s="16"/>
      <c r="C2253" s="11"/>
    </row>
    <row r="2254" spans="1:3" x14ac:dyDescent="0.25">
      <c r="A2254" s="16"/>
      <c r="C2254" s="11"/>
    </row>
    <row r="2255" spans="1:3" x14ac:dyDescent="0.25">
      <c r="A2255" s="16"/>
      <c r="C2255" s="11"/>
    </row>
    <row r="2256" spans="1:3" x14ac:dyDescent="0.25">
      <c r="A2256" s="16"/>
      <c r="C2256" s="11"/>
    </row>
    <row r="2257" spans="1:3" x14ac:dyDescent="0.25">
      <c r="A2257" s="16"/>
      <c r="C2257" s="11"/>
    </row>
    <row r="2258" spans="1:3" x14ac:dyDescent="0.25">
      <c r="A2258" s="16"/>
      <c r="C2258" s="11"/>
    </row>
    <row r="2259" spans="1:3" x14ac:dyDescent="0.25">
      <c r="A2259" s="16"/>
      <c r="C2259" s="11"/>
    </row>
    <row r="2260" spans="1:3" x14ac:dyDescent="0.25">
      <c r="A2260" s="16"/>
      <c r="C2260" s="11"/>
    </row>
    <row r="2261" spans="1:3" x14ac:dyDescent="0.25">
      <c r="A2261" s="16"/>
      <c r="C2261" s="11"/>
    </row>
    <row r="2262" spans="1:3" x14ac:dyDescent="0.25">
      <c r="A2262" s="16"/>
      <c r="C2262" s="11"/>
    </row>
    <row r="2263" spans="1:3" x14ac:dyDescent="0.25">
      <c r="A2263" s="16"/>
      <c r="C2263" s="11"/>
    </row>
    <row r="2264" spans="1:3" x14ac:dyDescent="0.25">
      <c r="A2264" s="16"/>
      <c r="C2264" s="11"/>
    </row>
    <row r="2265" spans="1:3" x14ac:dyDescent="0.25">
      <c r="A2265" s="16"/>
      <c r="C2265" s="11"/>
    </row>
    <row r="2266" spans="1:3" x14ac:dyDescent="0.25">
      <c r="A2266" s="16"/>
      <c r="C2266" s="11"/>
    </row>
    <row r="2267" spans="1:3" x14ac:dyDescent="0.25">
      <c r="A2267" s="16"/>
      <c r="C2267" s="11"/>
    </row>
    <row r="2268" spans="1:3" x14ac:dyDescent="0.25">
      <c r="A2268" s="16"/>
      <c r="C2268" s="11"/>
    </row>
    <row r="2269" spans="1:3" x14ac:dyDescent="0.25">
      <c r="A2269" s="16"/>
      <c r="C2269" s="11"/>
    </row>
    <row r="2270" spans="1:3" x14ac:dyDescent="0.25">
      <c r="A2270" s="16"/>
      <c r="C2270" s="11"/>
    </row>
    <row r="2271" spans="1:3" x14ac:dyDescent="0.25">
      <c r="A2271" s="16"/>
      <c r="C2271" s="11"/>
    </row>
    <row r="2272" spans="1:3" x14ac:dyDescent="0.25">
      <c r="A2272" s="16"/>
      <c r="C2272" s="11"/>
    </row>
    <row r="2273" spans="1:3" x14ac:dyDescent="0.25">
      <c r="A2273" s="16"/>
      <c r="C2273" s="11"/>
    </row>
    <row r="2274" spans="1:3" x14ac:dyDescent="0.25">
      <c r="A2274" s="16"/>
      <c r="C2274" s="11"/>
    </row>
    <row r="2275" spans="1:3" x14ac:dyDescent="0.25">
      <c r="A2275" s="16"/>
      <c r="C2275" s="11"/>
    </row>
    <row r="2276" spans="1:3" x14ac:dyDescent="0.25">
      <c r="A2276" s="16"/>
      <c r="C2276" s="11"/>
    </row>
    <row r="2277" spans="1:3" x14ac:dyDescent="0.25">
      <c r="A2277" s="16"/>
      <c r="C2277" s="11"/>
    </row>
    <row r="2278" spans="1:3" x14ac:dyDescent="0.25">
      <c r="A2278" s="16"/>
      <c r="C2278" s="11"/>
    </row>
    <row r="2279" spans="1:3" x14ac:dyDescent="0.25">
      <c r="A2279" s="16"/>
      <c r="C2279" s="11"/>
    </row>
    <row r="2280" spans="1:3" x14ac:dyDescent="0.25">
      <c r="A2280" s="16"/>
      <c r="C2280" s="11"/>
    </row>
    <row r="2281" spans="1:3" x14ac:dyDescent="0.25">
      <c r="A2281" s="16"/>
      <c r="C2281" s="11"/>
    </row>
    <row r="2282" spans="1:3" x14ac:dyDescent="0.25">
      <c r="A2282" s="16"/>
      <c r="C2282" s="11"/>
    </row>
    <row r="2283" spans="1:3" x14ac:dyDescent="0.25">
      <c r="A2283" s="16"/>
      <c r="C2283" s="11"/>
    </row>
    <row r="2284" spans="1:3" x14ac:dyDescent="0.25">
      <c r="A2284" s="16"/>
      <c r="C2284" s="11"/>
    </row>
    <row r="2285" spans="1:3" x14ac:dyDescent="0.25">
      <c r="A2285" s="16"/>
      <c r="C2285" s="11"/>
    </row>
    <row r="2286" spans="1:3" x14ac:dyDescent="0.25">
      <c r="A2286" s="16"/>
      <c r="C2286" s="11"/>
    </row>
    <row r="2287" spans="1:3" x14ac:dyDescent="0.25">
      <c r="A2287" s="16"/>
      <c r="C2287" s="11"/>
    </row>
    <row r="2288" spans="1:3" x14ac:dyDescent="0.25">
      <c r="A2288" s="16"/>
      <c r="C2288" s="11"/>
    </row>
    <row r="2289" spans="1:3" x14ac:dyDescent="0.25">
      <c r="A2289" s="16"/>
      <c r="C2289" s="11"/>
    </row>
    <row r="2290" spans="1:3" x14ac:dyDescent="0.25">
      <c r="A2290" s="16"/>
      <c r="C2290" s="11"/>
    </row>
    <row r="2291" spans="1:3" x14ac:dyDescent="0.25">
      <c r="A2291" s="16"/>
      <c r="C2291" s="11"/>
    </row>
    <row r="2292" spans="1:3" x14ac:dyDescent="0.25">
      <c r="A2292" s="16"/>
      <c r="C2292" s="11"/>
    </row>
    <row r="2293" spans="1:3" x14ac:dyDescent="0.25">
      <c r="A2293" s="16"/>
      <c r="C2293" s="11"/>
    </row>
    <row r="2294" spans="1:3" x14ac:dyDescent="0.25">
      <c r="A2294" s="16"/>
      <c r="C2294" s="11"/>
    </row>
    <row r="2295" spans="1:3" x14ac:dyDescent="0.25">
      <c r="A2295" s="16"/>
      <c r="C2295" s="11"/>
    </row>
    <row r="2296" spans="1:3" x14ac:dyDescent="0.25">
      <c r="A2296" s="16"/>
      <c r="C2296" s="11"/>
    </row>
    <row r="2297" spans="1:3" x14ac:dyDescent="0.25">
      <c r="A2297" s="16"/>
      <c r="C2297" s="11"/>
    </row>
    <row r="2298" spans="1:3" x14ac:dyDescent="0.25">
      <c r="A2298" s="16"/>
      <c r="C2298" s="11"/>
    </row>
    <row r="2299" spans="1:3" x14ac:dyDescent="0.25">
      <c r="A2299" s="16"/>
      <c r="C2299" s="11"/>
    </row>
    <row r="2300" spans="1:3" x14ac:dyDescent="0.25">
      <c r="A2300" s="16"/>
      <c r="C2300" s="11"/>
    </row>
    <row r="2301" spans="1:3" x14ac:dyDescent="0.25">
      <c r="A2301" s="16"/>
      <c r="C2301" s="11"/>
    </row>
    <row r="2302" spans="1:3" x14ac:dyDescent="0.25">
      <c r="A2302" s="16"/>
      <c r="C2302" s="11"/>
    </row>
    <row r="2303" spans="1:3" x14ac:dyDescent="0.25">
      <c r="A2303" s="16"/>
      <c r="C2303" s="11"/>
    </row>
    <row r="2304" spans="1:3" x14ac:dyDescent="0.25">
      <c r="A2304" s="16"/>
      <c r="C2304" s="11"/>
    </row>
    <row r="2305" spans="1:3" x14ac:dyDescent="0.25">
      <c r="A2305" s="16"/>
      <c r="C2305" s="11"/>
    </row>
    <row r="2306" spans="1:3" x14ac:dyDescent="0.25">
      <c r="A2306" s="16"/>
      <c r="C2306" s="11"/>
    </row>
    <row r="2307" spans="1:3" x14ac:dyDescent="0.25">
      <c r="A2307" s="16"/>
      <c r="C2307" s="11"/>
    </row>
    <row r="2308" spans="1:3" x14ac:dyDescent="0.25">
      <c r="A2308" s="16"/>
      <c r="C2308" s="11"/>
    </row>
    <row r="2309" spans="1:3" x14ac:dyDescent="0.25">
      <c r="A2309" s="16"/>
      <c r="C2309" s="11"/>
    </row>
    <row r="2310" spans="1:3" x14ac:dyDescent="0.25">
      <c r="A2310" s="16"/>
      <c r="C2310" s="11"/>
    </row>
    <row r="2311" spans="1:3" x14ac:dyDescent="0.25">
      <c r="A2311" s="16"/>
      <c r="C2311" s="11"/>
    </row>
    <row r="2312" spans="1:3" x14ac:dyDescent="0.25">
      <c r="A2312" s="16"/>
      <c r="C2312" s="11"/>
    </row>
    <row r="2313" spans="1:3" x14ac:dyDescent="0.25">
      <c r="A2313" s="16"/>
      <c r="C2313" s="11"/>
    </row>
    <row r="2314" spans="1:3" x14ac:dyDescent="0.25">
      <c r="A2314" s="16"/>
      <c r="C2314" s="11"/>
    </row>
    <row r="2315" spans="1:3" x14ac:dyDescent="0.25">
      <c r="A2315" s="16"/>
      <c r="C2315" s="11"/>
    </row>
    <row r="2316" spans="1:3" x14ac:dyDescent="0.25">
      <c r="A2316" s="16"/>
      <c r="C2316" s="11"/>
    </row>
    <row r="2317" spans="1:3" x14ac:dyDescent="0.25">
      <c r="A2317" s="16"/>
      <c r="C2317" s="11"/>
    </row>
    <row r="2318" spans="1:3" x14ac:dyDescent="0.25">
      <c r="A2318" s="16"/>
      <c r="C2318" s="11"/>
    </row>
    <row r="2319" spans="1:3" x14ac:dyDescent="0.25">
      <c r="A2319" s="16"/>
      <c r="C2319" s="11"/>
    </row>
    <row r="2320" spans="1:3" x14ac:dyDescent="0.25">
      <c r="A2320" s="16"/>
      <c r="C2320" s="11"/>
    </row>
    <row r="2321" spans="1:3" x14ac:dyDescent="0.25">
      <c r="A2321" s="16"/>
      <c r="C2321" s="11"/>
    </row>
    <row r="2322" spans="1:3" x14ac:dyDescent="0.25">
      <c r="A2322" s="16"/>
      <c r="C2322" s="11"/>
    </row>
    <row r="2323" spans="1:3" x14ac:dyDescent="0.25">
      <c r="A2323" s="16"/>
      <c r="C2323" s="11"/>
    </row>
    <row r="2324" spans="1:3" x14ac:dyDescent="0.25">
      <c r="A2324" s="16"/>
      <c r="C2324" s="11"/>
    </row>
    <row r="2325" spans="1:3" x14ac:dyDescent="0.25">
      <c r="A2325" s="16"/>
      <c r="C2325" s="11"/>
    </row>
    <row r="2326" spans="1:3" x14ac:dyDescent="0.25">
      <c r="A2326" s="16"/>
      <c r="C2326" s="11"/>
    </row>
    <row r="2327" spans="1:3" x14ac:dyDescent="0.25">
      <c r="A2327" s="16"/>
      <c r="C2327" s="11"/>
    </row>
    <row r="2328" spans="1:3" x14ac:dyDescent="0.25">
      <c r="A2328" s="16"/>
      <c r="C2328" s="11"/>
    </row>
    <row r="2329" spans="1:3" x14ac:dyDescent="0.25">
      <c r="A2329" s="16"/>
      <c r="C2329" s="11"/>
    </row>
    <row r="2330" spans="1:3" x14ac:dyDescent="0.25">
      <c r="A2330" s="16"/>
      <c r="C2330" s="11"/>
    </row>
    <row r="2331" spans="1:3" x14ac:dyDescent="0.25">
      <c r="A2331" s="16"/>
      <c r="C2331" s="11"/>
    </row>
    <row r="2332" spans="1:3" x14ac:dyDescent="0.25">
      <c r="A2332" s="16"/>
      <c r="C2332" s="11"/>
    </row>
    <row r="2333" spans="1:3" x14ac:dyDescent="0.25">
      <c r="A2333" s="16"/>
      <c r="C2333" s="11"/>
    </row>
    <row r="2334" spans="1:3" x14ac:dyDescent="0.25">
      <c r="A2334" s="16"/>
      <c r="C2334" s="11"/>
    </row>
    <row r="2335" spans="1:3" x14ac:dyDescent="0.25">
      <c r="A2335" s="16"/>
      <c r="C2335" s="11"/>
    </row>
    <row r="2336" spans="1:3" x14ac:dyDescent="0.25">
      <c r="A2336" s="16"/>
      <c r="C2336" s="11"/>
    </row>
    <row r="2337" spans="1:3" x14ac:dyDescent="0.25">
      <c r="A2337" s="16"/>
      <c r="C2337" s="11"/>
    </row>
    <row r="2338" spans="1:3" x14ac:dyDescent="0.25">
      <c r="A2338" s="16"/>
      <c r="C2338" s="11"/>
    </row>
    <row r="2339" spans="1:3" x14ac:dyDescent="0.25">
      <c r="A2339" s="16"/>
      <c r="C2339" s="11"/>
    </row>
    <row r="2340" spans="1:3" x14ac:dyDescent="0.25">
      <c r="A2340" s="16"/>
      <c r="C2340" s="11"/>
    </row>
    <row r="2341" spans="1:3" x14ac:dyDescent="0.25">
      <c r="A2341" s="16"/>
      <c r="C2341" s="11"/>
    </row>
    <row r="2342" spans="1:3" x14ac:dyDescent="0.25">
      <c r="A2342" s="16"/>
      <c r="C2342" s="11"/>
    </row>
    <row r="2343" spans="1:3" x14ac:dyDescent="0.25">
      <c r="A2343" s="16"/>
      <c r="C2343" s="11"/>
    </row>
    <row r="2344" spans="1:3" x14ac:dyDescent="0.25">
      <c r="A2344" s="16"/>
      <c r="C2344" s="11"/>
    </row>
    <row r="2345" spans="1:3" x14ac:dyDescent="0.25">
      <c r="A2345" s="16"/>
      <c r="C2345" s="11"/>
    </row>
    <row r="2346" spans="1:3" x14ac:dyDescent="0.25">
      <c r="A2346" s="16"/>
      <c r="C2346" s="11"/>
    </row>
    <row r="2347" spans="1:3" x14ac:dyDescent="0.25">
      <c r="A2347" s="16"/>
      <c r="C2347" s="11"/>
    </row>
    <row r="2348" spans="1:3" x14ac:dyDescent="0.25">
      <c r="A2348" s="16"/>
      <c r="C2348" s="11"/>
    </row>
    <row r="2349" spans="1:3" x14ac:dyDescent="0.25">
      <c r="A2349" s="16"/>
      <c r="C2349" s="11"/>
    </row>
    <row r="2350" spans="1:3" x14ac:dyDescent="0.25">
      <c r="A2350" s="16"/>
      <c r="C2350" s="11"/>
    </row>
    <row r="2351" spans="1:3" x14ac:dyDescent="0.25">
      <c r="A2351" s="16"/>
      <c r="C2351" s="11"/>
    </row>
    <row r="2352" spans="1:3" x14ac:dyDescent="0.25">
      <c r="A2352" s="16"/>
      <c r="C2352" s="11"/>
    </row>
    <row r="2353" spans="1:3" x14ac:dyDescent="0.25">
      <c r="A2353" s="16"/>
      <c r="C2353" s="11"/>
    </row>
    <row r="2354" spans="1:3" x14ac:dyDescent="0.25">
      <c r="A2354" s="16"/>
      <c r="C2354" s="11"/>
    </row>
    <row r="2355" spans="1:3" x14ac:dyDescent="0.25">
      <c r="A2355" s="16"/>
      <c r="C2355" s="11"/>
    </row>
    <row r="2356" spans="1:3" x14ac:dyDescent="0.25">
      <c r="A2356" s="16"/>
      <c r="C2356" s="11"/>
    </row>
    <row r="2357" spans="1:3" x14ac:dyDescent="0.25">
      <c r="A2357" s="16"/>
      <c r="C2357" s="11"/>
    </row>
    <row r="2358" spans="1:3" x14ac:dyDescent="0.25">
      <c r="A2358" s="16"/>
      <c r="C2358" s="11"/>
    </row>
    <row r="2359" spans="1:3" x14ac:dyDescent="0.25">
      <c r="A2359" s="16"/>
      <c r="C2359" s="11"/>
    </row>
    <row r="2360" spans="1:3" x14ac:dyDescent="0.25">
      <c r="A2360" s="16"/>
      <c r="C2360" s="11"/>
    </row>
    <row r="2361" spans="1:3" x14ac:dyDescent="0.25">
      <c r="A2361" s="16"/>
      <c r="C2361" s="11"/>
    </row>
    <row r="2362" spans="1:3" x14ac:dyDescent="0.25">
      <c r="A2362" s="16"/>
      <c r="C2362" s="11"/>
    </row>
    <row r="2363" spans="1:3" x14ac:dyDescent="0.25">
      <c r="A2363" s="16"/>
      <c r="C2363" s="11"/>
    </row>
    <row r="2364" spans="1:3" x14ac:dyDescent="0.25">
      <c r="A2364" s="16"/>
      <c r="C2364" s="11"/>
    </row>
    <row r="2365" spans="1:3" x14ac:dyDescent="0.25">
      <c r="A2365" s="16"/>
      <c r="C2365" s="11"/>
    </row>
    <row r="2366" spans="1:3" x14ac:dyDescent="0.25">
      <c r="A2366" s="16"/>
      <c r="C2366" s="11"/>
    </row>
    <row r="2367" spans="1:3" x14ac:dyDescent="0.25">
      <c r="A2367" s="16"/>
      <c r="C2367" s="11"/>
    </row>
    <row r="2368" spans="1:3" x14ac:dyDescent="0.25">
      <c r="A2368" s="16"/>
      <c r="C2368" s="11"/>
    </row>
    <row r="2369" spans="1:3" x14ac:dyDescent="0.25">
      <c r="A2369" s="16"/>
      <c r="C2369" s="11"/>
    </row>
    <row r="2370" spans="1:3" x14ac:dyDescent="0.25">
      <c r="A2370" s="16"/>
      <c r="C2370" s="11"/>
    </row>
    <row r="2371" spans="1:3" x14ac:dyDescent="0.25">
      <c r="A2371" s="16"/>
      <c r="C2371" s="11"/>
    </row>
    <row r="2372" spans="1:3" x14ac:dyDescent="0.25">
      <c r="A2372" s="16"/>
      <c r="C2372" s="11"/>
    </row>
    <row r="2373" spans="1:3" x14ac:dyDescent="0.25">
      <c r="A2373" s="16"/>
      <c r="C2373" s="11"/>
    </row>
    <row r="2374" spans="1:3" x14ac:dyDescent="0.25">
      <c r="A2374" s="16"/>
      <c r="C2374" s="11"/>
    </row>
    <row r="2375" spans="1:3" x14ac:dyDescent="0.25">
      <c r="A2375" s="16"/>
      <c r="C2375" s="11"/>
    </row>
    <row r="2376" spans="1:3" x14ac:dyDescent="0.25">
      <c r="A2376" s="16"/>
      <c r="C2376" s="11"/>
    </row>
    <row r="2377" spans="1:3" x14ac:dyDescent="0.25">
      <c r="A2377" s="16"/>
      <c r="C2377" s="11"/>
    </row>
    <row r="2378" spans="1:3" x14ac:dyDescent="0.25">
      <c r="A2378" s="16"/>
      <c r="C2378" s="11"/>
    </row>
    <row r="2379" spans="1:3" x14ac:dyDescent="0.25">
      <c r="A2379" s="16"/>
      <c r="C2379" s="11"/>
    </row>
    <row r="2380" spans="1:3" x14ac:dyDescent="0.25">
      <c r="A2380" s="16"/>
      <c r="C2380" s="11"/>
    </row>
    <row r="2381" spans="1:3" x14ac:dyDescent="0.25">
      <c r="A2381" s="16"/>
      <c r="C2381" s="11"/>
    </row>
    <row r="2382" spans="1:3" x14ac:dyDescent="0.25">
      <c r="A2382" s="16"/>
      <c r="C2382" s="11"/>
    </row>
    <row r="2383" spans="1:3" x14ac:dyDescent="0.25">
      <c r="A2383" s="16"/>
      <c r="C2383" s="11"/>
    </row>
    <row r="2384" spans="1:3" x14ac:dyDescent="0.25">
      <c r="A2384" s="16"/>
      <c r="C2384" s="11"/>
    </row>
    <row r="2385" spans="1:3" x14ac:dyDescent="0.25">
      <c r="A2385" s="16"/>
      <c r="C2385" s="11"/>
    </row>
    <row r="2386" spans="1:3" x14ac:dyDescent="0.25">
      <c r="A2386" s="16"/>
      <c r="C2386" s="11"/>
    </row>
    <row r="2387" spans="1:3" x14ac:dyDescent="0.25">
      <c r="A2387" s="16"/>
      <c r="C2387" s="11"/>
    </row>
    <row r="2388" spans="1:3" x14ac:dyDescent="0.25">
      <c r="A2388" s="16"/>
      <c r="C2388" s="11"/>
    </row>
    <row r="2389" spans="1:3" x14ac:dyDescent="0.25">
      <c r="A2389" s="16"/>
      <c r="C2389" s="11"/>
    </row>
    <row r="2390" spans="1:3" x14ac:dyDescent="0.25">
      <c r="A2390" s="16"/>
      <c r="C2390" s="11"/>
    </row>
    <row r="2391" spans="1:3" x14ac:dyDescent="0.25">
      <c r="A2391" s="16"/>
      <c r="C2391" s="11"/>
    </row>
    <row r="2392" spans="1:3" x14ac:dyDescent="0.25">
      <c r="A2392" s="16"/>
      <c r="C2392" s="11"/>
    </row>
    <row r="2393" spans="1:3" x14ac:dyDescent="0.25">
      <c r="A2393" s="16"/>
      <c r="C2393" s="11"/>
    </row>
    <row r="2394" spans="1:3" x14ac:dyDescent="0.25">
      <c r="A2394" s="16"/>
      <c r="C2394" s="11"/>
    </row>
    <row r="2395" spans="1:3" x14ac:dyDescent="0.25">
      <c r="A2395" s="16"/>
      <c r="C2395" s="11"/>
    </row>
    <row r="2396" spans="1:3" x14ac:dyDescent="0.25">
      <c r="A2396" s="16"/>
      <c r="C2396" s="11"/>
    </row>
    <row r="2397" spans="1:3" x14ac:dyDescent="0.25">
      <c r="A2397" s="16"/>
      <c r="C2397" s="11"/>
    </row>
    <row r="2398" spans="1:3" x14ac:dyDescent="0.25">
      <c r="A2398" s="16"/>
      <c r="C2398" s="11"/>
    </row>
    <row r="2399" spans="1:3" x14ac:dyDescent="0.25">
      <c r="A2399" s="16"/>
      <c r="C2399" s="11"/>
    </row>
    <row r="2400" spans="1:3" x14ac:dyDescent="0.25">
      <c r="A2400" s="16"/>
      <c r="C2400" s="11"/>
    </row>
    <row r="2401" spans="1:3" x14ac:dyDescent="0.25">
      <c r="A2401" s="16"/>
      <c r="C2401" s="11"/>
    </row>
    <row r="2402" spans="1:3" x14ac:dyDescent="0.25">
      <c r="A2402" s="16"/>
      <c r="C2402" s="11"/>
    </row>
    <row r="2403" spans="1:3" x14ac:dyDescent="0.25">
      <c r="A2403" s="16"/>
      <c r="C2403" s="11"/>
    </row>
    <row r="2404" spans="1:3" x14ac:dyDescent="0.25">
      <c r="A2404" s="16"/>
      <c r="C2404" s="11"/>
    </row>
    <row r="2405" spans="1:3" x14ac:dyDescent="0.25">
      <c r="A2405" s="16"/>
      <c r="C2405" s="11"/>
    </row>
    <row r="2406" spans="1:3" x14ac:dyDescent="0.25">
      <c r="A2406" s="16"/>
      <c r="C2406" s="11"/>
    </row>
    <row r="2407" spans="1:3" x14ac:dyDescent="0.25">
      <c r="A2407" s="16"/>
      <c r="C2407" s="11"/>
    </row>
    <row r="2408" spans="1:3" x14ac:dyDescent="0.25">
      <c r="A2408" s="16"/>
      <c r="C2408" s="11"/>
    </row>
    <row r="2409" spans="1:3" x14ac:dyDescent="0.25">
      <c r="A2409" s="16"/>
      <c r="C2409" s="11"/>
    </row>
    <row r="2410" spans="1:3" x14ac:dyDescent="0.25">
      <c r="A2410" s="16"/>
      <c r="C2410" s="11"/>
    </row>
    <row r="2411" spans="1:3" x14ac:dyDescent="0.25">
      <c r="A2411" s="16"/>
      <c r="C2411" s="11"/>
    </row>
    <row r="2412" spans="1:3" x14ac:dyDescent="0.25">
      <c r="A2412" s="16"/>
      <c r="C2412" s="11"/>
    </row>
    <row r="2413" spans="1:3" x14ac:dyDescent="0.25">
      <c r="A2413" s="16"/>
      <c r="C2413" s="11"/>
    </row>
    <row r="2414" spans="1:3" x14ac:dyDescent="0.25">
      <c r="A2414" s="16"/>
      <c r="C2414" s="11"/>
    </row>
    <row r="2415" spans="1:3" x14ac:dyDescent="0.25">
      <c r="A2415" s="16"/>
      <c r="C2415" s="11"/>
    </row>
    <row r="2416" spans="1:3" x14ac:dyDescent="0.25">
      <c r="A2416" s="16"/>
      <c r="C2416" s="11"/>
    </row>
    <row r="2417" spans="1:3" x14ac:dyDescent="0.25">
      <c r="A2417" s="16"/>
      <c r="C2417" s="11"/>
    </row>
    <row r="2418" spans="1:3" x14ac:dyDescent="0.25">
      <c r="A2418" s="16"/>
      <c r="C2418" s="11"/>
    </row>
    <row r="2419" spans="1:3" x14ac:dyDescent="0.25">
      <c r="A2419" s="16"/>
      <c r="C2419" s="11"/>
    </row>
    <row r="2420" spans="1:3" x14ac:dyDescent="0.25">
      <c r="A2420" s="16"/>
      <c r="C2420" s="11"/>
    </row>
    <row r="2421" spans="1:3" x14ac:dyDescent="0.25">
      <c r="A2421" s="16"/>
      <c r="C2421" s="11"/>
    </row>
    <row r="2422" spans="1:3" x14ac:dyDescent="0.25">
      <c r="A2422" s="16"/>
      <c r="C2422" s="11"/>
    </row>
    <row r="2423" spans="1:3" x14ac:dyDescent="0.25">
      <c r="A2423" s="16"/>
      <c r="C2423" s="11"/>
    </row>
    <row r="2424" spans="1:3" x14ac:dyDescent="0.25">
      <c r="A2424" s="16"/>
      <c r="C2424" s="11"/>
    </row>
    <row r="2425" spans="1:3" x14ac:dyDescent="0.25">
      <c r="A2425" s="16"/>
      <c r="C2425" s="11"/>
    </row>
    <row r="2426" spans="1:3" x14ac:dyDescent="0.25">
      <c r="A2426" s="16"/>
      <c r="C2426" s="11"/>
    </row>
    <row r="2427" spans="1:3" x14ac:dyDescent="0.25">
      <c r="A2427" s="16"/>
      <c r="C2427" s="11"/>
    </row>
    <row r="2428" spans="1:3" x14ac:dyDescent="0.25">
      <c r="A2428" s="16"/>
      <c r="C2428" s="11"/>
    </row>
    <row r="2429" spans="1:3" x14ac:dyDescent="0.25">
      <c r="A2429" s="16"/>
      <c r="C2429" s="11"/>
    </row>
    <row r="2430" spans="1:3" x14ac:dyDescent="0.25">
      <c r="A2430" s="16"/>
      <c r="C2430" s="11"/>
    </row>
    <row r="2431" spans="1:3" x14ac:dyDescent="0.25">
      <c r="A2431" s="16"/>
      <c r="C2431" s="11"/>
    </row>
    <row r="2432" spans="1:3" x14ac:dyDescent="0.25">
      <c r="A2432" s="16"/>
      <c r="C2432" s="11"/>
    </row>
    <row r="2433" spans="1:3" x14ac:dyDescent="0.25">
      <c r="A2433" s="16"/>
      <c r="C2433" s="11"/>
    </row>
    <row r="2434" spans="1:3" x14ac:dyDescent="0.25">
      <c r="A2434" s="16"/>
      <c r="C2434" s="11"/>
    </row>
    <row r="2435" spans="1:3" x14ac:dyDescent="0.25">
      <c r="A2435" s="16"/>
      <c r="C2435" s="11"/>
    </row>
    <row r="2436" spans="1:3" x14ac:dyDescent="0.25">
      <c r="A2436" s="16"/>
      <c r="C2436" s="11"/>
    </row>
    <row r="2437" spans="1:3" x14ac:dyDescent="0.25">
      <c r="A2437" s="16"/>
      <c r="C2437" s="11"/>
    </row>
    <row r="2438" spans="1:3" x14ac:dyDescent="0.25">
      <c r="A2438" s="16"/>
      <c r="C2438" s="11"/>
    </row>
    <row r="2439" spans="1:3" x14ac:dyDescent="0.25">
      <c r="A2439" s="16"/>
      <c r="C2439" s="11"/>
    </row>
    <row r="2440" spans="1:3" x14ac:dyDescent="0.25">
      <c r="A2440" s="16"/>
      <c r="C2440" s="11"/>
    </row>
    <row r="2441" spans="1:3" x14ac:dyDescent="0.25">
      <c r="A2441" s="16"/>
      <c r="C2441" s="11"/>
    </row>
    <row r="2442" spans="1:3" x14ac:dyDescent="0.25">
      <c r="A2442" s="16"/>
      <c r="C2442" s="11"/>
    </row>
    <row r="2443" spans="1:3" x14ac:dyDescent="0.25">
      <c r="A2443" s="16"/>
      <c r="C2443" s="11"/>
    </row>
    <row r="2444" spans="1:3" x14ac:dyDescent="0.25">
      <c r="A2444" s="16"/>
      <c r="C2444" s="11"/>
    </row>
    <row r="2445" spans="1:3" x14ac:dyDescent="0.25">
      <c r="A2445" s="16"/>
      <c r="C2445" s="11"/>
    </row>
    <row r="2446" spans="1:3" x14ac:dyDescent="0.25">
      <c r="A2446" s="16"/>
      <c r="C2446" s="11"/>
    </row>
    <row r="2447" spans="1:3" x14ac:dyDescent="0.25">
      <c r="A2447" s="16"/>
      <c r="C2447" s="11"/>
    </row>
    <row r="2448" spans="1:3" x14ac:dyDescent="0.25">
      <c r="A2448" s="16"/>
      <c r="C2448" s="11"/>
    </row>
    <row r="2449" spans="1:3" x14ac:dyDescent="0.25">
      <c r="A2449" s="16"/>
      <c r="C2449" s="11"/>
    </row>
    <row r="2450" spans="1:3" x14ac:dyDescent="0.25">
      <c r="A2450" s="16"/>
      <c r="C2450" s="11"/>
    </row>
    <row r="2451" spans="1:3" x14ac:dyDescent="0.25">
      <c r="A2451" s="16"/>
      <c r="C2451" s="11"/>
    </row>
    <row r="2452" spans="1:3" x14ac:dyDescent="0.25">
      <c r="A2452" s="16"/>
      <c r="C2452" s="11"/>
    </row>
    <row r="2453" spans="1:3" x14ac:dyDescent="0.25">
      <c r="A2453" s="16"/>
      <c r="C2453" s="11"/>
    </row>
    <row r="2454" spans="1:3" x14ac:dyDescent="0.25">
      <c r="A2454" s="16"/>
      <c r="C2454" s="11"/>
    </row>
    <row r="2455" spans="1:3" x14ac:dyDescent="0.25">
      <c r="A2455" s="16"/>
      <c r="C2455" s="11"/>
    </row>
    <row r="2456" spans="1:3" x14ac:dyDescent="0.25">
      <c r="A2456" s="16"/>
      <c r="C2456" s="11"/>
    </row>
    <row r="2457" spans="1:3" x14ac:dyDescent="0.25">
      <c r="A2457" s="16"/>
      <c r="C2457" s="11"/>
    </row>
    <row r="2458" spans="1:3" x14ac:dyDescent="0.25">
      <c r="A2458" s="16"/>
      <c r="C2458" s="11"/>
    </row>
    <row r="2459" spans="1:3" x14ac:dyDescent="0.25">
      <c r="A2459" s="16"/>
      <c r="C2459" s="11"/>
    </row>
    <row r="2460" spans="1:3" x14ac:dyDescent="0.25">
      <c r="A2460" s="16"/>
      <c r="C2460" s="11"/>
    </row>
    <row r="2461" spans="1:3" x14ac:dyDescent="0.25">
      <c r="A2461" s="16"/>
      <c r="C2461" s="11"/>
    </row>
    <row r="2462" spans="1:3" x14ac:dyDescent="0.25">
      <c r="A2462" s="16"/>
      <c r="C2462" s="11"/>
    </row>
    <row r="2463" spans="1:3" x14ac:dyDescent="0.25">
      <c r="A2463" s="16"/>
      <c r="C2463" s="11"/>
    </row>
    <row r="2464" spans="1:3" x14ac:dyDescent="0.25">
      <c r="A2464" s="16"/>
      <c r="C2464" s="11"/>
    </row>
    <row r="2465" spans="1:3" x14ac:dyDescent="0.25">
      <c r="A2465" s="16"/>
      <c r="C2465" s="11"/>
    </row>
    <row r="2466" spans="1:3" x14ac:dyDescent="0.25">
      <c r="A2466" s="16"/>
      <c r="C2466" s="11"/>
    </row>
    <row r="2467" spans="1:3" x14ac:dyDescent="0.25">
      <c r="A2467" s="16"/>
      <c r="C2467" s="11"/>
    </row>
    <row r="2468" spans="1:3" x14ac:dyDescent="0.25">
      <c r="A2468" s="16"/>
      <c r="C2468" s="11"/>
    </row>
    <row r="2469" spans="1:3" x14ac:dyDescent="0.25">
      <c r="A2469" s="16"/>
      <c r="C2469" s="11"/>
    </row>
    <row r="2470" spans="1:3" x14ac:dyDescent="0.25">
      <c r="A2470" s="16"/>
      <c r="C2470" s="11"/>
    </row>
    <row r="2471" spans="1:3" x14ac:dyDescent="0.25">
      <c r="A2471" s="16"/>
      <c r="C2471" s="11"/>
    </row>
    <row r="2472" spans="1:3" x14ac:dyDescent="0.25">
      <c r="A2472" s="16"/>
      <c r="C2472" s="11"/>
    </row>
    <row r="2473" spans="1:3" x14ac:dyDescent="0.25">
      <c r="A2473" s="16"/>
      <c r="C2473" s="11"/>
    </row>
    <row r="2474" spans="1:3" x14ac:dyDescent="0.25">
      <c r="A2474" s="16"/>
      <c r="C2474" s="11"/>
    </row>
    <row r="2475" spans="1:3" x14ac:dyDescent="0.25">
      <c r="A2475" s="16"/>
      <c r="C2475" s="11"/>
    </row>
    <row r="2476" spans="1:3" x14ac:dyDescent="0.25">
      <c r="A2476" s="16"/>
      <c r="C2476" s="11"/>
    </row>
    <row r="2477" spans="1:3" x14ac:dyDescent="0.25">
      <c r="A2477" s="16"/>
      <c r="C2477" s="11"/>
    </row>
    <row r="2478" spans="1:3" x14ac:dyDescent="0.25">
      <c r="A2478" s="16"/>
      <c r="C2478" s="11"/>
    </row>
    <row r="2479" spans="1:3" x14ac:dyDescent="0.25">
      <c r="A2479" s="16"/>
      <c r="C2479" s="11"/>
    </row>
    <row r="2480" spans="1:3" x14ac:dyDescent="0.25">
      <c r="A2480" s="16"/>
      <c r="C2480" s="11"/>
    </row>
    <row r="2481" spans="1:3" x14ac:dyDescent="0.25">
      <c r="A2481" s="16"/>
      <c r="C2481" s="11"/>
    </row>
    <row r="2482" spans="1:3" x14ac:dyDescent="0.25">
      <c r="A2482" s="16"/>
      <c r="C2482" s="11"/>
    </row>
    <row r="2483" spans="1:3" x14ac:dyDescent="0.25">
      <c r="A2483" s="16"/>
      <c r="C2483" s="11"/>
    </row>
    <row r="2484" spans="1:3" x14ac:dyDescent="0.25">
      <c r="A2484" s="16"/>
      <c r="C2484" s="11"/>
    </row>
    <row r="2485" spans="1:3" x14ac:dyDescent="0.25">
      <c r="A2485" s="16"/>
      <c r="C2485" s="11"/>
    </row>
    <row r="2486" spans="1:3" x14ac:dyDescent="0.25">
      <c r="A2486" s="16"/>
      <c r="C2486" s="11"/>
    </row>
    <row r="2487" spans="1:3" x14ac:dyDescent="0.25">
      <c r="A2487" s="16"/>
      <c r="C2487" s="11"/>
    </row>
    <row r="2488" spans="1:3" x14ac:dyDescent="0.25">
      <c r="A2488" s="16"/>
      <c r="C2488" s="11"/>
    </row>
    <row r="2489" spans="1:3" x14ac:dyDescent="0.25">
      <c r="A2489" s="16"/>
      <c r="C2489" s="11"/>
    </row>
    <row r="2490" spans="1:3" x14ac:dyDescent="0.25">
      <c r="A2490" s="16"/>
      <c r="C2490" s="11"/>
    </row>
    <row r="2491" spans="1:3" x14ac:dyDescent="0.25">
      <c r="A2491" s="16"/>
      <c r="C2491" s="11"/>
    </row>
    <row r="2492" spans="1:3" x14ac:dyDescent="0.25">
      <c r="A2492" s="16"/>
      <c r="C2492" s="11"/>
    </row>
    <row r="2493" spans="1:3" x14ac:dyDescent="0.25">
      <c r="A2493" s="16"/>
      <c r="C2493" s="11"/>
    </row>
    <row r="2494" spans="1:3" x14ac:dyDescent="0.25">
      <c r="A2494" s="16"/>
      <c r="C2494" s="11"/>
    </row>
    <row r="2495" spans="1:3" x14ac:dyDescent="0.25">
      <c r="A2495" s="16"/>
      <c r="C2495" s="11"/>
    </row>
    <row r="2496" spans="1:3" x14ac:dyDescent="0.25">
      <c r="A2496" s="16"/>
      <c r="C2496" s="11"/>
    </row>
    <row r="2497" spans="1:3" x14ac:dyDescent="0.25">
      <c r="A2497" s="16"/>
      <c r="C2497" s="11"/>
    </row>
    <row r="2498" spans="1:3" x14ac:dyDescent="0.25">
      <c r="A2498" s="16"/>
      <c r="C2498" s="11"/>
    </row>
    <row r="2499" spans="1:3" x14ac:dyDescent="0.25">
      <c r="A2499" s="16"/>
      <c r="C2499" s="11"/>
    </row>
    <row r="2500" spans="1:3" x14ac:dyDescent="0.25">
      <c r="A2500" s="16"/>
      <c r="C2500" s="11"/>
    </row>
    <row r="2501" spans="1:3" x14ac:dyDescent="0.25">
      <c r="A2501" s="16"/>
      <c r="C2501" s="11"/>
    </row>
    <row r="2502" spans="1:3" x14ac:dyDescent="0.25">
      <c r="A2502" s="16"/>
      <c r="C2502" s="11"/>
    </row>
    <row r="2503" spans="1:3" x14ac:dyDescent="0.25">
      <c r="A2503" s="16"/>
      <c r="C2503" s="11"/>
    </row>
    <row r="2504" spans="1:3" x14ac:dyDescent="0.25">
      <c r="A2504" s="16"/>
      <c r="C2504" s="11"/>
    </row>
    <row r="2505" spans="1:3" x14ac:dyDescent="0.25">
      <c r="A2505" s="16"/>
      <c r="C2505" s="11"/>
    </row>
    <row r="2506" spans="1:3" x14ac:dyDescent="0.25">
      <c r="A2506" s="16"/>
      <c r="C2506" s="11"/>
    </row>
    <row r="2507" spans="1:3" x14ac:dyDescent="0.25">
      <c r="A2507" s="16"/>
      <c r="C2507" s="11"/>
    </row>
    <row r="2508" spans="1:3" x14ac:dyDescent="0.25">
      <c r="A2508" s="16"/>
      <c r="C2508" s="11"/>
    </row>
    <row r="2509" spans="1:3" x14ac:dyDescent="0.25">
      <c r="A2509" s="16"/>
      <c r="C2509" s="11"/>
    </row>
    <row r="2510" spans="1:3" x14ac:dyDescent="0.25">
      <c r="A2510" s="16"/>
      <c r="C2510" s="11"/>
    </row>
    <row r="2511" spans="1:3" x14ac:dyDescent="0.25">
      <c r="A2511" s="16"/>
      <c r="C2511" s="11"/>
    </row>
    <row r="2512" spans="1:3" x14ac:dyDescent="0.25">
      <c r="A2512" s="16"/>
      <c r="C2512" s="11"/>
    </row>
    <row r="2513" spans="1:3" x14ac:dyDescent="0.25">
      <c r="A2513" s="16"/>
      <c r="C2513" s="11"/>
    </row>
    <row r="2514" spans="1:3" x14ac:dyDescent="0.25">
      <c r="A2514" s="16"/>
      <c r="C2514" s="11"/>
    </row>
    <row r="2515" spans="1:3" x14ac:dyDescent="0.25">
      <c r="A2515" s="16"/>
      <c r="C2515" s="11"/>
    </row>
    <row r="2516" spans="1:3" x14ac:dyDescent="0.25">
      <c r="A2516" s="16"/>
      <c r="C2516" s="11"/>
    </row>
    <row r="2517" spans="1:3" x14ac:dyDescent="0.25">
      <c r="A2517" s="16"/>
      <c r="C2517" s="11"/>
    </row>
    <row r="2518" spans="1:3" x14ac:dyDescent="0.25">
      <c r="A2518" s="16"/>
      <c r="C2518" s="11"/>
    </row>
    <row r="2519" spans="1:3" x14ac:dyDescent="0.25">
      <c r="A2519" s="16"/>
      <c r="C2519" s="11"/>
    </row>
    <row r="2520" spans="1:3" x14ac:dyDescent="0.25">
      <c r="A2520" s="16"/>
      <c r="C2520" s="11"/>
    </row>
    <row r="2521" spans="1:3" x14ac:dyDescent="0.25">
      <c r="A2521" s="16"/>
      <c r="C2521" s="11"/>
    </row>
    <row r="2522" spans="1:3" x14ac:dyDescent="0.25">
      <c r="A2522" s="16"/>
      <c r="C2522" s="11"/>
    </row>
    <row r="2523" spans="1:3" x14ac:dyDescent="0.25">
      <c r="A2523" s="16"/>
      <c r="C2523" s="11"/>
    </row>
    <row r="2524" spans="1:3" x14ac:dyDescent="0.25">
      <c r="A2524" s="16"/>
      <c r="C2524" s="11"/>
    </row>
    <row r="2525" spans="1:3" x14ac:dyDescent="0.25">
      <c r="A2525" s="16"/>
      <c r="C2525" s="11"/>
    </row>
    <row r="2526" spans="1:3" x14ac:dyDescent="0.25">
      <c r="A2526" s="16"/>
      <c r="C2526" s="11"/>
    </row>
    <row r="2527" spans="1:3" x14ac:dyDescent="0.25">
      <c r="A2527" s="16"/>
      <c r="C2527" s="11"/>
    </row>
    <row r="2528" spans="1:3" x14ac:dyDescent="0.25">
      <c r="A2528" s="16"/>
      <c r="C2528" s="11"/>
    </row>
    <row r="2529" spans="1:3" x14ac:dyDescent="0.25">
      <c r="A2529" s="16"/>
      <c r="C2529" s="11"/>
    </row>
    <row r="2530" spans="1:3" x14ac:dyDescent="0.25">
      <c r="A2530" s="16"/>
      <c r="C2530" s="11"/>
    </row>
    <row r="2531" spans="1:3" x14ac:dyDescent="0.25">
      <c r="A2531" s="16"/>
      <c r="C2531" s="11"/>
    </row>
    <row r="2532" spans="1:3" x14ac:dyDescent="0.25">
      <c r="A2532" s="16"/>
      <c r="C2532" s="11"/>
    </row>
    <row r="2533" spans="1:3" x14ac:dyDescent="0.25">
      <c r="A2533" s="16"/>
      <c r="C2533" s="11"/>
    </row>
    <row r="2534" spans="1:3" x14ac:dyDescent="0.25">
      <c r="A2534" s="16"/>
      <c r="C2534" s="11"/>
    </row>
    <row r="2535" spans="1:3" x14ac:dyDescent="0.25">
      <c r="A2535" s="16"/>
      <c r="C2535" s="11"/>
    </row>
    <row r="2536" spans="1:3" x14ac:dyDescent="0.25">
      <c r="A2536" s="16"/>
      <c r="C2536" s="11"/>
    </row>
    <row r="2537" spans="1:3" x14ac:dyDescent="0.25">
      <c r="A2537" s="16"/>
      <c r="C2537" s="11"/>
    </row>
    <row r="2538" spans="1:3" x14ac:dyDescent="0.25">
      <c r="A2538" s="16"/>
      <c r="C2538" s="11"/>
    </row>
    <row r="2539" spans="1:3" x14ac:dyDescent="0.25">
      <c r="A2539" s="16"/>
      <c r="C2539" s="11"/>
    </row>
    <row r="2540" spans="1:3" x14ac:dyDescent="0.25">
      <c r="A2540" s="16"/>
      <c r="C2540" s="11"/>
    </row>
    <row r="2541" spans="1:3" x14ac:dyDescent="0.25">
      <c r="A2541" s="16"/>
      <c r="C2541" s="11"/>
    </row>
    <row r="2542" spans="1:3" x14ac:dyDescent="0.25">
      <c r="A2542" s="16"/>
      <c r="C2542" s="11"/>
    </row>
    <row r="2543" spans="1:3" x14ac:dyDescent="0.25">
      <c r="A2543" s="16"/>
      <c r="C2543" s="11"/>
    </row>
    <row r="2544" spans="1:3" x14ac:dyDescent="0.25">
      <c r="A2544" s="16"/>
      <c r="C2544" s="11"/>
    </row>
    <row r="2545" spans="1:3" x14ac:dyDescent="0.25">
      <c r="A2545" s="16"/>
      <c r="C2545" s="11"/>
    </row>
    <row r="2546" spans="1:3" x14ac:dyDescent="0.25">
      <c r="A2546" s="16"/>
      <c r="C2546" s="11"/>
    </row>
    <row r="2547" spans="1:3" x14ac:dyDescent="0.25">
      <c r="A2547" s="16"/>
      <c r="C2547" s="11"/>
    </row>
    <row r="2548" spans="1:3" x14ac:dyDescent="0.25">
      <c r="A2548" s="16"/>
      <c r="C2548" s="11"/>
    </row>
    <row r="2549" spans="1:3" x14ac:dyDescent="0.25">
      <c r="A2549" s="16"/>
      <c r="C2549" s="11"/>
    </row>
    <row r="2550" spans="1:3" x14ac:dyDescent="0.25">
      <c r="A2550" s="16"/>
      <c r="C2550" s="11"/>
    </row>
    <row r="2551" spans="1:3" x14ac:dyDescent="0.25">
      <c r="A2551" s="16"/>
      <c r="C2551" s="11"/>
    </row>
    <row r="2552" spans="1:3" x14ac:dyDescent="0.25">
      <c r="A2552" s="16"/>
      <c r="C2552" s="11"/>
    </row>
    <row r="2553" spans="1:3" x14ac:dyDescent="0.25">
      <c r="A2553" s="16"/>
      <c r="C2553" s="11"/>
    </row>
    <row r="2554" spans="1:3" x14ac:dyDescent="0.25">
      <c r="A2554" s="16"/>
      <c r="C2554" s="11"/>
    </row>
    <row r="2555" spans="1:3" x14ac:dyDescent="0.25">
      <c r="A2555" s="16"/>
      <c r="C2555" s="11"/>
    </row>
    <row r="2556" spans="1:3" x14ac:dyDescent="0.25">
      <c r="A2556" s="16"/>
      <c r="C2556" s="11"/>
    </row>
    <row r="2557" spans="1:3" x14ac:dyDescent="0.25">
      <c r="A2557" s="16"/>
      <c r="C2557" s="11"/>
    </row>
    <row r="2558" spans="1:3" x14ac:dyDescent="0.25">
      <c r="A2558" s="16"/>
      <c r="C2558" s="11"/>
    </row>
    <row r="2559" spans="1:3" x14ac:dyDescent="0.25">
      <c r="A2559" s="16"/>
      <c r="C2559" s="11"/>
    </row>
    <row r="2560" spans="1:3" x14ac:dyDescent="0.25">
      <c r="A2560" s="16"/>
      <c r="C2560" s="11"/>
    </row>
    <row r="2561" spans="1:3" x14ac:dyDescent="0.25">
      <c r="A2561" s="16"/>
      <c r="C2561" s="11"/>
    </row>
    <row r="2562" spans="1:3" x14ac:dyDescent="0.25">
      <c r="A2562" s="16"/>
      <c r="C2562" s="11"/>
    </row>
    <row r="2563" spans="1:3" x14ac:dyDescent="0.25">
      <c r="A2563" s="16"/>
      <c r="C2563" s="11"/>
    </row>
    <row r="2564" spans="1:3" x14ac:dyDescent="0.25">
      <c r="A2564" s="16"/>
      <c r="C2564" s="11"/>
    </row>
    <row r="2565" spans="1:3" x14ac:dyDescent="0.25">
      <c r="A2565" s="16"/>
      <c r="C2565" s="11"/>
    </row>
    <row r="2566" spans="1:3" x14ac:dyDescent="0.25">
      <c r="A2566" s="16"/>
      <c r="C2566" s="11"/>
    </row>
    <row r="2567" spans="1:3" x14ac:dyDescent="0.25">
      <c r="A2567" s="16"/>
      <c r="C2567" s="11"/>
    </row>
    <row r="2568" spans="1:3" x14ac:dyDescent="0.25">
      <c r="A2568" s="16"/>
      <c r="C2568" s="11"/>
    </row>
    <row r="2569" spans="1:3" x14ac:dyDescent="0.25">
      <c r="A2569" s="16"/>
      <c r="C2569" s="11"/>
    </row>
    <row r="2570" spans="1:3" x14ac:dyDescent="0.25">
      <c r="A2570" s="16"/>
      <c r="C2570" s="11"/>
    </row>
    <row r="2571" spans="1:3" x14ac:dyDescent="0.25">
      <c r="A2571" s="16"/>
      <c r="C2571" s="11"/>
    </row>
    <row r="2572" spans="1:3" x14ac:dyDescent="0.25">
      <c r="A2572" s="16"/>
      <c r="C2572" s="11"/>
    </row>
    <row r="2573" spans="1:3" x14ac:dyDescent="0.25">
      <c r="A2573" s="16"/>
      <c r="C2573" s="11"/>
    </row>
    <row r="2574" spans="1:3" x14ac:dyDescent="0.25">
      <c r="A2574" s="16"/>
      <c r="C2574" s="11"/>
    </row>
    <row r="2575" spans="1:3" x14ac:dyDescent="0.25">
      <c r="A2575" s="16"/>
      <c r="C2575" s="11"/>
    </row>
    <row r="2576" spans="1:3" x14ac:dyDescent="0.25">
      <c r="A2576" s="16"/>
      <c r="C2576" s="11"/>
    </row>
    <row r="2577" spans="1:3" x14ac:dyDescent="0.25">
      <c r="A2577" s="16"/>
      <c r="C2577" s="11"/>
    </row>
    <row r="2578" spans="1:3" x14ac:dyDescent="0.25">
      <c r="A2578" s="16"/>
      <c r="C2578" s="11"/>
    </row>
    <row r="2579" spans="1:3" x14ac:dyDescent="0.25">
      <c r="A2579" s="16"/>
      <c r="C2579" s="11"/>
    </row>
    <row r="2580" spans="1:3" x14ac:dyDescent="0.25">
      <c r="A2580" s="16"/>
      <c r="C2580" s="11"/>
    </row>
    <row r="2581" spans="1:3" x14ac:dyDescent="0.25">
      <c r="A2581" s="16"/>
      <c r="C2581" s="11"/>
    </row>
    <row r="2582" spans="1:3" x14ac:dyDescent="0.25">
      <c r="A2582" s="16"/>
      <c r="C2582" s="11"/>
    </row>
    <row r="2583" spans="1:3" x14ac:dyDescent="0.25">
      <c r="A2583" s="16"/>
      <c r="C2583" s="11"/>
    </row>
    <row r="2584" spans="1:3" x14ac:dyDescent="0.25">
      <c r="A2584" s="16"/>
      <c r="C2584" s="11"/>
    </row>
    <row r="2585" spans="1:3" x14ac:dyDescent="0.25">
      <c r="A2585" s="16"/>
      <c r="C2585" s="11"/>
    </row>
    <row r="2586" spans="1:3" x14ac:dyDescent="0.25">
      <c r="A2586" s="16"/>
      <c r="C2586" s="11"/>
    </row>
    <row r="2587" spans="1:3" x14ac:dyDescent="0.25">
      <c r="A2587" s="16"/>
      <c r="C2587" s="11"/>
    </row>
    <row r="2588" spans="1:3" x14ac:dyDescent="0.25">
      <c r="A2588" s="16"/>
      <c r="C2588" s="11"/>
    </row>
    <row r="2589" spans="1:3" x14ac:dyDescent="0.25">
      <c r="A2589" s="16"/>
      <c r="C2589" s="11"/>
    </row>
    <row r="2590" spans="1:3" x14ac:dyDescent="0.25">
      <c r="A2590" s="16"/>
      <c r="C2590" s="11"/>
    </row>
    <row r="2591" spans="1:3" x14ac:dyDescent="0.25">
      <c r="A2591" s="16"/>
      <c r="C2591" s="11"/>
    </row>
    <row r="2592" spans="1:3" x14ac:dyDescent="0.25">
      <c r="A2592" s="16"/>
      <c r="C2592" s="11"/>
    </row>
    <row r="2593" spans="1:3" x14ac:dyDescent="0.25">
      <c r="A2593" s="16"/>
      <c r="C2593" s="11"/>
    </row>
    <row r="2594" spans="1:3" x14ac:dyDescent="0.25">
      <c r="A2594" s="16"/>
      <c r="C2594" s="11"/>
    </row>
    <row r="2595" spans="1:3" x14ac:dyDescent="0.25">
      <c r="A2595" s="16"/>
      <c r="C2595" s="11"/>
    </row>
    <row r="2596" spans="1:3" x14ac:dyDescent="0.25">
      <c r="A2596" s="16"/>
      <c r="C2596" s="11"/>
    </row>
    <row r="2597" spans="1:3" x14ac:dyDescent="0.25">
      <c r="A2597" s="16"/>
      <c r="C2597" s="11"/>
    </row>
    <row r="2598" spans="1:3" x14ac:dyDescent="0.25">
      <c r="A2598" s="16"/>
      <c r="C2598" s="11"/>
    </row>
    <row r="2599" spans="1:3" x14ac:dyDescent="0.25">
      <c r="A2599" s="16"/>
      <c r="C2599" s="11"/>
    </row>
    <row r="2600" spans="1:3" x14ac:dyDescent="0.25">
      <c r="A2600" s="16"/>
      <c r="C2600" s="11"/>
    </row>
    <row r="2601" spans="1:3" x14ac:dyDescent="0.25">
      <c r="A2601" s="16"/>
      <c r="C2601" s="11"/>
    </row>
    <row r="2602" spans="1:3" x14ac:dyDescent="0.25">
      <c r="A2602" s="16"/>
      <c r="C2602" s="11"/>
    </row>
    <row r="2603" spans="1:3" x14ac:dyDescent="0.25">
      <c r="A2603" s="16"/>
      <c r="C2603" s="11"/>
    </row>
    <row r="2604" spans="1:3" x14ac:dyDescent="0.25">
      <c r="A2604" s="16"/>
      <c r="C2604" s="11"/>
    </row>
    <row r="2605" spans="1:3" x14ac:dyDescent="0.25">
      <c r="A2605" s="16"/>
      <c r="C2605" s="11"/>
    </row>
    <row r="2606" spans="1:3" x14ac:dyDescent="0.25">
      <c r="A2606" s="16"/>
      <c r="C2606" s="11"/>
    </row>
    <row r="2607" spans="1:3" x14ac:dyDescent="0.25">
      <c r="A2607" s="16"/>
      <c r="C2607" s="11"/>
    </row>
    <row r="2608" spans="1:3" x14ac:dyDescent="0.25">
      <c r="A2608" s="16"/>
      <c r="C2608" s="11"/>
    </row>
    <row r="2609" spans="1:3" x14ac:dyDescent="0.25">
      <c r="A2609" s="16"/>
      <c r="C2609" s="11"/>
    </row>
    <row r="2610" spans="1:3" x14ac:dyDescent="0.25">
      <c r="A2610" s="16"/>
      <c r="C2610" s="11"/>
    </row>
    <row r="2611" spans="1:3" x14ac:dyDescent="0.25">
      <c r="A2611" s="16"/>
      <c r="C2611" s="11"/>
    </row>
    <row r="2612" spans="1:3" x14ac:dyDescent="0.25">
      <c r="A2612" s="16"/>
      <c r="C2612" s="11"/>
    </row>
    <row r="2613" spans="1:3" x14ac:dyDescent="0.25">
      <c r="A2613" s="16"/>
      <c r="C2613" s="11"/>
    </row>
    <row r="2614" spans="1:3" x14ac:dyDescent="0.25">
      <c r="A2614" s="16"/>
      <c r="C2614" s="11"/>
    </row>
    <row r="2615" spans="1:3" x14ac:dyDescent="0.25">
      <c r="A2615" s="16"/>
      <c r="C2615" s="11"/>
    </row>
    <row r="2616" spans="1:3" x14ac:dyDescent="0.25">
      <c r="A2616" s="16"/>
      <c r="C2616" s="11"/>
    </row>
    <row r="2617" spans="1:3" x14ac:dyDescent="0.25">
      <c r="A2617" s="16"/>
      <c r="C2617" s="11"/>
    </row>
    <row r="2618" spans="1:3" x14ac:dyDescent="0.25">
      <c r="A2618" s="16"/>
      <c r="C2618" s="11"/>
    </row>
    <row r="2619" spans="1:3" x14ac:dyDescent="0.25">
      <c r="A2619" s="16"/>
      <c r="C2619" s="11"/>
    </row>
    <row r="2620" spans="1:3" x14ac:dyDescent="0.25">
      <c r="A2620" s="16"/>
      <c r="C2620" s="11"/>
    </row>
    <row r="2621" spans="1:3" x14ac:dyDescent="0.25">
      <c r="A2621" s="16"/>
      <c r="C2621" s="11"/>
    </row>
    <row r="2622" spans="1:3" x14ac:dyDescent="0.25">
      <c r="A2622" s="16"/>
      <c r="C2622" s="11"/>
    </row>
    <row r="2623" spans="1:3" x14ac:dyDescent="0.25">
      <c r="A2623" s="16"/>
      <c r="C2623" s="11"/>
    </row>
    <row r="2624" spans="1:3" x14ac:dyDescent="0.25">
      <c r="A2624" s="16"/>
      <c r="C2624" s="11"/>
    </row>
    <row r="2625" spans="1:3" x14ac:dyDescent="0.25">
      <c r="A2625" s="16"/>
      <c r="C2625" s="11"/>
    </row>
    <row r="2626" spans="1:3" x14ac:dyDescent="0.25">
      <c r="A2626" s="16"/>
      <c r="C2626" s="11"/>
    </row>
    <row r="2627" spans="1:3" x14ac:dyDescent="0.25">
      <c r="A2627" s="16"/>
      <c r="C2627" s="11"/>
    </row>
    <row r="2628" spans="1:3" x14ac:dyDescent="0.25">
      <c r="A2628" s="16"/>
      <c r="C2628" s="11"/>
    </row>
    <row r="2629" spans="1:3" x14ac:dyDescent="0.25">
      <c r="A2629" s="16"/>
      <c r="C2629" s="11"/>
    </row>
    <row r="2630" spans="1:3" x14ac:dyDescent="0.25">
      <c r="A2630" s="16"/>
      <c r="C2630" s="11"/>
    </row>
    <row r="2631" spans="1:3" x14ac:dyDescent="0.25">
      <c r="A2631" s="16"/>
      <c r="C2631" s="11"/>
    </row>
    <row r="2632" spans="1:3" x14ac:dyDescent="0.25">
      <c r="A2632" s="16"/>
      <c r="C2632" s="11"/>
    </row>
    <row r="2633" spans="1:3" x14ac:dyDescent="0.25">
      <c r="A2633" s="16"/>
      <c r="C2633" s="11"/>
    </row>
    <row r="2634" spans="1:3" x14ac:dyDescent="0.25">
      <c r="A2634" s="16"/>
      <c r="C2634" s="11"/>
    </row>
    <row r="2635" spans="1:3" x14ac:dyDescent="0.25">
      <c r="A2635" s="16"/>
      <c r="C2635" s="11"/>
    </row>
    <row r="2636" spans="1:3" x14ac:dyDescent="0.25">
      <c r="A2636" s="16"/>
      <c r="C2636" s="11"/>
    </row>
    <row r="2637" spans="1:3" x14ac:dyDescent="0.25">
      <c r="A2637" s="16"/>
      <c r="C2637" s="11"/>
    </row>
    <row r="2638" spans="1:3" x14ac:dyDescent="0.25">
      <c r="A2638" s="16"/>
      <c r="C2638" s="11"/>
    </row>
    <row r="2639" spans="1:3" x14ac:dyDescent="0.25">
      <c r="A2639" s="16"/>
      <c r="C2639" s="11"/>
    </row>
    <row r="2640" spans="1:3" x14ac:dyDescent="0.25">
      <c r="A2640" s="16"/>
      <c r="C2640" s="11"/>
    </row>
    <row r="2641" spans="1:3" x14ac:dyDescent="0.25">
      <c r="A2641" s="16"/>
      <c r="C2641" s="11"/>
    </row>
    <row r="2642" spans="1:3" x14ac:dyDescent="0.25">
      <c r="A2642" s="16"/>
      <c r="C2642" s="11"/>
    </row>
    <row r="2643" spans="1:3" x14ac:dyDescent="0.25">
      <c r="A2643" s="16"/>
      <c r="C2643" s="11"/>
    </row>
    <row r="2644" spans="1:3" x14ac:dyDescent="0.25">
      <c r="A2644" s="16"/>
      <c r="C2644" s="11"/>
    </row>
    <row r="2645" spans="1:3" x14ac:dyDescent="0.25">
      <c r="A2645" s="16"/>
      <c r="C2645" s="11"/>
    </row>
    <row r="2646" spans="1:3" x14ac:dyDescent="0.25">
      <c r="A2646" s="16"/>
      <c r="C2646" s="11"/>
    </row>
    <row r="2647" spans="1:3" x14ac:dyDescent="0.25">
      <c r="A2647" s="16"/>
      <c r="C2647" s="11"/>
    </row>
    <row r="2648" spans="1:3" x14ac:dyDescent="0.25">
      <c r="A2648" s="16"/>
      <c r="C2648" s="11"/>
    </row>
    <row r="2649" spans="1:3" x14ac:dyDescent="0.25">
      <c r="A2649" s="16"/>
      <c r="C2649" s="11"/>
    </row>
    <row r="2650" spans="1:3" x14ac:dyDescent="0.25">
      <c r="A2650" s="16"/>
      <c r="C2650" s="11"/>
    </row>
    <row r="2651" spans="1:3" x14ac:dyDescent="0.25">
      <c r="A2651" s="16"/>
      <c r="C2651" s="11"/>
    </row>
    <row r="2652" spans="1:3" x14ac:dyDescent="0.25">
      <c r="A2652" s="16"/>
      <c r="C2652" s="11"/>
    </row>
    <row r="2653" spans="1:3" x14ac:dyDescent="0.25">
      <c r="A2653" s="16"/>
      <c r="C2653" s="11"/>
    </row>
    <row r="2654" spans="1:3" x14ac:dyDescent="0.25">
      <c r="A2654" s="16"/>
      <c r="C2654" s="11"/>
    </row>
    <row r="2655" spans="1:3" x14ac:dyDescent="0.25">
      <c r="A2655" s="16"/>
      <c r="C2655" s="11"/>
    </row>
    <row r="2656" spans="1:3" x14ac:dyDescent="0.25">
      <c r="A2656" s="16"/>
      <c r="C2656" s="11"/>
    </row>
    <row r="2657" spans="1:3" x14ac:dyDescent="0.25">
      <c r="A2657" s="16"/>
      <c r="C2657" s="11"/>
    </row>
    <row r="2658" spans="1:3" x14ac:dyDescent="0.25">
      <c r="A2658" s="16"/>
      <c r="C2658" s="11"/>
    </row>
    <row r="2659" spans="1:3" x14ac:dyDescent="0.25">
      <c r="A2659" s="16"/>
      <c r="C2659" s="11"/>
    </row>
    <row r="2660" spans="1:3" x14ac:dyDescent="0.25">
      <c r="A2660" s="16"/>
      <c r="C2660" s="11"/>
    </row>
    <row r="2661" spans="1:3" x14ac:dyDescent="0.25">
      <c r="A2661" s="16"/>
      <c r="C2661" s="11"/>
    </row>
    <row r="2662" spans="1:3" x14ac:dyDescent="0.25">
      <c r="A2662" s="16"/>
      <c r="C2662" s="11"/>
    </row>
    <row r="2663" spans="1:3" x14ac:dyDescent="0.25">
      <c r="A2663" s="16"/>
      <c r="C2663" s="11"/>
    </row>
    <row r="2664" spans="1:3" x14ac:dyDescent="0.25">
      <c r="A2664" s="16"/>
      <c r="C2664" s="11"/>
    </row>
    <row r="2665" spans="1:3" x14ac:dyDescent="0.25">
      <c r="A2665" s="16"/>
      <c r="C2665" s="11"/>
    </row>
    <row r="2666" spans="1:3" x14ac:dyDescent="0.25">
      <c r="A2666" s="16"/>
      <c r="C2666" s="11"/>
    </row>
    <row r="2667" spans="1:3" x14ac:dyDescent="0.25">
      <c r="A2667" s="16"/>
      <c r="C2667" s="11"/>
    </row>
    <row r="2668" spans="1:3" x14ac:dyDescent="0.25">
      <c r="A2668" s="16"/>
      <c r="C2668" s="11"/>
    </row>
    <row r="2669" spans="1:3" x14ac:dyDescent="0.25">
      <c r="A2669" s="16"/>
      <c r="C2669" s="11"/>
    </row>
    <row r="2670" spans="1:3" x14ac:dyDescent="0.25">
      <c r="A2670" s="16"/>
      <c r="C2670" s="11"/>
    </row>
    <row r="2671" spans="1:3" x14ac:dyDescent="0.25">
      <c r="A2671" s="16"/>
      <c r="C2671" s="11"/>
    </row>
    <row r="2672" spans="1:3" x14ac:dyDescent="0.25">
      <c r="A2672" s="16"/>
      <c r="C2672" s="11"/>
    </row>
    <row r="2673" spans="1:3" x14ac:dyDescent="0.25">
      <c r="A2673" s="16"/>
      <c r="C2673" s="11"/>
    </row>
    <row r="2674" spans="1:3" x14ac:dyDescent="0.25">
      <c r="A2674" s="16"/>
      <c r="C2674" s="11"/>
    </row>
    <row r="2675" spans="1:3" x14ac:dyDescent="0.25">
      <c r="A2675" s="16"/>
      <c r="C2675" s="11"/>
    </row>
    <row r="2676" spans="1:3" x14ac:dyDescent="0.25">
      <c r="A2676" s="16"/>
      <c r="C2676" s="11"/>
    </row>
    <row r="2677" spans="1:3" x14ac:dyDescent="0.25">
      <c r="A2677" s="16"/>
      <c r="C2677" s="11"/>
    </row>
    <row r="2678" spans="1:3" x14ac:dyDescent="0.25">
      <c r="A2678" s="16"/>
      <c r="C2678" s="11"/>
    </row>
    <row r="2679" spans="1:3" x14ac:dyDescent="0.25">
      <c r="A2679" s="16"/>
      <c r="C2679" s="11"/>
    </row>
    <row r="2680" spans="1:3" x14ac:dyDescent="0.25">
      <c r="A2680" s="16"/>
      <c r="C2680" s="11"/>
    </row>
    <row r="2681" spans="1:3" x14ac:dyDescent="0.25">
      <c r="A2681" s="16"/>
      <c r="C2681" s="11"/>
    </row>
    <row r="2682" spans="1:3" x14ac:dyDescent="0.25">
      <c r="A2682" s="16"/>
      <c r="C2682" s="11"/>
    </row>
    <row r="2683" spans="1:3" x14ac:dyDescent="0.25">
      <c r="A2683" s="16"/>
      <c r="C2683" s="11"/>
    </row>
    <row r="2684" spans="1:3" x14ac:dyDescent="0.25">
      <c r="A2684" s="16"/>
      <c r="C2684" s="11"/>
    </row>
    <row r="2685" spans="1:3" x14ac:dyDescent="0.25">
      <c r="A2685" s="16"/>
      <c r="C2685" s="11"/>
    </row>
    <row r="2686" spans="1:3" x14ac:dyDescent="0.25">
      <c r="A2686" s="16"/>
      <c r="C2686" s="11"/>
    </row>
    <row r="2687" spans="1:3" x14ac:dyDescent="0.25">
      <c r="A2687" s="16"/>
      <c r="C2687" s="11"/>
    </row>
    <row r="2688" spans="1:3" x14ac:dyDescent="0.25">
      <c r="A2688" s="16"/>
      <c r="C2688" s="11"/>
    </row>
    <row r="2689" spans="1:3" x14ac:dyDescent="0.25">
      <c r="A2689" s="16"/>
      <c r="C2689" s="11"/>
    </row>
    <row r="2690" spans="1:3" x14ac:dyDescent="0.25">
      <c r="A2690" s="16"/>
      <c r="C2690" s="11"/>
    </row>
    <row r="2691" spans="1:3" x14ac:dyDescent="0.25">
      <c r="A2691" s="16"/>
      <c r="C2691" s="11"/>
    </row>
    <row r="2692" spans="1:3" x14ac:dyDescent="0.25">
      <c r="A2692" s="16"/>
      <c r="C2692" s="11"/>
    </row>
    <row r="2693" spans="1:3" x14ac:dyDescent="0.25">
      <c r="A2693" s="16"/>
      <c r="C2693" s="11"/>
    </row>
    <row r="2694" spans="1:3" x14ac:dyDescent="0.25">
      <c r="A2694" s="16"/>
      <c r="C2694" s="11"/>
    </row>
    <row r="2695" spans="1:3" x14ac:dyDescent="0.25">
      <c r="A2695" s="16"/>
      <c r="C2695" s="11"/>
    </row>
    <row r="2696" spans="1:3" x14ac:dyDescent="0.25">
      <c r="A2696" s="16"/>
      <c r="C2696" s="11"/>
    </row>
    <row r="2697" spans="1:3" x14ac:dyDescent="0.25">
      <c r="A2697" s="16"/>
      <c r="C2697" s="11"/>
    </row>
    <row r="2698" spans="1:3" x14ac:dyDescent="0.25">
      <c r="A2698" s="16"/>
      <c r="C2698" s="11"/>
    </row>
    <row r="2699" spans="1:3" x14ac:dyDescent="0.25">
      <c r="A2699" s="16"/>
      <c r="C2699" s="11"/>
    </row>
    <row r="2700" spans="1:3" x14ac:dyDescent="0.25">
      <c r="A2700" s="16"/>
      <c r="C2700" s="11"/>
    </row>
    <row r="2701" spans="1:3" x14ac:dyDescent="0.25">
      <c r="A2701" s="16"/>
      <c r="C2701" s="11"/>
    </row>
    <row r="2702" spans="1:3" x14ac:dyDescent="0.25">
      <c r="A2702" s="16"/>
      <c r="C2702" s="11"/>
    </row>
    <row r="2703" spans="1:3" x14ac:dyDescent="0.25">
      <c r="A2703" s="16"/>
      <c r="C2703" s="11"/>
    </row>
    <row r="2704" spans="1:3" x14ac:dyDescent="0.25">
      <c r="A2704" s="16"/>
      <c r="C2704" s="11"/>
    </row>
    <row r="2705" spans="1:3" x14ac:dyDescent="0.25">
      <c r="A2705" s="16"/>
      <c r="C2705" s="11"/>
    </row>
    <row r="2706" spans="1:3" x14ac:dyDescent="0.25">
      <c r="A2706" s="16"/>
      <c r="C2706" s="11"/>
    </row>
    <row r="2707" spans="1:3" x14ac:dyDescent="0.25">
      <c r="A2707" s="16"/>
      <c r="C2707" s="11"/>
    </row>
    <row r="2708" spans="1:3" x14ac:dyDescent="0.25">
      <c r="A2708" s="16"/>
      <c r="C2708" s="11"/>
    </row>
    <row r="2709" spans="1:3" x14ac:dyDescent="0.25">
      <c r="A2709" s="16"/>
      <c r="C2709" s="11"/>
    </row>
    <row r="2710" spans="1:3" x14ac:dyDescent="0.25">
      <c r="A2710" s="16"/>
      <c r="C2710" s="11"/>
    </row>
    <row r="2711" spans="1:3" x14ac:dyDescent="0.25">
      <c r="A2711" s="16"/>
      <c r="C2711" s="11"/>
    </row>
    <row r="2712" spans="1:3" x14ac:dyDescent="0.25">
      <c r="A2712" s="16"/>
      <c r="C2712" s="11"/>
    </row>
    <row r="2713" spans="1:3" x14ac:dyDescent="0.25">
      <c r="A2713" s="16"/>
      <c r="C2713" s="11"/>
    </row>
    <row r="2714" spans="1:3" x14ac:dyDescent="0.25">
      <c r="A2714" s="16"/>
      <c r="C2714" s="11"/>
    </row>
    <row r="2715" spans="1:3" x14ac:dyDescent="0.25">
      <c r="A2715" s="16"/>
      <c r="C2715" s="11"/>
    </row>
    <row r="2716" spans="1:3" x14ac:dyDescent="0.25">
      <c r="A2716" s="16"/>
      <c r="C2716" s="11"/>
    </row>
    <row r="2717" spans="1:3" x14ac:dyDescent="0.25">
      <c r="A2717" s="16"/>
      <c r="C2717" s="11"/>
    </row>
    <row r="2718" spans="1:3" x14ac:dyDescent="0.25">
      <c r="A2718" s="16"/>
      <c r="C2718" s="11"/>
    </row>
    <row r="2719" spans="1:3" x14ac:dyDescent="0.25">
      <c r="A2719" s="16"/>
      <c r="C2719" s="11"/>
    </row>
    <row r="2720" spans="1:3" x14ac:dyDescent="0.25">
      <c r="A2720" s="16"/>
      <c r="C2720" s="11"/>
    </row>
    <row r="2721" spans="1:3" x14ac:dyDescent="0.25">
      <c r="A2721" s="16"/>
      <c r="C2721" s="11"/>
    </row>
    <row r="2722" spans="1:3" x14ac:dyDescent="0.25">
      <c r="A2722" s="16"/>
      <c r="C2722" s="11"/>
    </row>
    <row r="2723" spans="1:3" x14ac:dyDescent="0.25">
      <c r="A2723" s="16"/>
      <c r="C2723" s="11"/>
    </row>
    <row r="2724" spans="1:3" x14ac:dyDescent="0.25">
      <c r="A2724" s="16"/>
      <c r="C2724" s="11"/>
    </row>
    <row r="2725" spans="1:3" x14ac:dyDescent="0.25">
      <c r="A2725" s="16"/>
      <c r="C2725" s="11"/>
    </row>
    <row r="2726" spans="1:3" x14ac:dyDescent="0.25">
      <c r="A2726" s="16"/>
      <c r="C2726" s="11"/>
    </row>
    <row r="2727" spans="1:3" x14ac:dyDescent="0.25">
      <c r="A2727" s="16"/>
      <c r="C2727" s="11"/>
    </row>
    <row r="2728" spans="1:3" x14ac:dyDescent="0.25">
      <c r="A2728" s="16"/>
      <c r="C2728" s="11"/>
    </row>
    <row r="2729" spans="1:3" x14ac:dyDescent="0.25">
      <c r="A2729" s="16"/>
      <c r="C2729" s="11"/>
    </row>
    <row r="2730" spans="1:3" x14ac:dyDescent="0.25">
      <c r="A2730" s="16"/>
      <c r="C2730" s="11"/>
    </row>
    <row r="2731" spans="1:3" x14ac:dyDescent="0.25">
      <c r="A2731" s="16"/>
      <c r="C2731" s="11"/>
    </row>
    <row r="2732" spans="1:3" x14ac:dyDescent="0.25">
      <c r="A2732" s="16"/>
      <c r="C2732" s="11"/>
    </row>
    <row r="2733" spans="1:3" x14ac:dyDescent="0.25">
      <c r="A2733" s="16"/>
      <c r="C2733" s="11"/>
    </row>
    <row r="2734" spans="1:3" x14ac:dyDescent="0.25">
      <c r="A2734" s="16"/>
      <c r="C2734" s="11"/>
    </row>
    <row r="2735" spans="1:3" x14ac:dyDescent="0.25">
      <c r="A2735" s="16"/>
      <c r="C2735" s="11"/>
    </row>
    <row r="2736" spans="1:3" x14ac:dyDescent="0.25">
      <c r="A2736" s="16"/>
      <c r="C2736" s="11"/>
    </row>
    <row r="2737" spans="1:3" x14ac:dyDescent="0.25">
      <c r="A2737" s="16"/>
      <c r="C2737" s="11"/>
    </row>
    <row r="2738" spans="1:3" x14ac:dyDescent="0.25">
      <c r="A2738" s="16"/>
      <c r="C2738" s="11"/>
    </row>
    <row r="2739" spans="1:3" x14ac:dyDescent="0.25">
      <c r="A2739" s="16"/>
      <c r="C2739" s="11"/>
    </row>
    <row r="2740" spans="1:3" x14ac:dyDescent="0.25">
      <c r="A2740" s="16"/>
      <c r="C2740" s="11"/>
    </row>
    <row r="2741" spans="1:3" x14ac:dyDescent="0.25">
      <c r="A2741" s="16"/>
      <c r="C2741" s="11"/>
    </row>
    <row r="2742" spans="1:3" x14ac:dyDescent="0.25">
      <c r="A2742" s="16"/>
      <c r="C2742" s="11"/>
    </row>
    <row r="2743" spans="1:3" x14ac:dyDescent="0.25">
      <c r="A2743" s="16"/>
      <c r="C2743" s="11"/>
    </row>
    <row r="2744" spans="1:3" x14ac:dyDescent="0.25">
      <c r="A2744" s="16"/>
      <c r="C2744" s="11"/>
    </row>
    <row r="2745" spans="1:3" x14ac:dyDescent="0.25">
      <c r="A2745" s="16"/>
      <c r="C2745" s="11"/>
    </row>
    <row r="2746" spans="1:3" x14ac:dyDescent="0.25">
      <c r="A2746" s="16"/>
      <c r="C2746" s="11"/>
    </row>
    <row r="2747" spans="1:3" x14ac:dyDescent="0.25">
      <c r="A2747" s="16"/>
      <c r="C2747" s="11"/>
    </row>
    <row r="2748" spans="1:3" x14ac:dyDescent="0.25">
      <c r="A2748" s="16"/>
      <c r="C2748" s="11"/>
    </row>
    <row r="2749" spans="1:3" x14ac:dyDescent="0.25">
      <c r="A2749" s="16"/>
      <c r="C2749" s="11"/>
    </row>
    <row r="2750" spans="1:3" x14ac:dyDescent="0.25">
      <c r="A2750" s="16"/>
      <c r="C2750" s="11"/>
    </row>
    <row r="2751" spans="1:3" x14ac:dyDescent="0.25">
      <c r="A2751" s="16"/>
      <c r="C2751" s="11"/>
    </row>
    <row r="2752" spans="1:3" x14ac:dyDescent="0.25">
      <c r="A2752" s="16"/>
      <c r="C2752" s="11"/>
    </row>
    <row r="2753" spans="1:3" x14ac:dyDescent="0.25">
      <c r="A2753" s="16"/>
      <c r="C2753" s="11"/>
    </row>
    <row r="2754" spans="1:3" x14ac:dyDescent="0.25">
      <c r="A2754" s="16"/>
      <c r="C2754" s="11"/>
    </row>
    <row r="2755" spans="1:3" x14ac:dyDescent="0.25">
      <c r="A2755" s="16"/>
      <c r="C2755" s="11"/>
    </row>
    <row r="2756" spans="1:3" x14ac:dyDescent="0.25">
      <c r="A2756" s="16"/>
      <c r="C2756" s="11"/>
    </row>
    <row r="2757" spans="1:3" x14ac:dyDescent="0.25">
      <c r="A2757" s="16"/>
      <c r="C2757" s="11"/>
    </row>
    <row r="2758" spans="1:3" x14ac:dyDescent="0.25">
      <c r="A2758" s="16"/>
      <c r="C2758" s="11"/>
    </row>
    <row r="2759" spans="1:3" x14ac:dyDescent="0.25">
      <c r="A2759" s="16"/>
      <c r="C2759" s="11"/>
    </row>
    <row r="2760" spans="1:3" x14ac:dyDescent="0.25">
      <c r="A2760" s="16"/>
      <c r="C2760" s="11"/>
    </row>
    <row r="2761" spans="1:3" x14ac:dyDescent="0.25">
      <c r="A2761" s="16"/>
      <c r="C2761" s="11"/>
    </row>
    <row r="2762" spans="1:3" x14ac:dyDescent="0.25">
      <c r="A2762" s="16"/>
      <c r="C2762" s="11"/>
    </row>
    <row r="2763" spans="1:3" x14ac:dyDescent="0.25">
      <c r="A2763" s="16"/>
      <c r="C2763" s="11"/>
    </row>
    <row r="2764" spans="1:3" x14ac:dyDescent="0.25">
      <c r="A2764" s="16"/>
      <c r="C2764" s="11"/>
    </row>
    <row r="2765" spans="1:3" x14ac:dyDescent="0.25">
      <c r="A2765" s="16"/>
      <c r="C2765" s="11"/>
    </row>
    <row r="2766" spans="1:3" x14ac:dyDescent="0.25">
      <c r="A2766" s="16"/>
      <c r="C2766" s="11"/>
    </row>
  </sheetData>
  <autoFilter ref="A1:E1" xr:uid="{6D5B5172-9C75-415D-A4F9-6EE00805421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0835-0806-41EF-8D7C-A5291E465361}">
  <dimension ref="A1:G2766"/>
  <sheetViews>
    <sheetView topLeftCell="A1270" workbookViewId="0">
      <selection activeCell="R1294" sqref="R1294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9" bestFit="1" customWidth="1"/>
  </cols>
  <sheetData>
    <row r="1" spans="1:7" s="11" customFormat="1" x14ac:dyDescent="0.25">
      <c r="A1" s="10" t="s">
        <v>35</v>
      </c>
      <c r="B1" s="10" t="s">
        <v>29</v>
      </c>
      <c r="C1" s="10" t="s">
        <v>30</v>
      </c>
      <c r="D1" s="10" t="s">
        <v>40</v>
      </c>
      <c r="E1" s="10" t="s">
        <v>41</v>
      </c>
      <c r="F1" s="10" t="s">
        <v>42</v>
      </c>
      <c r="G1" s="10" t="s">
        <v>43</v>
      </c>
    </row>
    <row r="2" spans="1:7" x14ac:dyDescent="0.25">
      <c r="A2" s="12">
        <v>44197</v>
      </c>
      <c r="B2" s="13">
        <v>29250.59</v>
      </c>
      <c r="C2" s="17">
        <v>29385</v>
      </c>
      <c r="D2" s="5">
        <v>10.283655023396744</v>
      </c>
      <c r="E2" s="5">
        <v>10.288239619046751</v>
      </c>
      <c r="F2" s="5">
        <v>8.7321985182544637E-3</v>
      </c>
      <c r="G2" s="5">
        <v>0</v>
      </c>
    </row>
    <row r="3" spans="1:7" x14ac:dyDescent="0.25">
      <c r="A3" s="12">
        <v>44200</v>
      </c>
      <c r="B3" s="13">
        <v>31037.38</v>
      </c>
      <c r="C3" s="13">
        <v>31550</v>
      </c>
      <c r="D3" s="5">
        <v>10.342947563518171</v>
      </c>
      <c r="E3" s="5">
        <v>10.35932886796936</v>
      </c>
      <c r="F3" s="5">
        <v>5.9292540121427706E-2</v>
      </c>
      <c r="G3" s="5">
        <v>7.1089248922609372E-2</v>
      </c>
    </row>
    <row r="4" spans="1:7" x14ac:dyDescent="0.25">
      <c r="A4" s="12">
        <v>44201</v>
      </c>
      <c r="B4" s="13">
        <v>33792.239999999998</v>
      </c>
      <c r="C4" s="13">
        <v>34515</v>
      </c>
      <c r="D4" s="5">
        <v>10.42798646931344</v>
      </c>
      <c r="E4" s="5">
        <v>10.449149291137577</v>
      </c>
      <c r="F4" s="5">
        <v>8.503890579526896E-2</v>
      </c>
      <c r="G4" s="5">
        <v>8.9820423168216479E-2</v>
      </c>
    </row>
    <row r="5" spans="1:7" x14ac:dyDescent="0.25">
      <c r="A5" s="12">
        <v>44202</v>
      </c>
      <c r="B5" s="13">
        <v>35939.269999999997</v>
      </c>
      <c r="C5" s="13">
        <v>36565</v>
      </c>
      <c r="D5" s="5">
        <v>10.48958584850077</v>
      </c>
      <c r="E5" s="5">
        <v>10.506846777705052</v>
      </c>
      <c r="F5" s="5">
        <v>6.1599379187329717E-2</v>
      </c>
      <c r="G5" s="5">
        <v>5.7697486567475309E-2</v>
      </c>
    </row>
    <row r="6" spans="1:7" x14ac:dyDescent="0.25">
      <c r="A6" s="12">
        <v>44203</v>
      </c>
      <c r="B6" s="13">
        <v>39733</v>
      </c>
      <c r="C6" s="13">
        <v>39625</v>
      </c>
      <c r="D6" s="5">
        <v>10.589937355648342</v>
      </c>
      <c r="E6" s="5">
        <v>10.587215511179581</v>
      </c>
      <c r="F6" s="5">
        <v>0.10035150714757179</v>
      </c>
      <c r="G6" s="5">
        <v>8.0368733474529108E-2</v>
      </c>
    </row>
    <row r="7" spans="1:7" x14ac:dyDescent="0.25">
      <c r="A7" s="12">
        <v>44204</v>
      </c>
      <c r="B7" s="13">
        <v>40040.699999999997</v>
      </c>
      <c r="C7" s="13">
        <v>39520</v>
      </c>
      <c r="D7" s="5">
        <v>10.597651715793821</v>
      </c>
      <c r="E7" s="5">
        <v>10.584562151861805</v>
      </c>
      <c r="F7" s="5">
        <v>7.7143601454796595E-3</v>
      </c>
      <c r="G7" s="5">
        <v>-2.653359317775994E-3</v>
      </c>
    </row>
    <row r="8" spans="1:7" x14ac:dyDescent="0.25">
      <c r="A8" s="12">
        <v>44207</v>
      </c>
      <c r="B8" s="13">
        <v>33964.379999999997</v>
      </c>
      <c r="C8" s="13">
        <v>33780</v>
      </c>
      <c r="D8" s="5">
        <v>10.433067607373706</v>
      </c>
      <c r="E8" s="5">
        <v>10.427624190361792</v>
      </c>
      <c r="F8" s="5">
        <v>-0.16458410842011517</v>
      </c>
      <c r="G8" s="5">
        <v>-0.15693796150001305</v>
      </c>
    </row>
    <row r="9" spans="1:7" x14ac:dyDescent="0.25">
      <c r="A9" s="12">
        <v>44208</v>
      </c>
      <c r="B9" s="13">
        <v>34712.730000000003</v>
      </c>
      <c r="C9" s="13">
        <v>34500</v>
      </c>
      <c r="D9" s="5">
        <v>10.454861757448343</v>
      </c>
      <c r="E9" s="5">
        <v>10.448714603019452</v>
      </c>
      <c r="F9" s="5">
        <v>2.1794150074637031E-2</v>
      </c>
      <c r="G9" s="5">
        <v>2.1090412657660096E-2</v>
      </c>
    </row>
    <row r="10" spans="1:7" x14ac:dyDescent="0.25">
      <c r="A10" s="12">
        <v>44209</v>
      </c>
      <c r="B10" s="13">
        <v>37283.480000000003</v>
      </c>
      <c r="C10" s="13">
        <v>36375</v>
      </c>
      <c r="D10" s="5">
        <v>10.526305612082393</v>
      </c>
      <c r="E10" s="5">
        <v>10.501637004473794</v>
      </c>
      <c r="F10" s="5">
        <v>7.1443854634049231E-2</v>
      </c>
      <c r="G10" s="5">
        <v>5.2922401454342349E-2</v>
      </c>
    </row>
    <row r="11" spans="1:7" x14ac:dyDescent="0.25">
      <c r="A11" s="12">
        <v>44210</v>
      </c>
      <c r="B11" s="13">
        <v>38765.5</v>
      </c>
      <c r="C11" s="13">
        <v>39605</v>
      </c>
      <c r="D11" s="5">
        <v>10.565285954802819</v>
      </c>
      <c r="E11" s="5">
        <v>10.586710651898381</v>
      </c>
      <c r="F11" s="5">
        <v>3.8980342720426719E-2</v>
      </c>
      <c r="G11" s="5">
        <v>8.5073647424586341E-2</v>
      </c>
    </row>
    <row r="12" spans="1:7" x14ac:dyDescent="0.25">
      <c r="A12" s="12">
        <v>44211</v>
      </c>
      <c r="B12" s="13">
        <v>36261.519999999997</v>
      </c>
      <c r="C12" s="13">
        <v>35625</v>
      </c>
      <c r="D12" s="5">
        <v>10.498512402900737</v>
      </c>
      <c r="E12" s="5">
        <v>10.480802917570951</v>
      </c>
      <c r="F12" s="5">
        <v>-6.6773551902082673E-2</v>
      </c>
      <c r="G12" s="5">
        <v>-0.10590773432742928</v>
      </c>
    </row>
    <row r="13" spans="1:7" x14ac:dyDescent="0.25">
      <c r="A13" s="12">
        <v>44214</v>
      </c>
      <c r="B13" s="13">
        <v>36234.129999999997</v>
      </c>
      <c r="C13" s="17">
        <v>35625</v>
      </c>
      <c r="D13" s="5">
        <v>10.497756771319994</v>
      </c>
      <c r="E13" s="5">
        <v>10.480802917570951</v>
      </c>
      <c r="F13" s="5">
        <v>-7.5563158074309911E-4</v>
      </c>
      <c r="G13" s="5">
        <v>0</v>
      </c>
    </row>
    <row r="14" spans="1:7" x14ac:dyDescent="0.25">
      <c r="A14" s="12">
        <v>44215</v>
      </c>
      <c r="B14" s="13">
        <v>36489.64</v>
      </c>
      <c r="C14" s="13">
        <v>36595</v>
      </c>
      <c r="D14" s="5">
        <v>10.504783663665192</v>
      </c>
      <c r="E14" s="5">
        <v>10.507666898035328</v>
      </c>
      <c r="F14" s="5">
        <v>7.0268923451983767E-3</v>
      </c>
      <c r="G14" s="5">
        <v>2.686398046437688E-2</v>
      </c>
    </row>
    <row r="15" spans="1:7" x14ac:dyDescent="0.25">
      <c r="A15" s="12">
        <v>44216</v>
      </c>
      <c r="B15" s="13">
        <v>34913.07</v>
      </c>
      <c r="C15" s="13">
        <v>35035</v>
      </c>
      <c r="D15" s="5">
        <v>10.460616536650768</v>
      </c>
      <c r="E15" s="5">
        <v>10.464102840804633</v>
      </c>
      <c r="F15" s="5">
        <v>-4.4167127014423713E-2</v>
      </c>
      <c r="G15" s="5">
        <v>-4.3564057230694786E-2</v>
      </c>
    </row>
    <row r="16" spans="1:7" x14ac:dyDescent="0.25">
      <c r="A16" s="12">
        <v>44217</v>
      </c>
      <c r="B16" s="13">
        <v>31217</v>
      </c>
      <c r="C16" s="13">
        <v>31920</v>
      </c>
      <c r="D16" s="5">
        <v>10.348718097203708</v>
      </c>
      <c r="E16" s="5">
        <v>10.370988051563746</v>
      </c>
      <c r="F16" s="5">
        <v>-0.11189843944706013</v>
      </c>
      <c r="G16" s="5">
        <v>-9.3114789240887674E-2</v>
      </c>
    </row>
    <row r="17" spans="1:7" x14ac:dyDescent="0.25">
      <c r="A17" s="12">
        <v>44218</v>
      </c>
      <c r="B17" s="13">
        <v>33322.33</v>
      </c>
      <c r="C17" s="13">
        <v>33580</v>
      </c>
      <c r="D17" s="5">
        <v>10.413983021807121</v>
      </c>
      <c r="E17" s="5">
        <v>10.421685930631531</v>
      </c>
      <c r="F17" s="5">
        <v>6.5264924603413377E-2</v>
      </c>
      <c r="G17" s="5">
        <v>5.0697879067785223E-2</v>
      </c>
    </row>
    <row r="18" spans="1:7" x14ac:dyDescent="0.25">
      <c r="A18" s="12">
        <v>44221</v>
      </c>
      <c r="B18" s="13">
        <v>32701.29</v>
      </c>
      <c r="C18" s="13">
        <v>33440</v>
      </c>
      <c r="D18" s="5">
        <v>10.395169805648516</v>
      </c>
      <c r="E18" s="5">
        <v>10.417508067198638</v>
      </c>
      <c r="F18" s="5">
        <v>-1.8813216158605428E-2</v>
      </c>
      <c r="G18" s="5">
        <v>-4.1778634328935027E-3</v>
      </c>
    </row>
    <row r="19" spans="1:7" x14ac:dyDescent="0.25">
      <c r="A19" s="12">
        <v>44222</v>
      </c>
      <c r="B19" s="13">
        <v>32017.040000000001</v>
      </c>
      <c r="C19" s="13">
        <v>31950</v>
      </c>
      <c r="D19" s="5">
        <v>10.374023540054051</v>
      </c>
      <c r="E19" s="5">
        <v>10.371927459805681</v>
      </c>
      <c r="F19" s="5">
        <v>-2.1146265594465419E-2</v>
      </c>
      <c r="G19" s="5">
        <v>-4.5580607392956551E-2</v>
      </c>
    </row>
    <row r="20" spans="1:7" x14ac:dyDescent="0.25">
      <c r="A20" s="12">
        <v>44223</v>
      </c>
      <c r="B20" s="13">
        <v>31005.85</v>
      </c>
      <c r="C20" s="13">
        <v>31475</v>
      </c>
      <c r="D20" s="5">
        <v>10.341931175341271</v>
      </c>
      <c r="E20" s="5">
        <v>10.356948858912547</v>
      </c>
      <c r="F20" s="5">
        <v>-3.2092364712779542E-2</v>
      </c>
      <c r="G20" s="5">
        <v>-1.4978600893133631E-2</v>
      </c>
    </row>
    <row r="21" spans="1:7" x14ac:dyDescent="0.25">
      <c r="A21" s="12">
        <v>44224</v>
      </c>
      <c r="B21" s="13">
        <v>33248.019999999997</v>
      </c>
      <c r="C21" s="13">
        <v>32650</v>
      </c>
      <c r="D21" s="5">
        <v>10.411750495438715</v>
      </c>
      <c r="E21" s="5">
        <v>10.393600134704577</v>
      </c>
      <c r="F21" s="5">
        <v>6.9819320097444404E-2</v>
      </c>
      <c r="G21" s="5">
        <v>3.6651275792030091E-2</v>
      </c>
    </row>
    <row r="22" spans="1:7" x14ac:dyDescent="0.25">
      <c r="A22" s="12">
        <v>44225</v>
      </c>
      <c r="B22" s="13">
        <v>34641.089999999997</v>
      </c>
      <c r="C22" s="13">
        <v>37242.300000000003</v>
      </c>
      <c r="D22" s="5">
        <v>10.452795828694013</v>
      </c>
      <c r="E22" s="5">
        <v>10.525200491030562</v>
      </c>
      <c r="F22" s="5">
        <v>4.1045333255297578E-2</v>
      </c>
      <c r="G22" s="5">
        <v>0.13160035632598444</v>
      </c>
    </row>
    <row r="23" spans="1:7" x14ac:dyDescent="0.25">
      <c r="A23" s="12">
        <v>44228</v>
      </c>
      <c r="B23" s="13">
        <v>33664.82</v>
      </c>
      <c r="C23" s="13">
        <v>34000</v>
      </c>
      <c r="D23" s="5">
        <v>10.42420865416574</v>
      </c>
      <c r="E23" s="5">
        <v>10.434115803598299</v>
      </c>
      <c r="F23" s="5">
        <v>-2.8587174528272641E-2</v>
      </c>
      <c r="G23" s="5">
        <v>-9.1084687432262612E-2</v>
      </c>
    </row>
    <row r="24" spans="1:7" x14ac:dyDescent="0.25">
      <c r="A24" s="12">
        <v>44229</v>
      </c>
      <c r="B24" s="13">
        <v>35687.9</v>
      </c>
      <c r="C24" s="13">
        <v>36170</v>
      </c>
      <c r="D24" s="5">
        <v>10.482566974741857</v>
      </c>
      <c r="E24" s="5">
        <v>10.495985324946144</v>
      </c>
      <c r="F24" s="5">
        <v>5.8358320576116895E-2</v>
      </c>
      <c r="G24" s="5">
        <v>6.1869521347844625E-2</v>
      </c>
    </row>
    <row r="25" spans="1:7" x14ac:dyDescent="0.25">
      <c r="A25" s="12">
        <v>44230</v>
      </c>
      <c r="B25" s="13">
        <v>37294.949999999997</v>
      </c>
      <c r="C25" s="13">
        <v>37390</v>
      </c>
      <c r="D25" s="5">
        <v>10.526613207726077</v>
      </c>
      <c r="E25" s="5">
        <v>10.529158567971159</v>
      </c>
      <c r="F25" s="5">
        <v>4.4046232984220168E-2</v>
      </c>
      <c r="G25" s="5">
        <v>3.3173243025014898E-2</v>
      </c>
    </row>
    <row r="26" spans="1:7" x14ac:dyDescent="0.25">
      <c r="A26" s="12">
        <v>44231</v>
      </c>
      <c r="B26" s="13">
        <v>37681.129999999997</v>
      </c>
      <c r="C26" s="13">
        <v>37915</v>
      </c>
      <c r="D26" s="5">
        <v>10.536914717624915</v>
      </c>
      <c r="E26" s="5">
        <v>10.543102091135037</v>
      </c>
      <c r="F26" s="5">
        <v>1.0301509898837935E-2</v>
      </c>
      <c r="G26" s="5">
        <v>1.3943523163877813E-2</v>
      </c>
    </row>
    <row r="27" spans="1:7" x14ac:dyDescent="0.25">
      <c r="A27" s="12">
        <v>44232</v>
      </c>
      <c r="B27" s="13">
        <v>37858.839999999997</v>
      </c>
      <c r="C27" s="13">
        <v>38015</v>
      </c>
      <c r="D27" s="5">
        <v>10.541619785096882</v>
      </c>
      <c r="E27" s="5">
        <v>10.545736097662537</v>
      </c>
      <c r="F27" s="5">
        <v>4.7050674719670837E-3</v>
      </c>
      <c r="G27" s="5">
        <v>2.6340065275007873E-3</v>
      </c>
    </row>
    <row r="28" spans="1:7" x14ac:dyDescent="0.25">
      <c r="A28" s="12">
        <v>44235</v>
      </c>
      <c r="B28" s="13">
        <v>44691.74</v>
      </c>
      <c r="C28" s="13">
        <v>44755</v>
      </c>
      <c r="D28" s="5">
        <v>10.707543976054316</v>
      </c>
      <c r="E28" s="5">
        <v>10.708958449305038</v>
      </c>
      <c r="F28" s="5">
        <v>0.16592419095743338</v>
      </c>
      <c r="G28" s="5">
        <v>0.1632223516425011</v>
      </c>
    </row>
    <row r="29" spans="1:7" x14ac:dyDescent="0.25">
      <c r="A29" s="12">
        <v>44236</v>
      </c>
      <c r="B29" s="13">
        <v>47335.77</v>
      </c>
      <c r="C29" s="13">
        <v>47765</v>
      </c>
      <c r="D29" s="5">
        <v>10.765021525463535</v>
      </c>
      <c r="E29" s="5">
        <v>10.77404843270411</v>
      </c>
      <c r="F29" s="5">
        <v>5.7477549409219009E-2</v>
      </c>
      <c r="G29" s="5">
        <v>6.5089983399071016E-2</v>
      </c>
    </row>
    <row r="30" spans="1:7" x14ac:dyDescent="0.25">
      <c r="A30" s="12">
        <v>44237</v>
      </c>
      <c r="B30" s="13">
        <v>45039.51</v>
      </c>
      <c r="C30" s="13">
        <v>44915</v>
      </c>
      <c r="D30" s="5">
        <v>10.715295383535921</v>
      </c>
      <c r="E30" s="5">
        <v>10.712527093663306</v>
      </c>
      <c r="F30" s="5">
        <v>-4.9726141927614265E-2</v>
      </c>
      <c r="G30" s="5">
        <v>-6.1521339040803369E-2</v>
      </c>
    </row>
    <row r="31" spans="1:7" x14ac:dyDescent="0.25">
      <c r="A31" s="12">
        <v>44238</v>
      </c>
      <c r="B31" s="13">
        <v>46931.97</v>
      </c>
      <c r="C31" s="13">
        <v>47525</v>
      </c>
      <c r="D31" s="5">
        <v>10.756454385320605</v>
      </c>
      <c r="E31" s="5">
        <v>10.769011167356631</v>
      </c>
      <c r="F31" s="5">
        <v>4.115900178468479E-2</v>
      </c>
      <c r="G31" s="5">
        <v>5.6484073693324532E-2</v>
      </c>
    </row>
    <row r="32" spans="1:7" x14ac:dyDescent="0.25">
      <c r="A32" s="12">
        <v>44239</v>
      </c>
      <c r="B32" s="13">
        <v>47947.17</v>
      </c>
      <c r="C32" s="13">
        <v>48040</v>
      </c>
      <c r="D32" s="5">
        <v>10.777855058757542</v>
      </c>
      <c r="E32" s="5">
        <v>10.77978927619392</v>
      </c>
      <c r="F32" s="5">
        <v>2.1400673436936302E-2</v>
      </c>
      <c r="G32" s="5">
        <v>1.0778108837289579E-2</v>
      </c>
    </row>
    <row r="33" spans="1:7" x14ac:dyDescent="0.25">
      <c r="A33" s="12">
        <v>44242</v>
      </c>
      <c r="B33" s="13">
        <v>48203.45</v>
      </c>
      <c r="C33" s="17">
        <v>48040</v>
      </c>
      <c r="D33" s="5">
        <v>10.783185874240683</v>
      </c>
      <c r="E33" s="5">
        <v>10.77978927619392</v>
      </c>
      <c r="F33" s="5">
        <v>5.3308154831412935E-3</v>
      </c>
      <c r="G33" s="5">
        <v>0</v>
      </c>
    </row>
    <row r="34" spans="1:7" x14ac:dyDescent="0.25">
      <c r="A34" s="12">
        <v>44243</v>
      </c>
      <c r="B34" s="13">
        <v>48585.51</v>
      </c>
      <c r="C34" s="13">
        <v>48925</v>
      </c>
      <c r="D34" s="5">
        <v>10.791080617285441</v>
      </c>
      <c r="E34" s="5">
        <v>10.798043792264277</v>
      </c>
      <c r="F34" s="5">
        <v>7.8947430447584566E-3</v>
      </c>
      <c r="G34" s="5">
        <v>1.8254516070356885E-2</v>
      </c>
    </row>
    <row r="35" spans="1:7" x14ac:dyDescent="0.25">
      <c r="A35" s="12">
        <v>44244</v>
      </c>
      <c r="B35" s="13">
        <v>52400.42</v>
      </c>
      <c r="C35" s="13">
        <v>52785</v>
      </c>
      <c r="D35" s="5">
        <v>10.866669885544187</v>
      </c>
      <c r="E35" s="5">
        <v>10.873982338423795</v>
      </c>
      <c r="F35" s="5">
        <v>7.558926825874579E-2</v>
      </c>
      <c r="G35" s="5">
        <v>7.5938546159518339E-2</v>
      </c>
    </row>
    <row r="36" spans="1:7" x14ac:dyDescent="0.25">
      <c r="A36" s="12">
        <v>44245</v>
      </c>
      <c r="B36" s="13">
        <v>52037.53</v>
      </c>
      <c r="C36" s="13">
        <v>52340</v>
      </c>
      <c r="D36" s="5">
        <v>10.859720468010391</v>
      </c>
      <c r="E36" s="5">
        <v>10.865516176084137</v>
      </c>
      <c r="F36" s="5">
        <v>-6.9494175337965203E-3</v>
      </c>
      <c r="G36" s="5">
        <v>-8.4661623396584673E-3</v>
      </c>
    </row>
    <row r="37" spans="1:7" x14ac:dyDescent="0.25">
      <c r="A37" s="12">
        <v>44246</v>
      </c>
      <c r="B37" s="13">
        <v>55629.08</v>
      </c>
      <c r="C37" s="13">
        <v>55530</v>
      </c>
      <c r="D37" s="5">
        <v>10.926461365093292</v>
      </c>
      <c r="E37" s="5">
        <v>10.924678694235652</v>
      </c>
      <c r="F37" s="5">
        <v>6.674089708290154E-2</v>
      </c>
      <c r="G37" s="5">
        <v>5.9162518151515187E-2</v>
      </c>
    </row>
    <row r="38" spans="1:7" x14ac:dyDescent="0.25">
      <c r="A38" s="12">
        <v>44249</v>
      </c>
      <c r="B38" s="13">
        <v>54938.64</v>
      </c>
      <c r="C38" s="13">
        <v>53720</v>
      </c>
      <c r="D38" s="5">
        <v>10.913972205065479</v>
      </c>
      <c r="E38" s="5">
        <v>10.891540650637173</v>
      </c>
      <c r="F38" s="5">
        <v>-1.2489160027813639E-2</v>
      </c>
      <c r="G38" s="5">
        <v>-3.3138043598478717E-2</v>
      </c>
    </row>
    <row r="39" spans="1:7" x14ac:dyDescent="0.25">
      <c r="A39" s="12">
        <v>44250</v>
      </c>
      <c r="B39" s="13">
        <v>47962.92</v>
      </c>
      <c r="C39" s="13">
        <v>47660</v>
      </c>
      <c r="D39" s="5">
        <v>10.778183491358149</v>
      </c>
      <c r="E39" s="5">
        <v>10.771847750652734</v>
      </c>
      <c r="F39" s="5">
        <v>-0.13578871370732948</v>
      </c>
      <c r="G39" s="5">
        <v>-0.11969289998443955</v>
      </c>
    </row>
    <row r="40" spans="1:7" x14ac:dyDescent="0.25">
      <c r="A40" s="12">
        <v>44251</v>
      </c>
      <c r="B40" s="13">
        <v>48758.53</v>
      </c>
      <c r="C40" s="13">
        <v>49135</v>
      </c>
      <c r="D40" s="5">
        <v>10.794635435478741</v>
      </c>
      <c r="E40" s="5">
        <v>10.802326890796527</v>
      </c>
      <c r="F40" s="5">
        <v>1.6451944120591477E-2</v>
      </c>
      <c r="G40" s="5">
        <v>3.047914014379316E-2</v>
      </c>
    </row>
    <row r="41" spans="1:7" x14ac:dyDescent="0.25">
      <c r="A41" s="12">
        <v>44252</v>
      </c>
      <c r="B41" s="13">
        <v>48083.51</v>
      </c>
      <c r="C41" s="13">
        <v>49120</v>
      </c>
      <c r="D41" s="5">
        <v>10.780694569872264</v>
      </c>
      <c r="E41" s="5">
        <v>10.802021562821023</v>
      </c>
      <c r="F41" s="5">
        <v>-1.3940865606477004E-2</v>
      </c>
      <c r="G41" s="5">
        <v>-3.0532797550364421E-4</v>
      </c>
    </row>
    <row r="42" spans="1:7" x14ac:dyDescent="0.25">
      <c r="A42" s="12">
        <v>44253</v>
      </c>
      <c r="B42" s="13">
        <v>45672.06</v>
      </c>
      <c r="C42" s="13">
        <v>47001.63</v>
      </c>
      <c r="D42" s="5">
        <v>10.729242011358419</v>
      </c>
      <c r="E42" s="5">
        <v>10.757937560941892</v>
      </c>
      <c r="F42" s="5">
        <v>-5.1452558513844338E-2</v>
      </c>
      <c r="G42" s="5">
        <v>-4.4084001879131307E-2</v>
      </c>
    </row>
    <row r="43" spans="1:7" x14ac:dyDescent="0.25">
      <c r="A43" s="12">
        <v>44256</v>
      </c>
      <c r="B43" s="13">
        <v>48856.4</v>
      </c>
      <c r="C43" s="13">
        <v>48870</v>
      </c>
      <c r="D43" s="5">
        <v>10.796640662195474</v>
      </c>
      <c r="E43" s="5">
        <v>10.796918990264201</v>
      </c>
      <c r="F43" s="5">
        <v>6.7398650837054319E-2</v>
      </c>
      <c r="G43" s="5">
        <v>3.8981429322308969E-2</v>
      </c>
    </row>
    <row r="44" spans="1:7" x14ac:dyDescent="0.25">
      <c r="A44" s="12">
        <v>44257</v>
      </c>
      <c r="B44" s="13">
        <v>47451.1</v>
      </c>
      <c r="C44" s="13">
        <v>47820</v>
      </c>
      <c r="D44" s="5">
        <v>10.767454986066523</v>
      </c>
      <c r="E44" s="5">
        <v>10.775199241012317</v>
      </c>
      <c r="F44" s="5">
        <v>-2.9185676128950178E-2</v>
      </c>
      <c r="G44" s="5">
        <v>-2.1719749251884579E-2</v>
      </c>
    </row>
    <row r="45" spans="1:7" x14ac:dyDescent="0.25">
      <c r="A45" s="12">
        <v>44258</v>
      </c>
      <c r="B45" s="13">
        <v>50952.74</v>
      </c>
      <c r="C45" s="13">
        <v>50900</v>
      </c>
      <c r="D45" s="5">
        <v>10.838653815418811</v>
      </c>
      <c r="E45" s="5">
        <v>10.837618202538614</v>
      </c>
      <c r="F45" s="5">
        <v>7.1198829352287163E-2</v>
      </c>
      <c r="G45" s="5">
        <v>6.2418961526297778E-2</v>
      </c>
    </row>
    <row r="46" spans="1:7" x14ac:dyDescent="0.25">
      <c r="A46" s="12">
        <v>44259</v>
      </c>
      <c r="B46" s="13">
        <v>47918.879999999997</v>
      </c>
      <c r="C46" s="13">
        <v>48310</v>
      </c>
      <c r="D46" s="5">
        <v>10.77726486022905</v>
      </c>
      <c r="E46" s="5">
        <v>10.785393857548453</v>
      </c>
      <c r="F46" s="5">
        <v>-6.1388955189761063E-2</v>
      </c>
      <c r="G46" s="5">
        <v>-5.2224344990161597E-2</v>
      </c>
    </row>
    <row r="47" spans="1:7" x14ac:dyDescent="0.25">
      <c r="A47" s="12">
        <v>44260</v>
      </c>
      <c r="B47" s="13">
        <v>49053.13</v>
      </c>
      <c r="C47" s="13">
        <v>49555</v>
      </c>
      <c r="D47" s="5">
        <v>10.800659275393871</v>
      </c>
      <c r="E47" s="5">
        <v>10.810838442840808</v>
      </c>
      <c r="F47" s="5">
        <v>2.3394415164821325E-2</v>
      </c>
      <c r="G47" s="5">
        <v>2.5444585292355271E-2</v>
      </c>
    </row>
    <row r="48" spans="1:7" x14ac:dyDescent="0.25">
      <c r="A48" s="12">
        <v>44263</v>
      </c>
      <c r="B48" s="13">
        <v>51878.94</v>
      </c>
      <c r="C48" s="13">
        <v>52145</v>
      </c>
      <c r="D48" s="5">
        <v>10.856668206456035</v>
      </c>
      <c r="E48" s="5">
        <v>10.861783578555313</v>
      </c>
      <c r="F48" s="5">
        <v>5.6008931062164535E-2</v>
      </c>
      <c r="G48" s="5">
        <v>5.0945135714504985E-2</v>
      </c>
    </row>
    <row r="49" spans="1:7" x14ac:dyDescent="0.25">
      <c r="A49" s="12">
        <v>44264</v>
      </c>
      <c r="B49" s="13">
        <v>54320.06</v>
      </c>
      <c r="C49" s="13">
        <v>54720</v>
      </c>
      <c r="D49" s="5">
        <v>10.902648866797506</v>
      </c>
      <c r="E49" s="5">
        <v>10.909984552296432</v>
      </c>
      <c r="F49" s="5">
        <v>4.5980660341470525E-2</v>
      </c>
      <c r="G49" s="5">
        <v>4.8200973741119313E-2</v>
      </c>
    </row>
    <row r="50" spans="1:7" x14ac:dyDescent="0.25">
      <c r="A50" s="12">
        <v>44265</v>
      </c>
      <c r="B50" s="13">
        <v>56931.78</v>
      </c>
      <c r="C50" s="13">
        <v>56620</v>
      </c>
      <c r="D50" s="5">
        <v>10.949608987923934</v>
      </c>
      <c r="E50" s="5">
        <v>10.944117558665891</v>
      </c>
      <c r="F50" s="5">
        <v>4.6960121126428334E-2</v>
      </c>
      <c r="G50" s="5">
        <v>3.4133006369458485E-2</v>
      </c>
    </row>
    <row r="51" spans="1:7" x14ac:dyDescent="0.25">
      <c r="A51" s="12">
        <v>44266</v>
      </c>
      <c r="B51" s="13">
        <v>57624.02</v>
      </c>
      <c r="C51" s="13">
        <v>57955</v>
      </c>
      <c r="D51" s="5">
        <v>10.961694773646744</v>
      </c>
      <c r="E51" s="5">
        <v>10.967422126322845</v>
      </c>
      <c r="F51" s="5">
        <v>1.2085785722810272E-2</v>
      </c>
      <c r="G51" s="5">
        <v>2.3304567656953878E-2</v>
      </c>
    </row>
    <row r="52" spans="1:7" x14ac:dyDescent="0.25">
      <c r="A52" s="12">
        <v>44267</v>
      </c>
      <c r="B52" s="13">
        <v>56965.96</v>
      </c>
      <c r="C52" s="13">
        <v>57075</v>
      </c>
      <c r="D52" s="5">
        <v>10.950209175443476</v>
      </c>
      <c r="E52" s="5">
        <v>10.952121471397996</v>
      </c>
      <c r="F52" s="5">
        <v>-1.1485598203268665E-2</v>
      </c>
      <c r="G52" s="5">
        <v>-1.5300654924848445E-2</v>
      </c>
    </row>
    <row r="53" spans="1:7" x14ac:dyDescent="0.25">
      <c r="A53" s="12">
        <v>44270</v>
      </c>
      <c r="B53" s="13">
        <v>56414.61</v>
      </c>
      <c r="C53" s="13">
        <v>56900</v>
      </c>
      <c r="D53" s="5">
        <v>10.940483446493612</v>
      </c>
      <c r="E53" s="5">
        <v>10.949050620114422</v>
      </c>
      <c r="F53" s="5">
        <v>-9.7257289498635657E-3</v>
      </c>
      <c r="G53" s="5">
        <v>-3.0708512835744273E-3</v>
      </c>
    </row>
    <row r="54" spans="1:7" x14ac:dyDescent="0.25">
      <c r="A54" s="12">
        <v>44271</v>
      </c>
      <c r="B54" s="13">
        <v>56388.15</v>
      </c>
      <c r="C54" s="13">
        <v>55910</v>
      </c>
      <c r="D54" s="5">
        <v>10.940014309027733</v>
      </c>
      <c r="E54" s="5">
        <v>10.93149853402069</v>
      </c>
      <c r="F54" s="5">
        <v>-4.6913746587939897E-4</v>
      </c>
      <c r="G54" s="5">
        <v>-1.7552086093731489E-2</v>
      </c>
    </row>
    <row r="55" spans="1:7" x14ac:dyDescent="0.25">
      <c r="A55" s="12">
        <v>44272</v>
      </c>
      <c r="B55" s="13">
        <v>57751.66</v>
      </c>
      <c r="C55" s="13">
        <v>57980</v>
      </c>
      <c r="D55" s="5">
        <v>10.963907372559667</v>
      </c>
      <c r="E55" s="5">
        <v>10.967853402475647</v>
      </c>
      <c r="F55" s="5">
        <v>2.3893063531934544E-2</v>
      </c>
      <c r="G55" s="5">
        <v>3.6354868454957057E-2</v>
      </c>
    </row>
    <row r="56" spans="1:7" x14ac:dyDescent="0.25">
      <c r="A56" s="12">
        <v>44273</v>
      </c>
      <c r="B56" s="13">
        <v>57501.51</v>
      </c>
      <c r="C56" s="13">
        <v>57365</v>
      </c>
      <c r="D56" s="5">
        <v>10.959566487310196</v>
      </c>
      <c r="E56" s="5">
        <v>10.957189640233244</v>
      </c>
      <c r="F56" s="5">
        <v>-4.3408852494710715E-3</v>
      </c>
      <c r="G56" s="5">
        <v>-1.0663762242403507E-2</v>
      </c>
    </row>
    <row r="57" spans="1:7" x14ac:dyDescent="0.25">
      <c r="A57" s="12">
        <v>44274</v>
      </c>
      <c r="B57" s="13">
        <v>58410.01</v>
      </c>
      <c r="C57" s="13">
        <v>58975</v>
      </c>
      <c r="D57" s="5">
        <v>10.975242558237902</v>
      </c>
      <c r="E57" s="5">
        <v>10.984868904275876</v>
      </c>
      <c r="F57" s="5">
        <v>1.567607092770551E-2</v>
      </c>
      <c r="G57" s="5">
        <v>2.7679264042632212E-2</v>
      </c>
    </row>
    <row r="58" spans="1:7" x14ac:dyDescent="0.25">
      <c r="A58" s="12">
        <v>44277</v>
      </c>
      <c r="B58" s="13">
        <v>54554.83</v>
      </c>
      <c r="C58" s="13">
        <v>55605</v>
      </c>
      <c r="D58" s="5">
        <v>10.906961529962999</v>
      </c>
      <c r="E58" s="5">
        <v>10.926028404252943</v>
      </c>
      <c r="F58" s="5">
        <v>-6.8281028274903122E-2</v>
      </c>
      <c r="G58" s="5">
        <v>-5.8840500022933284E-2</v>
      </c>
    </row>
    <row r="59" spans="1:7" x14ac:dyDescent="0.25">
      <c r="A59" s="12">
        <v>44278</v>
      </c>
      <c r="B59" s="13">
        <v>54447.56</v>
      </c>
      <c r="C59" s="13">
        <v>54985</v>
      </c>
      <c r="D59" s="5">
        <v>10.904993315603127</v>
      </c>
      <c r="E59" s="5">
        <v>10.914815699745034</v>
      </c>
      <c r="F59" s="5">
        <v>-1.9682143598718227E-3</v>
      </c>
      <c r="G59" s="5">
        <v>-1.1212704507908455E-2</v>
      </c>
    </row>
    <row r="60" spans="1:7" x14ac:dyDescent="0.25">
      <c r="A60" s="12">
        <v>44279</v>
      </c>
      <c r="B60" s="13">
        <v>54050.57</v>
      </c>
      <c r="C60" s="13">
        <v>54645</v>
      </c>
      <c r="D60" s="5">
        <v>10.897675368802682</v>
      </c>
      <c r="E60" s="5">
        <v>10.908612998110774</v>
      </c>
      <c r="F60" s="5">
        <v>-7.3179468004447301E-3</v>
      </c>
      <c r="G60" s="5">
        <v>-6.202701634260066E-3</v>
      </c>
    </row>
    <row r="61" spans="1:7" x14ac:dyDescent="0.25">
      <c r="A61" s="12">
        <v>44280</v>
      </c>
      <c r="B61" s="13">
        <v>52001.01</v>
      </c>
      <c r="C61" s="13">
        <v>52195</v>
      </c>
      <c r="D61" s="5">
        <v>10.859018420451862</v>
      </c>
      <c r="E61" s="5">
        <v>10.862741983842399</v>
      </c>
      <c r="F61" s="5">
        <v>-3.8656948350819675E-2</v>
      </c>
      <c r="G61" s="5">
        <v>-4.5871014268374921E-2</v>
      </c>
    </row>
    <row r="62" spans="1:7" x14ac:dyDescent="0.25">
      <c r="A62" s="12">
        <v>44281</v>
      </c>
      <c r="B62" s="13">
        <v>54002.49</v>
      </c>
      <c r="C62" s="13">
        <v>53346.33</v>
      </c>
      <c r="D62" s="5">
        <v>10.896785435594438</v>
      </c>
      <c r="E62" s="5">
        <v>10.884560463360879</v>
      </c>
      <c r="F62" s="5">
        <v>3.7767015142575744E-2</v>
      </c>
      <c r="G62" s="5">
        <v>2.1818479518479705E-2</v>
      </c>
    </row>
    <row r="63" spans="1:7" x14ac:dyDescent="0.25">
      <c r="A63" s="12">
        <v>44284</v>
      </c>
      <c r="B63" s="13">
        <v>57234.35</v>
      </c>
      <c r="C63" s="13">
        <v>58210</v>
      </c>
      <c r="D63" s="5">
        <v>10.954909521600747</v>
      </c>
      <c r="E63" s="5">
        <v>10.971812440265781</v>
      </c>
      <c r="F63" s="5">
        <v>5.8124086006309028E-2</v>
      </c>
      <c r="G63" s="5">
        <v>8.7251976904902051E-2</v>
      </c>
    </row>
    <row r="64" spans="1:7" x14ac:dyDescent="0.25">
      <c r="A64" s="12">
        <v>44285</v>
      </c>
      <c r="B64" s="13">
        <v>58673.67</v>
      </c>
      <c r="C64" s="13">
        <v>59705</v>
      </c>
      <c r="D64" s="5">
        <v>10.979746353227551</v>
      </c>
      <c r="E64" s="5">
        <v>10.997171047967486</v>
      </c>
      <c r="F64" s="5">
        <v>2.4836831626803502E-2</v>
      </c>
      <c r="G64" s="5">
        <v>2.5358607701704727E-2</v>
      </c>
    </row>
    <row r="65" spans="1:7" x14ac:dyDescent="0.25">
      <c r="A65" s="12">
        <v>44286</v>
      </c>
      <c r="B65" s="13">
        <v>58960.2</v>
      </c>
      <c r="C65" s="13">
        <v>59285</v>
      </c>
      <c r="D65" s="5">
        <v>10.984617918987723</v>
      </c>
      <c r="E65" s="5">
        <v>10.990111601892171</v>
      </c>
      <c r="F65" s="5">
        <v>4.8715657601725582E-3</v>
      </c>
      <c r="G65" s="5">
        <v>-7.0594460753152788E-3</v>
      </c>
    </row>
    <row r="66" spans="1:7" x14ac:dyDescent="0.25">
      <c r="A66" s="12">
        <v>44287</v>
      </c>
      <c r="B66" s="13">
        <v>58859.78</v>
      </c>
      <c r="C66" s="13">
        <v>59615</v>
      </c>
      <c r="D66" s="5">
        <v>10.982913284097842</v>
      </c>
      <c r="E66" s="5">
        <v>10.995662499240233</v>
      </c>
      <c r="F66" s="5">
        <v>-1.7046348898812624E-3</v>
      </c>
      <c r="G66" s="5">
        <v>5.5508973480620227E-3</v>
      </c>
    </row>
    <row r="67" spans="1:7" x14ac:dyDescent="0.25">
      <c r="A67" s="12">
        <v>44288</v>
      </c>
      <c r="B67" s="13">
        <v>58674.76</v>
      </c>
      <c r="C67" s="13">
        <v>59615</v>
      </c>
      <c r="D67" s="5">
        <v>10.97976493038278</v>
      </c>
      <c r="E67" s="5">
        <v>10.995662499240233</v>
      </c>
      <c r="F67" s="5">
        <v>-3.1483537150620577E-3</v>
      </c>
      <c r="G67" s="5">
        <v>0</v>
      </c>
    </row>
    <row r="68" spans="1:7" x14ac:dyDescent="0.25">
      <c r="A68" s="12">
        <v>44291</v>
      </c>
      <c r="B68" s="13">
        <v>58799.14</v>
      </c>
      <c r="C68" s="13">
        <v>59840</v>
      </c>
      <c r="D68" s="5">
        <v>10.98188250792942</v>
      </c>
      <c r="E68" s="5">
        <v>10.99942961264836</v>
      </c>
      <c r="F68" s="5">
        <v>2.1175775466399926E-3</v>
      </c>
      <c r="G68" s="5">
        <v>3.7671134081271873E-3</v>
      </c>
    </row>
    <row r="69" spans="1:7" x14ac:dyDescent="0.25">
      <c r="A69" s="12">
        <v>44292</v>
      </c>
      <c r="B69" s="13">
        <v>58243.87</v>
      </c>
      <c r="C69" s="13">
        <v>58735</v>
      </c>
      <c r="D69" s="5">
        <v>10.972394129838744</v>
      </c>
      <c r="E69" s="5">
        <v>10.980791080257987</v>
      </c>
      <c r="F69" s="5">
        <v>-9.4883780906762638E-3</v>
      </c>
      <c r="G69" s="5">
        <v>-1.8638532390372831E-2</v>
      </c>
    </row>
    <row r="70" spans="1:7" x14ac:dyDescent="0.25">
      <c r="A70" s="12">
        <v>44293</v>
      </c>
      <c r="B70" s="13">
        <v>56227.64</v>
      </c>
      <c r="C70" s="13">
        <v>56310</v>
      </c>
      <c r="D70" s="5">
        <v>10.93716372992707</v>
      </c>
      <c r="E70" s="5">
        <v>10.938627418248664</v>
      </c>
      <c r="F70" s="5">
        <v>-3.5230399911673871E-2</v>
      </c>
      <c r="G70" s="5">
        <v>-4.2163662009322422E-2</v>
      </c>
    </row>
    <row r="71" spans="1:7" x14ac:dyDescent="0.25">
      <c r="A71" s="12">
        <v>44294</v>
      </c>
      <c r="B71" s="13">
        <v>57679.16</v>
      </c>
      <c r="C71" s="13">
        <v>58155</v>
      </c>
      <c r="D71" s="5">
        <v>10.962651208745992</v>
      </c>
      <c r="E71" s="5">
        <v>10.970867138773139</v>
      </c>
      <c r="F71" s="5">
        <v>2.5487478818922327E-2</v>
      </c>
      <c r="G71" s="5">
        <v>3.2239720524474436E-2</v>
      </c>
    </row>
    <row r="72" spans="1:7" x14ac:dyDescent="0.25">
      <c r="A72" s="12">
        <v>44295</v>
      </c>
      <c r="B72" s="13">
        <v>58333.599999999999</v>
      </c>
      <c r="C72" s="13">
        <v>58760</v>
      </c>
      <c r="D72" s="5">
        <v>10.973933535655664</v>
      </c>
      <c r="E72" s="5">
        <v>10.981216630287813</v>
      </c>
      <c r="F72" s="5">
        <v>1.1282326909672236E-2</v>
      </c>
      <c r="G72" s="5">
        <v>1.0349491514674014E-2</v>
      </c>
    </row>
    <row r="73" spans="1:7" x14ac:dyDescent="0.25">
      <c r="A73" s="12">
        <v>44298</v>
      </c>
      <c r="B73" s="13">
        <v>59977.919999999998</v>
      </c>
      <c r="C73" s="13">
        <v>60545</v>
      </c>
      <c r="D73" s="5">
        <v>11.001731773475621</v>
      </c>
      <c r="E73" s="5">
        <v>11.011142169188467</v>
      </c>
      <c r="F73" s="5">
        <v>2.7798237819956384E-2</v>
      </c>
      <c r="G73" s="5">
        <v>2.9925538900654303E-2</v>
      </c>
    </row>
    <row r="74" spans="1:7" x14ac:dyDescent="0.25">
      <c r="A74" s="12">
        <v>44299</v>
      </c>
      <c r="B74" s="13">
        <v>63193.56</v>
      </c>
      <c r="C74" s="13">
        <v>63685</v>
      </c>
      <c r="D74" s="5">
        <v>11.053957676208743</v>
      </c>
      <c r="E74" s="5">
        <v>11.06170433502386</v>
      </c>
      <c r="F74" s="5">
        <v>5.2225902733121998E-2</v>
      </c>
      <c r="G74" s="5">
        <v>5.0562165835392747E-2</v>
      </c>
    </row>
    <row r="75" spans="1:7" x14ac:dyDescent="0.25">
      <c r="A75" s="12">
        <v>44300</v>
      </c>
      <c r="B75" s="13">
        <v>62384.19</v>
      </c>
      <c r="C75" s="13">
        <v>62400</v>
      </c>
      <c r="D75" s="5">
        <v>11.041067156870472</v>
      </c>
      <c r="E75" s="5">
        <v>11.041320554357519</v>
      </c>
      <c r="F75" s="5">
        <v>-1.2890519338270678E-2</v>
      </c>
      <c r="G75" s="5">
        <v>-2.0383780666341167E-2</v>
      </c>
    </row>
    <row r="76" spans="1:7" x14ac:dyDescent="0.25">
      <c r="A76" s="12">
        <v>44301</v>
      </c>
      <c r="B76" s="13">
        <v>63410.29</v>
      </c>
      <c r="C76" s="13">
        <v>63840</v>
      </c>
      <c r="D76" s="5">
        <v>11.057381430094754</v>
      </c>
      <c r="E76" s="5">
        <v>11.064135232123691</v>
      </c>
      <c r="F76" s="5">
        <v>1.6314273224281806E-2</v>
      </c>
      <c r="G76" s="5">
        <v>2.2814677766172409E-2</v>
      </c>
    </row>
    <row r="77" spans="1:7" x14ac:dyDescent="0.25">
      <c r="A77" s="12">
        <v>44302</v>
      </c>
      <c r="B77" s="13">
        <v>62005.42</v>
      </c>
      <c r="C77" s="13">
        <v>61980</v>
      </c>
      <c r="D77" s="5">
        <v>11.034977079561218</v>
      </c>
      <c r="E77" s="5">
        <v>11.034567031341739</v>
      </c>
      <c r="F77" s="5">
        <v>-2.2404350533536288E-2</v>
      </c>
      <c r="G77" s="5">
        <v>-2.9568200781952214E-2</v>
      </c>
    </row>
    <row r="78" spans="1:7" x14ac:dyDescent="0.25">
      <c r="A78" s="12">
        <v>44305</v>
      </c>
      <c r="B78" s="13">
        <v>56210.89</v>
      </c>
      <c r="C78" s="13">
        <v>56045</v>
      </c>
      <c r="D78" s="5">
        <v>10.936865789352359</v>
      </c>
      <c r="E78" s="5">
        <v>10.933910218455196</v>
      </c>
      <c r="F78" s="5">
        <v>-9.8111290208859003E-2</v>
      </c>
      <c r="G78" s="5">
        <v>-0.10065681288654282</v>
      </c>
    </row>
    <row r="79" spans="1:7" x14ac:dyDescent="0.25">
      <c r="A79" s="12">
        <v>44306</v>
      </c>
      <c r="B79" s="13">
        <v>56800.5</v>
      </c>
      <c r="C79" s="13">
        <v>56715</v>
      </c>
      <c r="D79" s="5">
        <v>10.947300407487399</v>
      </c>
      <c r="E79" s="5">
        <v>10.945794004993143</v>
      </c>
      <c r="F79" s="5">
        <v>1.0434618135040097E-2</v>
      </c>
      <c r="G79" s="5">
        <v>1.1883786537946861E-2</v>
      </c>
    </row>
    <row r="80" spans="1:7" x14ac:dyDescent="0.25">
      <c r="A80" s="12">
        <v>44307</v>
      </c>
      <c r="B80" s="13">
        <v>54996.31</v>
      </c>
      <c r="C80" s="13">
        <v>55610</v>
      </c>
      <c r="D80" s="5">
        <v>10.915021371054822</v>
      </c>
      <c r="E80" s="5">
        <v>10.92611832018161</v>
      </c>
      <c r="F80" s="5">
        <v>-3.2279036432576902E-2</v>
      </c>
      <c r="G80" s="5">
        <v>-1.9675684811533145E-2</v>
      </c>
    </row>
    <row r="81" spans="1:7" x14ac:dyDescent="0.25">
      <c r="A81" s="12">
        <v>44308</v>
      </c>
      <c r="B81" s="13">
        <v>51593.440000000002</v>
      </c>
      <c r="C81" s="13">
        <v>52860</v>
      </c>
      <c r="D81" s="5">
        <v>10.851149811604778</v>
      </c>
      <c r="E81" s="5">
        <v>10.875402188158279</v>
      </c>
      <c r="F81" s="5">
        <v>-6.3871559450044302E-2</v>
      </c>
      <c r="G81" s="5">
        <v>-5.0716132023330474E-2</v>
      </c>
    </row>
    <row r="82" spans="1:7" x14ac:dyDescent="0.25">
      <c r="A82" s="12">
        <v>44309</v>
      </c>
      <c r="B82" s="13">
        <v>50567.72</v>
      </c>
      <c r="C82" s="13">
        <v>50845</v>
      </c>
      <c r="D82" s="5">
        <v>10.831068707038245</v>
      </c>
      <c r="E82" s="5">
        <v>10.836537068225239</v>
      </c>
      <c r="F82" s="5">
        <v>-2.0081104566532559E-2</v>
      </c>
      <c r="G82" s="5">
        <v>-3.8865119933040759E-2</v>
      </c>
    </row>
    <row r="83" spans="1:7" x14ac:dyDescent="0.25">
      <c r="A83" s="12">
        <v>44312</v>
      </c>
      <c r="B83" s="13">
        <v>53262.87</v>
      </c>
      <c r="C83" s="13">
        <v>54070</v>
      </c>
      <c r="D83" s="5">
        <v>10.88299474451016</v>
      </c>
      <c r="E83" s="5">
        <v>10.898034782376051</v>
      </c>
      <c r="F83" s="5">
        <v>5.1926037471915265E-2</v>
      </c>
      <c r="G83" s="5">
        <v>6.1497714150812399E-2</v>
      </c>
    </row>
    <row r="84" spans="1:7" x14ac:dyDescent="0.25">
      <c r="A84" s="12">
        <v>44313</v>
      </c>
      <c r="B84" s="13">
        <v>55192.62</v>
      </c>
      <c r="C84" s="13">
        <v>54790</v>
      </c>
      <c r="D84" s="5">
        <v>10.918584527674952</v>
      </c>
      <c r="E84" s="5">
        <v>10.911262974532461</v>
      </c>
      <c r="F84" s="5">
        <v>3.5589783164791555E-2</v>
      </c>
      <c r="G84" s="5">
        <v>1.322819215640969E-2</v>
      </c>
    </row>
    <row r="85" spans="1:7" x14ac:dyDescent="0.25">
      <c r="A85" s="12">
        <v>44314</v>
      </c>
      <c r="B85" s="13">
        <v>54438.68</v>
      </c>
      <c r="C85" s="13">
        <v>55410</v>
      </c>
      <c r="D85" s="5">
        <v>10.904830209594145</v>
      </c>
      <c r="E85" s="5">
        <v>10.922515361861395</v>
      </c>
      <c r="F85" s="5">
        <v>-1.3754318080806627E-2</v>
      </c>
      <c r="G85" s="5">
        <v>1.1252387328934077E-2</v>
      </c>
    </row>
    <row r="86" spans="1:7" x14ac:dyDescent="0.25">
      <c r="A86" s="12">
        <v>44315</v>
      </c>
      <c r="B86" s="13">
        <v>52990.9</v>
      </c>
      <c r="C86" s="13">
        <v>52900</v>
      </c>
      <c r="D86" s="5">
        <v>10.877875479679243</v>
      </c>
      <c r="E86" s="5">
        <v>10.876158617846391</v>
      </c>
      <c r="F86" s="5">
        <v>-2.6954729914901776E-2</v>
      </c>
      <c r="G86" s="5">
        <v>-4.635674401500367E-2</v>
      </c>
    </row>
    <row r="87" spans="1:7" x14ac:dyDescent="0.25">
      <c r="A87" s="12">
        <v>44316</v>
      </c>
      <c r="B87" s="13">
        <v>56814.44</v>
      </c>
      <c r="C87" s="13">
        <v>56127.49</v>
      </c>
      <c r="D87" s="5">
        <v>10.947545797751566</v>
      </c>
      <c r="E87" s="5">
        <v>10.935380989316572</v>
      </c>
      <c r="F87" s="5">
        <v>6.9670318072322601E-2</v>
      </c>
      <c r="G87" s="5">
        <v>5.9222371470180946E-2</v>
      </c>
    </row>
    <row r="88" spans="1:7" x14ac:dyDescent="0.25">
      <c r="A88" s="12">
        <v>44319</v>
      </c>
      <c r="B88" s="13">
        <v>56811.66</v>
      </c>
      <c r="C88" s="13">
        <v>57765</v>
      </c>
      <c r="D88" s="5">
        <v>10.947496865331981</v>
      </c>
      <c r="E88" s="5">
        <v>10.964138334917118</v>
      </c>
      <c r="F88" s="5">
        <v>-4.8932419584701847E-5</v>
      </c>
      <c r="G88" s="5">
        <v>2.8757345600546103E-2</v>
      </c>
    </row>
    <row r="89" spans="1:7" x14ac:dyDescent="0.25">
      <c r="A89" s="12">
        <v>44320</v>
      </c>
      <c r="B89" s="13">
        <v>54770.39</v>
      </c>
      <c r="C89" s="13">
        <v>54515</v>
      </c>
      <c r="D89" s="5">
        <v>10.910904998438923</v>
      </c>
      <c r="E89" s="5">
        <v>10.906231172140481</v>
      </c>
      <c r="F89" s="5">
        <v>-3.6591866893058267E-2</v>
      </c>
      <c r="G89" s="5">
        <v>-5.7907162776636767E-2</v>
      </c>
    </row>
    <row r="90" spans="1:7" x14ac:dyDescent="0.25">
      <c r="A90" s="12">
        <v>44321</v>
      </c>
      <c r="B90" s="13">
        <v>56895.44</v>
      </c>
      <c r="C90" s="13">
        <v>57295</v>
      </c>
      <c r="D90" s="5">
        <v>10.948970476305453</v>
      </c>
      <c r="E90" s="5">
        <v>10.955968638860549</v>
      </c>
      <c r="F90" s="5">
        <v>3.8065477866529918E-2</v>
      </c>
      <c r="G90" s="5">
        <v>4.9737466720067403E-2</v>
      </c>
    </row>
    <row r="91" spans="1:7" x14ac:dyDescent="0.25">
      <c r="A91" s="12">
        <v>44322</v>
      </c>
      <c r="B91" s="13">
        <v>55955.47</v>
      </c>
      <c r="C91" s="13">
        <v>56180</v>
      </c>
      <c r="D91" s="5">
        <v>10.932311474823678</v>
      </c>
      <c r="E91" s="5">
        <v>10.936316100658235</v>
      </c>
      <c r="F91" s="5">
        <v>-1.6659001481775348E-2</v>
      </c>
      <c r="G91" s="5">
        <v>-1.9652538202313607E-2</v>
      </c>
    </row>
    <row r="92" spans="1:7" x14ac:dyDescent="0.25">
      <c r="A92" s="12">
        <v>44323</v>
      </c>
      <c r="B92" s="13">
        <v>57684.39</v>
      </c>
      <c r="C92" s="13">
        <v>57760</v>
      </c>
      <c r="D92" s="5">
        <v>10.962741878632686</v>
      </c>
      <c r="E92" s="5">
        <v>10.964051773566707</v>
      </c>
      <c r="F92" s="5">
        <v>3.0430403809008411E-2</v>
      </c>
      <c r="G92" s="5">
        <v>2.7735672908471898E-2</v>
      </c>
    </row>
    <row r="93" spans="1:7" x14ac:dyDescent="0.25">
      <c r="A93" s="12">
        <v>44326</v>
      </c>
      <c r="B93" s="13">
        <v>55308.81</v>
      </c>
      <c r="C93" s="13">
        <v>55705</v>
      </c>
      <c r="D93" s="5">
        <v>10.920687487660544</v>
      </c>
      <c r="E93" s="5">
        <v>10.927825188493417</v>
      </c>
      <c r="F93" s="5">
        <v>-4.2054390972142031E-2</v>
      </c>
      <c r="G93" s="5">
        <v>-3.6226585073290352E-2</v>
      </c>
    </row>
    <row r="94" spans="1:7" x14ac:dyDescent="0.25">
      <c r="A94" s="12">
        <v>44327</v>
      </c>
      <c r="B94" s="13">
        <v>56911.32</v>
      </c>
      <c r="C94" s="13">
        <v>56805</v>
      </c>
      <c r="D94" s="5">
        <v>10.94924954584584</v>
      </c>
      <c r="E94" s="5">
        <v>10.947379629004004</v>
      </c>
      <c r="F94" s="5">
        <v>2.8562058185295669E-2</v>
      </c>
      <c r="G94" s="5">
        <v>1.9554440510587412E-2</v>
      </c>
    </row>
    <row r="95" spans="1:7" x14ac:dyDescent="0.25">
      <c r="A95" s="12">
        <v>44328</v>
      </c>
      <c r="B95" s="13">
        <v>54482.81</v>
      </c>
      <c r="C95" s="13">
        <v>54445</v>
      </c>
      <c r="D95" s="5">
        <v>10.905640518054206</v>
      </c>
      <c r="E95" s="5">
        <v>10.904946296780162</v>
      </c>
      <c r="F95" s="5">
        <v>-4.3609027791633892E-2</v>
      </c>
      <c r="G95" s="5">
        <v>-4.2433332223842157E-2</v>
      </c>
    </row>
    <row r="96" spans="1:7" x14ac:dyDescent="0.25">
      <c r="A96" s="12">
        <v>44329</v>
      </c>
      <c r="B96" s="13">
        <v>49312.81</v>
      </c>
      <c r="C96" s="13">
        <v>48365</v>
      </c>
      <c r="D96" s="5">
        <v>10.805939164007</v>
      </c>
      <c r="E96" s="5">
        <v>10.786531690616647</v>
      </c>
      <c r="F96" s="5">
        <v>-9.9701354047205371E-2</v>
      </c>
      <c r="G96" s="5">
        <v>-0.1184146061635154</v>
      </c>
    </row>
    <row r="97" spans="1:7" x14ac:dyDescent="0.25">
      <c r="A97" s="12">
        <v>44330</v>
      </c>
      <c r="B97" s="13">
        <v>49193.56</v>
      </c>
      <c r="C97" s="13">
        <v>50190</v>
      </c>
      <c r="D97" s="5">
        <v>10.803517999604049</v>
      </c>
      <c r="E97" s="5">
        <v>10.823571082648979</v>
      </c>
      <c r="F97" s="5">
        <v>-2.4211644029517032E-3</v>
      </c>
      <c r="G97" s="5">
        <v>3.7039392032331975E-2</v>
      </c>
    </row>
    <row r="98" spans="1:7" x14ac:dyDescent="0.25">
      <c r="A98" s="12">
        <v>44333</v>
      </c>
      <c r="B98" s="13">
        <v>44816.08</v>
      </c>
      <c r="C98" s="13">
        <v>44060</v>
      </c>
      <c r="D98" s="5">
        <v>10.710322282575055</v>
      </c>
      <c r="E98" s="5">
        <v>10.693307620356334</v>
      </c>
      <c r="F98" s="5">
        <v>-9.3195717028994096E-2</v>
      </c>
      <c r="G98" s="5">
        <v>-0.13026346229264441</v>
      </c>
    </row>
    <row r="99" spans="1:7" x14ac:dyDescent="0.25">
      <c r="A99" s="12">
        <v>44334</v>
      </c>
      <c r="B99" s="13">
        <v>43294.36</v>
      </c>
      <c r="C99" s="13">
        <v>43150</v>
      </c>
      <c r="D99" s="5">
        <v>10.675777651465216</v>
      </c>
      <c r="E99" s="5">
        <v>10.672437696511574</v>
      </c>
      <c r="F99" s="5">
        <v>-3.4544631109838519E-2</v>
      </c>
      <c r="G99" s="5">
        <v>-2.0869923844760052E-2</v>
      </c>
    </row>
    <row r="100" spans="1:7" x14ac:dyDescent="0.25">
      <c r="A100" s="12">
        <v>44335</v>
      </c>
      <c r="B100" s="13">
        <v>38336.11</v>
      </c>
      <c r="C100" s="13">
        <v>39340</v>
      </c>
      <c r="D100" s="5">
        <v>10.554147550836614</v>
      </c>
      <c r="E100" s="5">
        <v>10.579997091943049</v>
      </c>
      <c r="F100" s="5">
        <v>-0.12163010062860202</v>
      </c>
      <c r="G100" s="5">
        <v>-9.2440604568524876E-2</v>
      </c>
    </row>
    <row r="101" spans="1:7" x14ac:dyDescent="0.25">
      <c r="A101" s="12">
        <v>44336</v>
      </c>
      <c r="B101" s="13">
        <v>40078.49</v>
      </c>
      <c r="C101" s="13">
        <v>40320</v>
      </c>
      <c r="D101" s="5">
        <v>10.59859506039834</v>
      </c>
      <c r="E101" s="5">
        <v>10.604602902745251</v>
      </c>
      <c r="F101" s="5">
        <v>4.4447509561726051E-2</v>
      </c>
      <c r="G101" s="5">
        <v>2.4605810802201589E-2</v>
      </c>
    </row>
    <row r="102" spans="1:7" x14ac:dyDescent="0.25">
      <c r="A102" s="12">
        <v>44337</v>
      </c>
      <c r="B102" s="13">
        <v>35251.360000000001</v>
      </c>
      <c r="C102" s="13">
        <v>36085</v>
      </c>
      <c r="D102" s="5">
        <v>10.47025938905645</v>
      </c>
      <c r="E102" s="5">
        <v>10.493632545506374</v>
      </c>
      <c r="F102" s="5">
        <v>-0.12833567134189039</v>
      </c>
      <c r="G102" s="5">
        <v>-0.11097035723887672</v>
      </c>
    </row>
    <row r="103" spans="1:7" x14ac:dyDescent="0.25">
      <c r="A103" s="12">
        <v>44340</v>
      </c>
      <c r="B103" s="13">
        <v>39024.160000000003</v>
      </c>
      <c r="C103" s="13">
        <v>39750</v>
      </c>
      <c r="D103" s="5">
        <v>10.571936220488297</v>
      </c>
      <c r="E103" s="5">
        <v>10.590365120082478</v>
      </c>
      <c r="F103" s="5">
        <v>0.10167683143184725</v>
      </c>
      <c r="G103" s="5">
        <v>9.6732574576103403E-2</v>
      </c>
    </row>
    <row r="104" spans="1:7" x14ac:dyDescent="0.25">
      <c r="A104" s="12">
        <v>44341</v>
      </c>
      <c r="B104" s="13">
        <v>37646.5</v>
      </c>
      <c r="C104" s="13">
        <v>37330</v>
      </c>
      <c r="D104" s="5">
        <v>10.535995267419469</v>
      </c>
      <c r="E104" s="5">
        <v>10.527552571908629</v>
      </c>
      <c r="F104" s="5">
        <v>-3.5940953068827497E-2</v>
      </c>
      <c r="G104" s="5">
        <v>-6.2812548173848626E-2</v>
      </c>
    </row>
    <row r="105" spans="1:7" x14ac:dyDescent="0.25">
      <c r="A105" s="12">
        <v>44342</v>
      </c>
      <c r="B105" s="13">
        <v>38774.5</v>
      </c>
      <c r="C105" s="13">
        <v>38545</v>
      </c>
      <c r="D105" s="5">
        <v>10.565518093055088</v>
      </c>
      <c r="E105" s="5">
        <v>10.559581668893362</v>
      </c>
      <c r="F105" s="5">
        <v>2.9522825635618588E-2</v>
      </c>
      <c r="G105" s="5">
        <v>3.2029096984732774E-2</v>
      </c>
    </row>
    <row r="106" spans="1:7" x14ac:dyDescent="0.25">
      <c r="A106" s="12">
        <v>44343</v>
      </c>
      <c r="B106" s="13">
        <v>38495.29</v>
      </c>
      <c r="C106" s="13">
        <v>38845</v>
      </c>
      <c r="D106" s="5">
        <v>10.558291175129677</v>
      </c>
      <c r="E106" s="5">
        <v>10.567334647384522</v>
      </c>
      <c r="F106" s="5">
        <v>-7.2269179254114135E-3</v>
      </c>
      <c r="G106" s="5">
        <v>7.7529784911600785E-3</v>
      </c>
    </row>
    <row r="107" spans="1:7" x14ac:dyDescent="0.25">
      <c r="A107" s="12">
        <v>44344</v>
      </c>
      <c r="B107" s="13">
        <v>35218.36</v>
      </c>
      <c r="C107" s="13">
        <v>36841.35</v>
      </c>
      <c r="D107" s="5">
        <v>10.469322816514023</v>
      </c>
      <c r="E107" s="5">
        <v>10.514376134648973</v>
      </c>
      <c r="F107" s="5">
        <v>-8.8968358615653997E-2</v>
      </c>
      <c r="G107" s="5">
        <v>-5.2958512735548524E-2</v>
      </c>
    </row>
    <row r="108" spans="1:7" x14ac:dyDescent="0.25">
      <c r="A108" s="12">
        <v>44347</v>
      </c>
      <c r="B108" s="13">
        <v>36690.89</v>
      </c>
      <c r="C108" s="17">
        <v>36841.35</v>
      </c>
      <c r="D108" s="5">
        <v>10.51028377434594</v>
      </c>
      <c r="E108" s="5">
        <v>10.514376134648973</v>
      </c>
      <c r="F108" s="5">
        <v>4.0960957831917E-2</v>
      </c>
      <c r="G108" s="5">
        <v>0</v>
      </c>
    </row>
    <row r="109" spans="1:7" x14ac:dyDescent="0.25">
      <c r="A109" s="12">
        <v>44348</v>
      </c>
      <c r="B109" s="13">
        <v>36322.980000000003</v>
      </c>
      <c r="C109" s="13">
        <v>35990</v>
      </c>
      <c r="D109" s="5">
        <v>10.50020587780759</v>
      </c>
      <c r="E109" s="5">
        <v>10.490996401073076</v>
      </c>
      <c r="F109" s="5">
        <v>-1.0077896538350117E-2</v>
      </c>
      <c r="G109" s="5">
        <v>-2.3379733575897177E-2</v>
      </c>
    </row>
    <row r="110" spans="1:7" x14ac:dyDescent="0.25">
      <c r="A110" s="12">
        <v>44349</v>
      </c>
      <c r="B110" s="13">
        <v>37745.129999999997</v>
      </c>
      <c r="C110" s="13">
        <v>38040</v>
      </c>
      <c r="D110" s="5">
        <v>10.538611739732584</v>
      </c>
      <c r="E110" s="5">
        <v>10.546393516659327</v>
      </c>
      <c r="F110" s="5">
        <v>3.8405861924994511E-2</v>
      </c>
      <c r="G110" s="5">
        <v>5.5397115586250933E-2</v>
      </c>
    </row>
    <row r="111" spans="1:7" x14ac:dyDescent="0.25">
      <c r="A111" s="12">
        <v>44350</v>
      </c>
      <c r="B111" s="13">
        <v>38705.269999999997</v>
      </c>
      <c r="C111" s="13">
        <v>38715</v>
      </c>
      <c r="D111" s="5">
        <v>10.563731045457397</v>
      </c>
      <c r="E111" s="5">
        <v>10.563982400820825</v>
      </c>
      <c r="F111" s="5">
        <v>2.5119305724812691E-2</v>
      </c>
      <c r="G111" s="5">
        <v>1.7588884161497731E-2</v>
      </c>
    </row>
    <row r="112" spans="1:7" x14ac:dyDescent="0.25">
      <c r="A112" s="12">
        <v>44351</v>
      </c>
      <c r="B112" s="13">
        <v>37056.79</v>
      </c>
      <c r="C112" s="13">
        <v>36955</v>
      </c>
      <c r="D112" s="5">
        <v>10.520206879790047</v>
      </c>
      <c r="E112" s="5">
        <v>10.517456235218987</v>
      </c>
      <c r="F112" s="5">
        <v>-4.3524165667349735E-2</v>
      </c>
      <c r="G112" s="5">
        <v>-4.6526165601838088E-2</v>
      </c>
    </row>
    <row r="113" spans="1:7" x14ac:dyDescent="0.25">
      <c r="A113" s="12">
        <v>44354</v>
      </c>
      <c r="B113" s="13">
        <v>34457.74</v>
      </c>
      <c r="C113" s="13">
        <v>35645</v>
      </c>
      <c r="D113" s="5">
        <v>10.447488924646274</v>
      </c>
      <c r="E113" s="5">
        <v>10.48136416355173</v>
      </c>
      <c r="F113" s="5">
        <v>-7.2717955143772883E-2</v>
      </c>
      <c r="G113" s="5">
        <v>-3.6092071667257031E-2</v>
      </c>
    </row>
    <row r="114" spans="1:7" x14ac:dyDescent="0.25">
      <c r="A114" s="12">
        <v>44355</v>
      </c>
      <c r="B114" s="13">
        <v>33629.96</v>
      </c>
      <c r="C114" s="13">
        <v>32910</v>
      </c>
      <c r="D114" s="5">
        <v>10.423172615319395</v>
      </c>
      <c r="E114" s="5">
        <v>10.401531841937386</v>
      </c>
      <c r="F114" s="5">
        <v>-2.4316309326879448E-2</v>
      </c>
      <c r="G114" s="5">
        <v>-7.9832321614343726E-2</v>
      </c>
    </row>
    <row r="115" spans="1:7" x14ac:dyDescent="0.25">
      <c r="A115" s="12">
        <v>44356</v>
      </c>
      <c r="B115" s="13">
        <v>36408.39</v>
      </c>
      <c r="C115" s="13">
        <v>36375</v>
      </c>
      <c r="D115" s="5">
        <v>10.502554521570548</v>
      </c>
      <c r="E115" s="5">
        <v>10.501637004473794</v>
      </c>
      <c r="F115" s="5">
        <v>7.9381906251153822E-2</v>
      </c>
      <c r="G115" s="5">
        <v>0.10010516253640844</v>
      </c>
    </row>
    <row r="116" spans="1:7" x14ac:dyDescent="0.25">
      <c r="A116" s="12">
        <v>44357</v>
      </c>
      <c r="B116" s="13">
        <v>36494.559999999998</v>
      </c>
      <c r="C116" s="13">
        <v>36690</v>
      </c>
      <c r="D116" s="5">
        <v>10.504918487366965</v>
      </c>
      <c r="E116" s="5">
        <v>10.510259517349327</v>
      </c>
      <c r="F116" s="5">
        <v>2.3639657964160676E-3</v>
      </c>
      <c r="G116" s="5">
        <v>8.6225128755330616E-3</v>
      </c>
    </row>
    <row r="117" spans="1:7" x14ac:dyDescent="0.25">
      <c r="A117" s="12">
        <v>44358</v>
      </c>
      <c r="B117" s="13">
        <v>37152.15</v>
      </c>
      <c r="C117" s="13">
        <v>37325</v>
      </c>
      <c r="D117" s="5">
        <v>10.522776921957167</v>
      </c>
      <c r="E117" s="5">
        <v>10.52741862240739</v>
      </c>
      <c r="F117" s="5">
        <v>1.7858434590202421E-2</v>
      </c>
      <c r="G117" s="5">
        <v>1.7159105058063062E-2</v>
      </c>
    </row>
    <row r="118" spans="1:7" x14ac:dyDescent="0.25">
      <c r="A118" s="12">
        <v>44361</v>
      </c>
      <c r="B118" s="13">
        <v>39831.58</v>
      </c>
      <c r="C118" s="13">
        <v>39710</v>
      </c>
      <c r="D118" s="5">
        <v>10.592415343980425</v>
      </c>
      <c r="E118" s="5">
        <v>10.589358324125298</v>
      </c>
      <c r="F118" s="5">
        <v>6.9638422023258428E-2</v>
      </c>
      <c r="G118" s="5">
        <v>6.1939701717907525E-2</v>
      </c>
    </row>
    <row r="119" spans="1:7" x14ac:dyDescent="0.25">
      <c r="A119" s="12">
        <v>44362</v>
      </c>
      <c r="B119" s="13">
        <v>39948.769999999997</v>
      </c>
      <c r="C119" s="13">
        <v>39995</v>
      </c>
      <c r="D119" s="5">
        <v>10.595353162234838</v>
      </c>
      <c r="E119" s="5">
        <v>10.596509725282923</v>
      </c>
      <c r="F119" s="5">
        <v>2.9378182544128606E-3</v>
      </c>
      <c r="G119" s="5">
        <v>7.1514011576248038E-3</v>
      </c>
    </row>
    <row r="120" spans="1:7" x14ac:dyDescent="0.25">
      <c r="A120" s="12">
        <v>44363</v>
      </c>
      <c r="B120" s="13">
        <v>38532.5</v>
      </c>
      <c r="C120" s="13">
        <v>38565</v>
      </c>
      <c r="D120" s="5">
        <v>10.559257320020874</v>
      </c>
      <c r="E120" s="5">
        <v>10.560100408368099</v>
      </c>
      <c r="F120" s="5">
        <v>-3.6095842213963891E-2</v>
      </c>
      <c r="G120" s="5">
        <v>-3.6409316914824075E-2</v>
      </c>
    </row>
    <row r="121" spans="1:7" x14ac:dyDescent="0.25">
      <c r="A121" s="12">
        <v>44364</v>
      </c>
      <c r="B121" s="13">
        <v>37747.519999999997</v>
      </c>
      <c r="C121" s="13">
        <v>37665</v>
      </c>
      <c r="D121" s="5">
        <v>10.538675057154897</v>
      </c>
      <c r="E121" s="5">
        <v>10.536486560259796</v>
      </c>
      <c r="F121" s="5">
        <v>-2.0582262865977086E-2</v>
      </c>
      <c r="G121" s="5">
        <v>-2.3613848108302804E-2</v>
      </c>
    </row>
    <row r="122" spans="1:7" x14ac:dyDescent="0.25">
      <c r="A122" s="12">
        <v>44365</v>
      </c>
      <c r="B122" s="13">
        <v>35517.31</v>
      </c>
      <c r="C122" s="13">
        <v>35285</v>
      </c>
      <c r="D122" s="5">
        <v>10.477775462256313</v>
      </c>
      <c r="E122" s="5">
        <v>10.47121322343493</v>
      </c>
      <c r="F122" s="5">
        <v>-6.0899594898584652E-2</v>
      </c>
      <c r="G122" s="5">
        <v>-6.5273336824866135E-2</v>
      </c>
    </row>
    <row r="123" spans="1:7" x14ac:dyDescent="0.25">
      <c r="A123" s="12">
        <v>44368</v>
      </c>
      <c r="B123" s="13">
        <v>32582.59</v>
      </c>
      <c r="C123" s="13">
        <v>32560</v>
      </c>
      <c r="D123" s="5">
        <v>10.391533375620043</v>
      </c>
      <c r="E123" s="5">
        <v>10.390839820116476</v>
      </c>
      <c r="F123" s="5">
        <v>-8.6242086636270088E-2</v>
      </c>
      <c r="G123" s="5">
        <v>-8.0373403318453995E-2</v>
      </c>
    </row>
    <row r="124" spans="1:7" x14ac:dyDescent="0.25">
      <c r="A124" s="12">
        <v>44369</v>
      </c>
      <c r="B124" s="13">
        <v>32903.519999999997</v>
      </c>
      <c r="C124" s="13">
        <v>32480</v>
      </c>
      <c r="D124" s="5">
        <v>10.401334921911806</v>
      </c>
      <c r="E124" s="5">
        <v>10.388379794275615</v>
      </c>
      <c r="F124" s="5">
        <v>9.80154629176333E-3</v>
      </c>
      <c r="G124" s="5">
        <v>-2.4600258408611353E-3</v>
      </c>
    </row>
    <row r="125" spans="1:7" x14ac:dyDescent="0.25">
      <c r="A125" s="12">
        <v>44370</v>
      </c>
      <c r="B125" s="13">
        <v>33059.18</v>
      </c>
      <c r="C125" s="13">
        <v>32900</v>
      </c>
      <c r="D125" s="5">
        <v>10.406054567679627</v>
      </c>
      <c r="E125" s="5">
        <v>10.401227936753463</v>
      </c>
      <c r="F125" s="5">
        <v>4.7196457678211345E-3</v>
      </c>
      <c r="G125" s="5">
        <v>1.2848142477848157E-2</v>
      </c>
    </row>
    <row r="126" spans="1:7" x14ac:dyDescent="0.25">
      <c r="A126" s="12">
        <v>44371</v>
      </c>
      <c r="B126" s="13">
        <v>34859.9</v>
      </c>
      <c r="C126" s="13">
        <v>34805</v>
      </c>
      <c r="D126" s="5">
        <v>10.459092450452571</v>
      </c>
      <c r="E126" s="5">
        <v>10.457516333602767</v>
      </c>
      <c r="F126" s="5">
        <v>5.30378827729443E-2</v>
      </c>
      <c r="G126" s="5">
        <v>5.6288396849303979E-2</v>
      </c>
    </row>
    <row r="127" spans="1:7" x14ac:dyDescent="0.25">
      <c r="A127" s="12">
        <v>44372</v>
      </c>
      <c r="B127" s="13">
        <v>32215.31</v>
      </c>
      <c r="C127" s="13">
        <v>33079.4</v>
      </c>
      <c r="D127" s="5">
        <v>10.380197084372943</v>
      </c>
      <c r="E127" s="5">
        <v>10.406666011125493</v>
      </c>
      <c r="F127" s="5">
        <v>-7.8895366079628104E-2</v>
      </c>
      <c r="G127" s="5">
        <v>-5.0850322477273835E-2</v>
      </c>
    </row>
    <row r="128" spans="1:7" x14ac:dyDescent="0.25">
      <c r="A128" s="12">
        <v>44375</v>
      </c>
      <c r="B128" s="13">
        <v>34677.769999999997</v>
      </c>
      <c r="C128" s="13">
        <v>34525</v>
      </c>
      <c r="D128" s="5">
        <v>10.453854126635539</v>
      </c>
      <c r="E128" s="5">
        <v>10.449438978277493</v>
      </c>
      <c r="F128" s="5">
        <v>7.3657042262595951E-2</v>
      </c>
      <c r="G128" s="5">
        <v>4.2772967152000518E-2</v>
      </c>
    </row>
    <row r="129" spans="1:7" x14ac:dyDescent="0.25">
      <c r="A129" s="12">
        <v>44376</v>
      </c>
      <c r="B129" s="13">
        <v>36168.199999999997</v>
      </c>
      <c r="C129" s="13">
        <v>36430</v>
      </c>
      <c r="D129" s="5">
        <v>10.495935558709208</v>
      </c>
      <c r="E129" s="5">
        <v>10.503147890002609</v>
      </c>
      <c r="F129" s="5">
        <v>4.2081432073668879E-2</v>
      </c>
      <c r="G129" s="5">
        <v>5.3708911725115271E-2</v>
      </c>
    </row>
    <row r="130" spans="1:7" x14ac:dyDescent="0.25">
      <c r="A130" s="12">
        <v>44377</v>
      </c>
      <c r="B130" s="13">
        <v>34585</v>
      </c>
      <c r="C130" s="13">
        <v>34725</v>
      </c>
      <c r="D130" s="5">
        <v>10.451175341034686</v>
      </c>
      <c r="E130" s="5">
        <v>10.455215167622544</v>
      </c>
      <c r="F130" s="5">
        <v>-4.4760217674522096E-2</v>
      </c>
      <c r="G130" s="5">
        <v>-4.7932722380064519E-2</v>
      </c>
    </row>
    <row r="131" spans="1:7" x14ac:dyDescent="0.25">
      <c r="A131" s="12">
        <v>44378</v>
      </c>
      <c r="B131" s="13">
        <v>33422</v>
      </c>
      <c r="C131" s="13">
        <v>33030</v>
      </c>
      <c r="D131" s="5">
        <v>10.416969644763327</v>
      </c>
      <c r="E131" s="5">
        <v>10.405171518384835</v>
      </c>
      <c r="F131" s="5">
        <v>-3.4205696271358832E-2</v>
      </c>
      <c r="G131" s="5">
        <v>-5.0043649237709431E-2</v>
      </c>
    </row>
    <row r="132" spans="1:7" x14ac:dyDescent="0.25">
      <c r="A132" s="12">
        <v>44379</v>
      </c>
      <c r="B132" s="13">
        <v>33142.639999999999</v>
      </c>
      <c r="C132" s="13">
        <v>33285</v>
      </c>
      <c r="D132" s="5">
        <v>10.408575949847533</v>
      </c>
      <c r="E132" s="5">
        <v>10.412862124034804</v>
      </c>
      <c r="F132" s="5">
        <v>-8.3936949157941143E-3</v>
      </c>
      <c r="G132" s="5">
        <v>7.6906056499694841E-3</v>
      </c>
    </row>
    <row r="133" spans="1:7" x14ac:dyDescent="0.25">
      <c r="A133" s="12">
        <v>44382</v>
      </c>
      <c r="B133" s="13">
        <v>33855.360000000001</v>
      </c>
      <c r="C133" s="17">
        <v>33285</v>
      </c>
      <c r="D133" s="5">
        <v>10.429852611447613</v>
      </c>
      <c r="E133" s="5">
        <v>10.412862124034804</v>
      </c>
      <c r="F133" s="5">
        <v>2.1276661600079905E-2</v>
      </c>
      <c r="G133" s="5">
        <v>0</v>
      </c>
    </row>
    <row r="134" spans="1:7" x14ac:dyDescent="0.25">
      <c r="A134" s="12">
        <v>44383</v>
      </c>
      <c r="B134" s="13">
        <v>33957.11</v>
      </c>
      <c r="C134" s="13">
        <v>33975</v>
      </c>
      <c r="D134" s="5">
        <v>10.432853536686277</v>
      </c>
      <c r="E134" s="5">
        <v>10.433380239019344</v>
      </c>
      <c r="F134" s="5">
        <v>3.0009252386644647E-3</v>
      </c>
      <c r="G134" s="5">
        <v>2.0518114984540148E-2</v>
      </c>
    </row>
    <row r="135" spans="1:7" x14ac:dyDescent="0.25">
      <c r="A135" s="12">
        <v>44384</v>
      </c>
      <c r="B135" s="13">
        <v>34544.86</v>
      </c>
      <c r="C135" s="13">
        <v>34700</v>
      </c>
      <c r="D135" s="5">
        <v>10.450014048229779</v>
      </c>
      <c r="E135" s="5">
        <v>10.45449496593495</v>
      </c>
      <c r="F135" s="5">
        <v>1.71605115435014E-2</v>
      </c>
      <c r="G135" s="5">
        <v>2.1114726915605786E-2</v>
      </c>
    </row>
    <row r="136" spans="1:7" x14ac:dyDescent="0.25">
      <c r="A136" s="12">
        <v>44385</v>
      </c>
      <c r="B136" s="13">
        <v>32815.730000000003</v>
      </c>
      <c r="C136" s="13">
        <v>32960</v>
      </c>
      <c r="D136" s="5">
        <v>10.398663252584507</v>
      </c>
      <c r="E136" s="5">
        <v>10.403049984023408</v>
      </c>
      <c r="F136" s="5">
        <v>-5.1350795645271674E-2</v>
      </c>
      <c r="G136" s="5">
        <v>-5.1444981911542342E-2</v>
      </c>
    </row>
    <row r="137" spans="1:7" x14ac:dyDescent="0.25">
      <c r="A137" s="12">
        <v>44386</v>
      </c>
      <c r="B137" s="13">
        <v>33522.57</v>
      </c>
      <c r="C137" s="13">
        <v>33455</v>
      </c>
      <c r="D137" s="5">
        <v>10.419974222301366</v>
      </c>
      <c r="E137" s="5">
        <v>10.417956531216918</v>
      </c>
      <c r="F137" s="5">
        <v>2.1310969716859418E-2</v>
      </c>
      <c r="G137" s="5">
        <v>1.4906547193509923E-2</v>
      </c>
    </row>
    <row r="138" spans="1:7" x14ac:dyDescent="0.25">
      <c r="A138" s="12">
        <v>44389</v>
      </c>
      <c r="B138" s="13">
        <v>32849.589999999997</v>
      </c>
      <c r="C138" s="13">
        <v>32760</v>
      </c>
      <c r="D138" s="5">
        <v>10.399694542860743</v>
      </c>
      <c r="E138" s="5">
        <v>10.396963537967006</v>
      </c>
      <c r="F138" s="5">
        <v>-2.0279679440623255E-2</v>
      </c>
      <c r="G138" s="5">
        <v>-2.0992993249912217E-2</v>
      </c>
    </row>
    <row r="139" spans="1:7" x14ac:dyDescent="0.25">
      <c r="A139" s="12">
        <v>44390</v>
      </c>
      <c r="B139" s="13">
        <v>32508.34</v>
      </c>
      <c r="C139" s="13">
        <v>32215</v>
      </c>
      <c r="D139" s="5">
        <v>10.389251950782349</v>
      </c>
      <c r="E139" s="5">
        <v>10.380187461572742</v>
      </c>
      <c r="F139" s="5">
        <v>-1.0442592078394597E-2</v>
      </c>
      <c r="G139" s="5">
        <v>-1.6776076394263484E-2</v>
      </c>
    </row>
    <row r="140" spans="1:7" x14ac:dyDescent="0.25">
      <c r="A140" s="12">
        <v>44391</v>
      </c>
      <c r="B140" s="13">
        <v>32813.83</v>
      </c>
      <c r="C140" s="13">
        <v>32740</v>
      </c>
      <c r="D140" s="5">
        <v>10.398605351845859</v>
      </c>
      <c r="E140" s="5">
        <v>10.396352850925126</v>
      </c>
      <c r="F140" s="5">
        <v>9.3534010635103471E-3</v>
      </c>
      <c r="G140" s="5">
        <v>1.6165389352384096E-2</v>
      </c>
    </row>
    <row r="141" spans="1:7" x14ac:dyDescent="0.25">
      <c r="A141" s="12">
        <v>44392</v>
      </c>
      <c r="B141" s="13">
        <v>31758.37</v>
      </c>
      <c r="C141" s="13">
        <v>31410</v>
      </c>
      <c r="D141" s="5">
        <v>10.365911591625895</v>
      </c>
      <c r="E141" s="5">
        <v>10.354881592532692</v>
      </c>
      <c r="F141" s="5">
        <v>-3.2693760219963508E-2</v>
      </c>
      <c r="G141" s="5">
        <v>-4.1471258392434152E-2</v>
      </c>
    </row>
    <row r="142" spans="1:7" x14ac:dyDescent="0.25">
      <c r="A142" s="12">
        <v>44393</v>
      </c>
      <c r="B142" s="13">
        <v>31842.51</v>
      </c>
      <c r="C142" s="13">
        <v>31925</v>
      </c>
      <c r="D142" s="5">
        <v>10.368557468509559</v>
      </c>
      <c r="E142" s="5">
        <v>10.371144680900739</v>
      </c>
      <c r="F142" s="5">
        <v>2.6458768836636892E-3</v>
      </c>
      <c r="G142" s="5">
        <v>1.6263088368047462E-2</v>
      </c>
    </row>
    <row r="143" spans="1:7" x14ac:dyDescent="0.25">
      <c r="A143" s="12">
        <v>44396</v>
      </c>
      <c r="B143" s="13">
        <v>30776.39</v>
      </c>
      <c r="C143" s="13">
        <v>30690</v>
      </c>
      <c r="D143" s="5">
        <v>10.334503116563953</v>
      </c>
      <c r="E143" s="5">
        <v>10.331692147613781</v>
      </c>
      <c r="F143" s="5">
        <v>-3.4054351945606243E-2</v>
      </c>
      <c r="G143" s="5">
        <v>-3.9452533286958413E-2</v>
      </c>
    </row>
    <row r="144" spans="1:7" x14ac:dyDescent="0.25">
      <c r="A144" s="12">
        <v>44397</v>
      </c>
      <c r="B144" s="13">
        <v>29865.53</v>
      </c>
      <c r="C144" s="13">
        <v>29715</v>
      </c>
      <c r="D144" s="5">
        <v>10.304460251534973</v>
      </c>
      <c r="E144" s="5">
        <v>10.299407247800762</v>
      </c>
      <c r="F144" s="5">
        <v>-3.0042865028979904E-2</v>
      </c>
      <c r="G144" s="5">
        <v>-3.2284899813019408E-2</v>
      </c>
    </row>
    <row r="145" spans="1:7" x14ac:dyDescent="0.25">
      <c r="A145" s="12">
        <v>44398</v>
      </c>
      <c r="B145" s="13">
        <v>31818.67</v>
      </c>
      <c r="C145" s="13">
        <v>31620</v>
      </c>
      <c r="D145" s="5">
        <v>10.367808503406668</v>
      </c>
      <c r="E145" s="5">
        <v>10.361545110763464</v>
      </c>
      <c r="F145" s="5">
        <v>6.3348251871694572E-2</v>
      </c>
      <c r="G145" s="5">
        <v>6.2137862962702073E-2</v>
      </c>
    </row>
    <row r="146" spans="1:7" x14ac:dyDescent="0.25">
      <c r="A146" s="12">
        <v>44399</v>
      </c>
      <c r="B146" s="13">
        <v>32247.75</v>
      </c>
      <c r="C146" s="13">
        <v>32415</v>
      </c>
      <c r="D146" s="5">
        <v>10.381203552348197</v>
      </c>
      <c r="E146" s="5">
        <v>10.386376557609095</v>
      </c>
      <c r="F146" s="5">
        <v>1.3395048941529097E-2</v>
      </c>
      <c r="G146" s="5">
        <v>2.4831446845631433E-2</v>
      </c>
    </row>
    <row r="147" spans="1:7" x14ac:dyDescent="0.25">
      <c r="A147" s="12">
        <v>44400</v>
      </c>
      <c r="B147" s="13">
        <v>32500.7</v>
      </c>
      <c r="C147" s="13">
        <v>32270</v>
      </c>
      <c r="D147" s="5">
        <v>10.389016906547418</v>
      </c>
      <c r="E147" s="5">
        <v>10.381893285046008</v>
      </c>
      <c r="F147" s="5">
        <v>7.8133541992215783E-3</v>
      </c>
      <c r="G147" s="5">
        <v>-4.4832725630872261E-3</v>
      </c>
    </row>
    <row r="148" spans="1:7" x14ac:dyDescent="0.25">
      <c r="A148" s="12">
        <v>44403</v>
      </c>
      <c r="B148" s="13">
        <v>37751.68</v>
      </c>
      <c r="C148" s="13">
        <v>39480</v>
      </c>
      <c r="D148" s="5">
        <v>10.538785256998185</v>
      </c>
      <c r="E148" s="5">
        <v>10.583549493547418</v>
      </c>
      <c r="F148" s="5">
        <v>0.14976835045076697</v>
      </c>
      <c r="G148" s="5">
        <v>0.20165620850140975</v>
      </c>
    </row>
    <row r="149" spans="1:7" x14ac:dyDescent="0.25">
      <c r="A149" s="12">
        <v>44404</v>
      </c>
      <c r="B149" s="13">
        <v>38044.5</v>
      </c>
      <c r="C149" s="13">
        <v>37890</v>
      </c>
      <c r="D149" s="5">
        <v>10.546511806192813</v>
      </c>
      <c r="E149" s="5">
        <v>10.542442504012646</v>
      </c>
      <c r="F149" s="5">
        <v>7.7265491946274523E-3</v>
      </c>
      <c r="G149" s="5">
        <v>-4.1106989534771543E-2</v>
      </c>
    </row>
    <row r="150" spans="1:7" x14ac:dyDescent="0.25">
      <c r="A150" s="12">
        <v>44405</v>
      </c>
      <c r="B150" s="13">
        <v>39985.949999999997</v>
      </c>
      <c r="C150" s="13">
        <v>40370</v>
      </c>
      <c r="D150" s="5">
        <v>10.596283421393343</v>
      </c>
      <c r="E150" s="5">
        <v>10.605842213846987</v>
      </c>
      <c r="F150" s="5">
        <v>4.9771615200530306E-2</v>
      </c>
      <c r="G150" s="5">
        <v>6.3399709834341067E-2</v>
      </c>
    </row>
    <row r="151" spans="1:7" x14ac:dyDescent="0.25">
      <c r="A151" s="12">
        <v>44406</v>
      </c>
      <c r="B151" s="13">
        <v>39722.080000000002</v>
      </c>
      <c r="C151" s="13">
        <v>39675</v>
      </c>
      <c r="D151" s="5">
        <v>10.58966248335399</v>
      </c>
      <c r="E151" s="5">
        <v>10.588476545394609</v>
      </c>
      <c r="F151" s="5">
        <v>-6.6209380393527084E-3</v>
      </c>
      <c r="G151" s="5">
        <v>-1.7365668452377747E-2</v>
      </c>
    </row>
    <row r="152" spans="1:7" x14ac:dyDescent="0.25">
      <c r="A152" s="12">
        <v>44407</v>
      </c>
      <c r="B152" s="13">
        <v>40689.269999999997</v>
      </c>
      <c r="C152" s="13">
        <v>39020.92</v>
      </c>
      <c r="D152" s="5">
        <v>10.613719700308875</v>
      </c>
      <c r="E152" s="5">
        <v>10.571853191551639</v>
      </c>
      <c r="F152" s="5">
        <v>2.4057216954885163E-2</v>
      </c>
      <c r="G152" s="5">
        <v>-1.662335384297009E-2</v>
      </c>
    </row>
    <row r="153" spans="1:7" x14ac:dyDescent="0.25">
      <c r="A153" s="12">
        <v>44410</v>
      </c>
      <c r="B153" s="13">
        <v>38856.629999999997</v>
      </c>
      <c r="C153" s="13">
        <v>39180</v>
      </c>
      <c r="D153" s="5">
        <v>10.567633997606308</v>
      </c>
      <c r="E153" s="5">
        <v>10.575921691498532</v>
      </c>
      <c r="F153" s="5">
        <v>-4.6085702702567843E-2</v>
      </c>
      <c r="G153" s="5">
        <v>4.0684999468929561E-3</v>
      </c>
    </row>
    <row r="154" spans="1:7" x14ac:dyDescent="0.25">
      <c r="A154" s="12">
        <v>44411</v>
      </c>
      <c r="B154" s="13">
        <v>38072.949999999997</v>
      </c>
      <c r="C154" s="13">
        <v>37965</v>
      </c>
      <c r="D154" s="5">
        <v>10.547259335210793</v>
      </c>
      <c r="E154" s="5">
        <v>10.544419961647334</v>
      </c>
      <c r="F154" s="5">
        <v>-2.0374662395514775E-2</v>
      </c>
      <c r="G154" s="5">
        <v>-3.150172985119859E-2</v>
      </c>
    </row>
    <row r="155" spans="1:7" x14ac:dyDescent="0.25">
      <c r="A155" s="12">
        <v>44412</v>
      </c>
      <c r="B155" s="13">
        <v>39754.379999999997</v>
      </c>
      <c r="C155" s="13">
        <v>39840</v>
      </c>
      <c r="D155" s="5">
        <v>10.590475302691397</v>
      </c>
      <c r="E155" s="5">
        <v>10.592626711698534</v>
      </c>
      <c r="F155" s="5">
        <v>4.3215967480604078E-2</v>
      </c>
      <c r="G155" s="5">
        <v>4.8206750051200231E-2</v>
      </c>
    </row>
    <row r="156" spans="1:7" x14ac:dyDescent="0.25">
      <c r="A156" s="12">
        <v>44413</v>
      </c>
      <c r="B156" s="13">
        <v>40899.360000000001</v>
      </c>
      <c r="C156" s="13">
        <v>40755</v>
      </c>
      <c r="D156" s="5">
        <v>10.618869693986703</v>
      </c>
      <c r="E156" s="5">
        <v>10.615333810528558</v>
      </c>
      <c r="F156" s="5">
        <v>2.8394391295305965E-2</v>
      </c>
      <c r="G156" s="5">
        <v>2.2707098830023753E-2</v>
      </c>
    </row>
    <row r="157" spans="1:7" x14ac:dyDescent="0.25">
      <c r="A157" s="12">
        <v>44414</v>
      </c>
      <c r="B157" s="13">
        <v>42719.51</v>
      </c>
      <c r="C157" s="13">
        <v>42970</v>
      </c>
      <c r="D157" s="5">
        <v>10.662411003530842</v>
      </c>
      <c r="E157" s="5">
        <v>10.668257476769041</v>
      </c>
      <c r="F157" s="5">
        <v>4.354130954413904E-2</v>
      </c>
      <c r="G157" s="5">
        <v>5.2923666240483058E-2</v>
      </c>
    </row>
    <row r="158" spans="1:7" x14ac:dyDescent="0.25">
      <c r="A158" s="12">
        <v>44417</v>
      </c>
      <c r="B158" s="13">
        <v>45464.51</v>
      </c>
      <c r="C158" s="13">
        <v>46045</v>
      </c>
      <c r="D158" s="5">
        <v>10.724687300580765</v>
      </c>
      <c r="E158" s="5">
        <v>10.737374458155468</v>
      </c>
      <c r="F158" s="5">
        <v>6.2276297049923102E-2</v>
      </c>
      <c r="G158" s="5">
        <v>6.9116981386427412E-2</v>
      </c>
    </row>
    <row r="159" spans="1:7" x14ac:dyDescent="0.25">
      <c r="A159" s="12">
        <v>44418</v>
      </c>
      <c r="B159" s="13">
        <v>45642.9</v>
      </c>
      <c r="C159" s="13">
        <v>45495</v>
      </c>
      <c r="D159" s="5">
        <v>10.728603342711109</v>
      </c>
      <c r="E159" s="5">
        <v>10.72535770879079</v>
      </c>
      <c r="F159" s="5">
        <v>3.9160421303439108E-3</v>
      </c>
      <c r="G159" s="5">
        <v>-1.2016749364677892E-2</v>
      </c>
    </row>
    <row r="160" spans="1:7" x14ac:dyDescent="0.25">
      <c r="A160" s="12">
        <v>44419</v>
      </c>
      <c r="B160" s="13">
        <v>46345.49</v>
      </c>
      <c r="C160" s="13">
        <v>46455</v>
      </c>
      <c r="D160" s="5">
        <v>10.743879263131374</v>
      </c>
      <c r="E160" s="5">
        <v>10.746239381075412</v>
      </c>
      <c r="F160" s="5">
        <v>1.5275920420265265E-2</v>
      </c>
      <c r="G160" s="5">
        <v>2.0881672284621899E-2</v>
      </c>
    </row>
    <row r="161" spans="1:7" x14ac:dyDescent="0.25">
      <c r="A161" s="12">
        <v>44420</v>
      </c>
      <c r="B161" s="13">
        <v>44480.11</v>
      </c>
      <c r="C161" s="13">
        <v>44360</v>
      </c>
      <c r="D161" s="5">
        <v>10.702797401942989</v>
      </c>
      <c r="E161" s="5">
        <v>10.700093441464304</v>
      </c>
      <c r="F161" s="5">
        <v>-4.108186118838475E-2</v>
      </c>
      <c r="G161" s="5">
        <v>-4.6145939611108133E-2</v>
      </c>
    </row>
    <row r="162" spans="1:7" x14ac:dyDescent="0.25">
      <c r="A162" s="12">
        <v>44421</v>
      </c>
      <c r="B162" s="13">
        <v>47609.88</v>
      </c>
      <c r="C162" s="13">
        <v>46505</v>
      </c>
      <c r="D162" s="5">
        <v>10.770795581706498</v>
      </c>
      <c r="E162" s="5">
        <v>10.747315112676567</v>
      </c>
      <c r="F162" s="5">
        <v>6.7998179763508304E-2</v>
      </c>
      <c r="G162" s="5">
        <v>4.7221671212263061E-2</v>
      </c>
    </row>
    <row r="163" spans="1:7" x14ac:dyDescent="0.25">
      <c r="A163" s="12">
        <v>44424</v>
      </c>
      <c r="B163" s="13">
        <v>46078.11</v>
      </c>
      <c r="C163" s="13">
        <v>46095</v>
      </c>
      <c r="D163" s="5">
        <v>10.738093278903609</v>
      </c>
      <c r="E163" s="5">
        <v>10.738459763232695</v>
      </c>
      <c r="F163" s="5">
        <v>-3.2702302802888994E-2</v>
      </c>
      <c r="G163" s="5">
        <v>-8.855349443871674E-3</v>
      </c>
    </row>
    <row r="164" spans="1:7" x14ac:dyDescent="0.25">
      <c r="A164" s="12">
        <v>44425</v>
      </c>
      <c r="B164" s="13">
        <v>44992.1</v>
      </c>
      <c r="C164" s="13">
        <v>45520</v>
      </c>
      <c r="D164" s="5">
        <v>10.714242197785222</v>
      </c>
      <c r="E164" s="5">
        <v>10.725907068800213</v>
      </c>
      <c r="F164" s="5">
        <v>-2.3851081118387185E-2</v>
      </c>
      <c r="G164" s="5">
        <v>-1.2552694432482525E-2</v>
      </c>
    </row>
    <row r="165" spans="1:7" x14ac:dyDescent="0.25">
      <c r="A165" s="12">
        <v>44426</v>
      </c>
      <c r="B165" s="13">
        <v>44546.67</v>
      </c>
      <c r="C165" s="13">
        <v>44855</v>
      </c>
      <c r="D165" s="5">
        <v>10.704292682630475</v>
      </c>
      <c r="E165" s="5">
        <v>10.711190343993383</v>
      </c>
      <c r="F165" s="5">
        <v>-9.9495151547461802E-3</v>
      </c>
      <c r="G165" s="5">
        <v>-1.4716724806829617E-2</v>
      </c>
    </row>
    <row r="166" spans="1:7" x14ac:dyDescent="0.25">
      <c r="A166" s="12">
        <v>44427</v>
      </c>
      <c r="B166" s="13">
        <v>46587.99</v>
      </c>
      <c r="C166" s="13">
        <v>46700</v>
      </c>
      <c r="D166" s="5">
        <v>10.749098061574971</v>
      </c>
      <c r="E166" s="5">
        <v>10.751499443656989</v>
      </c>
      <c r="F166" s="5">
        <v>4.4805378944495544E-2</v>
      </c>
      <c r="G166" s="5">
        <v>4.0309099663605963E-2</v>
      </c>
    </row>
    <row r="167" spans="1:7" x14ac:dyDescent="0.25">
      <c r="A167" s="12">
        <v>44428</v>
      </c>
      <c r="B167" s="13">
        <v>48668.03</v>
      </c>
      <c r="C167" s="13">
        <v>48730</v>
      </c>
      <c r="D167" s="5">
        <v>10.792777625328618</v>
      </c>
      <c r="E167" s="5">
        <v>10.794050135837551</v>
      </c>
      <c r="F167" s="5">
        <v>4.3679563753647344E-2</v>
      </c>
      <c r="G167" s="5">
        <v>4.2550692180562066E-2</v>
      </c>
    </row>
    <row r="168" spans="1:7" x14ac:dyDescent="0.25">
      <c r="A168" s="12">
        <v>44431</v>
      </c>
      <c r="B168" s="13">
        <v>49515.08</v>
      </c>
      <c r="C168" s="13">
        <v>49280</v>
      </c>
      <c r="D168" s="5">
        <v>10.810032548626117</v>
      </c>
      <c r="E168" s="5">
        <v>10.805273598207402</v>
      </c>
      <c r="F168" s="5">
        <v>1.7254923297498337E-2</v>
      </c>
      <c r="G168" s="5">
        <v>1.1223462369850168E-2</v>
      </c>
    </row>
    <row r="169" spans="1:7" x14ac:dyDescent="0.25">
      <c r="A169" s="12">
        <v>44432</v>
      </c>
      <c r="B169" s="13">
        <v>48345.65</v>
      </c>
      <c r="C169" s="13">
        <v>48210</v>
      </c>
      <c r="D169" s="5">
        <v>10.786131527857775</v>
      </c>
      <c r="E169" s="5">
        <v>10.783321747399668</v>
      </c>
      <c r="F169" s="5">
        <v>-2.3901020768342107E-2</v>
      </c>
      <c r="G169" s="5">
        <v>-2.1951850807733209E-2</v>
      </c>
    </row>
    <row r="170" spans="1:7" x14ac:dyDescent="0.25">
      <c r="A170" s="12">
        <v>44433</v>
      </c>
      <c r="B170" s="13">
        <v>48712.63</v>
      </c>
      <c r="C170" s="13">
        <v>48705</v>
      </c>
      <c r="D170" s="5">
        <v>10.793693618362932</v>
      </c>
      <c r="E170" s="5">
        <v>10.793536973205056</v>
      </c>
      <c r="F170" s="5">
        <v>7.5620905051572151E-3</v>
      </c>
      <c r="G170" s="5">
        <v>1.0215225805387362E-2</v>
      </c>
    </row>
    <row r="171" spans="1:7" x14ac:dyDescent="0.25">
      <c r="A171" s="12">
        <v>44434</v>
      </c>
      <c r="B171" s="13">
        <v>47036.43</v>
      </c>
      <c r="C171" s="13">
        <v>46940</v>
      </c>
      <c r="D171" s="5">
        <v>10.758677686835357</v>
      </c>
      <c r="E171" s="5">
        <v>10.756625469405014</v>
      </c>
      <c r="F171" s="5">
        <v>-3.5015931527574651E-2</v>
      </c>
      <c r="G171" s="5">
        <v>-3.6911503800041601E-2</v>
      </c>
    </row>
    <row r="172" spans="1:7" x14ac:dyDescent="0.25">
      <c r="A172" s="12">
        <v>44435</v>
      </c>
      <c r="B172" s="13">
        <v>48921.81</v>
      </c>
      <c r="C172" s="13">
        <v>47952.02</v>
      </c>
      <c r="D172" s="5">
        <v>10.797978588298994</v>
      </c>
      <c r="E172" s="5">
        <v>10.777956206640107</v>
      </c>
      <c r="F172" s="5">
        <v>3.9300901463636961E-2</v>
      </c>
      <c r="G172" s="5">
        <v>2.1330737235093267E-2</v>
      </c>
    </row>
    <row r="173" spans="1:7" x14ac:dyDescent="0.25">
      <c r="A173" s="12">
        <v>44438</v>
      </c>
      <c r="B173" s="13">
        <v>48648.9</v>
      </c>
      <c r="C173" s="13">
        <v>48765</v>
      </c>
      <c r="D173" s="5">
        <v>10.792384476875489</v>
      </c>
      <c r="E173" s="5">
        <v>10.794768121406115</v>
      </c>
      <c r="F173" s="5">
        <v>-5.5941114235054101E-3</v>
      </c>
      <c r="G173" s="5">
        <v>1.6811914766007519E-2</v>
      </c>
    </row>
    <row r="174" spans="1:7" x14ac:dyDescent="0.25">
      <c r="A174" s="12">
        <v>44439</v>
      </c>
      <c r="B174" s="13">
        <v>47008.53</v>
      </c>
      <c r="C174" s="13">
        <v>47390</v>
      </c>
      <c r="D174" s="5">
        <v>10.758084353586696</v>
      </c>
      <c r="E174" s="5">
        <v>10.766166514961634</v>
      </c>
      <c r="F174" s="5">
        <v>-3.4300123288792506E-2</v>
      </c>
      <c r="G174" s="5">
        <v>-2.860160644448051E-2</v>
      </c>
    </row>
    <row r="175" spans="1:7" x14ac:dyDescent="0.25">
      <c r="A175" s="12">
        <v>44440</v>
      </c>
      <c r="B175" s="13">
        <v>48272.51</v>
      </c>
      <c r="C175" s="13">
        <v>48320</v>
      </c>
      <c r="D175" s="5">
        <v>10.784617526473957</v>
      </c>
      <c r="E175" s="5">
        <v>10.785600832608697</v>
      </c>
      <c r="F175" s="5">
        <v>2.6533172887260648E-2</v>
      </c>
      <c r="G175" s="5">
        <v>1.9434317647062826E-2</v>
      </c>
    </row>
    <row r="176" spans="1:7" x14ac:dyDescent="0.25">
      <c r="A176" s="12">
        <v>44441</v>
      </c>
      <c r="B176" s="13">
        <v>49562.1</v>
      </c>
      <c r="C176" s="13">
        <v>49375</v>
      </c>
      <c r="D176" s="5">
        <v>10.810981707726729</v>
      </c>
      <c r="E176" s="5">
        <v>10.807199502203423</v>
      </c>
      <c r="F176" s="5">
        <v>2.6364181252771957E-2</v>
      </c>
      <c r="G176" s="5">
        <v>2.159866959472545E-2</v>
      </c>
    </row>
    <row r="177" spans="1:7" x14ac:dyDescent="0.25">
      <c r="A177" s="12">
        <v>44442</v>
      </c>
      <c r="B177" s="13">
        <v>50152.52</v>
      </c>
      <c r="C177" s="13">
        <v>50710</v>
      </c>
      <c r="D177" s="5">
        <v>10.822824041379873</v>
      </c>
      <c r="E177" s="5">
        <v>10.833878408789065</v>
      </c>
      <c r="F177" s="5">
        <v>1.1842333653143911E-2</v>
      </c>
      <c r="G177" s="5">
        <v>2.6678906585642537E-2</v>
      </c>
    </row>
    <row r="178" spans="1:7" x14ac:dyDescent="0.25">
      <c r="A178" s="12">
        <v>44445</v>
      </c>
      <c r="B178" s="13">
        <v>51934.74</v>
      </c>
      <c r="C178" s="17">
        <v>50710</v>
      </c>
      <c r="D178" s="5">
        <v>10.857743209391558</v>
      </c>
      <c r="E178" s="5">
        <v>10.833878408789065</v>
      </c>
      <c r="F178" s="5">
        <v>3.4919168011684931E-2</v>
      </c>
      <c r="G178" s="5">
        <v>0</v>
      </c>
    </row>
    <row r="179" spans="1:7" x14ac:dyDescent="0.25">
      <c r="A179" s="12">
        <v>44446</v>
      </c>
      <c r="B179" s="13">
        <v>46819.01</v>
      </c>
      <c r="C179" s="13">
        <v>46780</v>
      </c>
      <c r="D179" s="5">
        <v>10.754044596011436</v>
      </c>
      <c r="E179" s="5">
        <v>10.75321104013817</v>
      </c>
      <c r="F179" s="5">
        <v>-0.10369861338012143</v>
      </c>
      <c r="G179" s="5">
        <v>-8.0667368650894744E-2</v>
      </c>
    </row>
    <row r="180" spans="1:7" x14ac:dyDescent="0.25">
      <c r="A180" s="12">
        <v>44447</v>
      </c>
      <c r="B180" s="13">
        <v>46060.72</v>
      </c>
      <c r="C180" s="13">
        <v>46520</v>
      </c>
      <c r="D180" s="5">
        <v>10.73771580503713</v>
      </c>
      <c r="E180" s="5">
        <v>10.747637606632601</v>
      </c>
      <c r="F180" s="5">
        <v>-1.6328790974306173E-2</v>
      </c>
      <c r="G180" s="5">
        <v>-5.5734335055692696E-3</v>
      </c>
    </row>
    <row r="181" spans="1:7" x14ac:dyDescent="0.25">
      <c r="A181" s="12">
        <v>44448</v>
      </c>
      <c r="B181" s="13">
        <v>46256.1</v>
      </c>
      <c r="C181" s="13">
        <v>46645</v>
      </c>
      <c r="D181" s="5">
        <v>10.741948626135493</v>
      </c>
      <c r="E181" s="5">
        <v>10.750321019395061</v>
      </c>
      <c r="F181" s="5">
        <v>4.2328210983626491E-3</v>
      </c>
      <c r="G181" s="5">
        <v>2.6834127624599802E-3</v>
      </c>
    </row>
    <row r="182" spans="1:7" x14ac:dyDescent="0.25">
      <c r="A182" s="12">
        <v>44449</v>
      </c>
      <c r="B182" s="13">
        <v>45077.81</v>
      </c>
      <c r="C182" s="13">
        <v>45675</v>
      </c>
      <c r="D182" s="5">
        <v>10.716145386671965</v>
      </c>
      <c r="E182" s="5">
        <v>10.729306381246207</v>
      </c>
      <c r="F182" s="5">
        <v>-2.5803239463527916E-2</v>
      </c>
      <c r="G182" s="5">
        <v>-2.1014638148853848E-2</v>
      </c>
    </row>
    <row r="183" spans="1:7" x14ac:dyDescent="0.25">
      <c r="A183" s="12">
        <v>44452</v>
      </c>
      <c r="B183" s="13">
        <v>45187.519999999997</v>
      </c>
      <c r="C183" s="13">
        <v>44815</v>
      </c>
      <c r="D183" s="5">
        <v>10.7185762215013</v>
      </c>
      <c r="E183" s="5">
        <v>10.710298183791462</v>
      </c>
      <c r="F183" s="5">
        <v>2.4308348293349269E-3</v>
      </c>
      <c r="G183" s="5">
        <v>-1.9008197454745357E-2</v>
      </c>
    </row>
    <row r="184" spans="1:7" x14ac:dyDescent="0.25">
      <c r="A184" s="12">
        <v>44453</v>
      </c>
      <c r="B184" s="13">
        <v>46828.18</v>
      </c>
      <c r="C184" s="13">
        <v>46515</v>
      </c>
      <c r="D184" s="5">
        <v>10.754240437446279</v>
      </c>
      <c r="E184" s="5">
        <v>10.74753012020266</v>
      </c>
      <c r="F184" s="5">
        <v>3.5664215944979816E-2</v>
      </c>
      <c r="G184" s="5">
        <v>3.7231936411197708E-2</v>
      </c>
    </row>
    <row r="185" spans="1:7" x14ac:dyDescent="0.25">
      <c r="A185" s="12">
        <v>44454</v>
      </c>
      <c r="B185" s="13">
        <v>47941.58</v>
      </c>
      <c r="C185" s="13">
        <v>48190</v>
      </c>
      <c r="D185" s="5">
        <v>10.777738465309273</v>
      </c>
      <c r="E185" s="5">
        <v>10.782906809634378</v>
      </c>
      <c r="F185" s="5">
        <v>2.3498027862993709E-2</v>
      </c>
      <c r="G185" s="5">
        <v>3.5376689431718233E-2</v>
      </c>
    </row>
    <row r="186" spans="1:7" x14ac:dyDescent="0.25">
      <c r="A186" s="12">
        <v>44455</v>
      </c>
      <c r="B186" s="13">
        <v>47149.38</v>
      </c>
      <c r="C186" s="13">
        <v>47495</v>
      </c>
      <c r="D186" s="5">
        <v>10.761076138452347</v>
      </c>
      <c r="E186" s="5">
        <v>10.768379721324283</v>
      </c>
      <c r="F186" s="5">
        <v>-1.6662326856925702E-2</v>
      </c>
      <c r="G186" s="5">
        <v>-1.4527088310094527E-2</v>
      </c>
    </row>
    <row r="187" spans="1:7" x14ac:dyDescent="0.25">
      <c r="A187" s="12">
        <v>44456</v>
      </c>
      <c r="B187" s="13">
        <v>46990.35</v>
      </c>
      <c r="C187" s="13">
        <v>47490</v>
      </c>
      <c r="D187" s="5">
        <v>10.757697540462397</v>
      </c>
      <c r="E187" s="5">
        <v>10.768274441543168</v>
      </c>
      <c r="F187" s="5">
        <v>-3.3785979899505492E-3</v>
      </c>
      <c r="G187" s="5">
        <v>-1.0527978111518621E-4</v>
      </c>
    </row>
    <row r="188" spans="1:7" x14ac:dyDescent="0.25">
      <c r="A188" s="12">
        <v>44459</v>
      </c>
      <c r="B188" s="13">
        <v>43537.86</v>
      </c>
      <c r="C188" s="13">
        <v>43780</v>
      </c>
      <c r="D188" s="5">
        <v>10.68138618337392</v>
      </c>
      <c r="E188" s="5">
        <v>10.686932371076853</v>
      </c>
      <c r="F188" s="5">
        <v>-7.6311357088476583E-2</v>
      </c>
      <c r="G188" s="5">
        <v>-8.1342070466314809E-2</v>
      </c>
    </row>
    <row r="189" spans="1:7" x14ac:dyDescent="0.25">
      <c r="A189" s="12">
        <v>44460</v>
      </c>
      <c r="B189" s="13">
        <v>40926.74</v>
      </c>
      <c r="C189" s="13">
        <v>42030</v>
      </c>
      <c r="D189" s="5">
        <v>10.619538918134545</v>
      </c>
      <c r="E189" s="5">
        <v>10.646138927999163</v>
      </c>
      <c r="F189" s="5">
        <v>-6.184726523937556E-2</v>
      </c>
      <c r="G189" s="5">
        <v>-4.0793443077690839E-2</v>
      </c>
    </row>
    <row r="190" spans="1:7" x14ac:dyDescent="0.25">
      <c r="A190" s="12">
        <v>44461</v>
      </c>
      <c r="B190" s="13">
        <v>43451.15</v>
      </c>
      <c r="C190" s="13">
        <v>43385</v>
      </c>
      <c r="D190" s="5">
        <v>10.67939259754697</v>
      </c>
      <c r="E190" s="5">
        <v>10.677869038227589</v>
      </c>
      <c r="F190" s="5">
        <v>5.9853679412425365E-2</v>
      </c>
      <c r="G190" s="5">
        <v>3.1730110228426867E-2</v>
      </c>
    </row>
    <row r="191" spans="1:7" x14ac:dyDescent="0.25">
      <c r="A191" s="12">
        <v>44462</v>
      </c>
      <c r="B191" s="13">
        <v>44710.2</v>
      </c>
      <c r="C191" s="13">
        <v>44785</v>
      </c>
      <c r="D191" s="5">
        <v>10.70795694249022</v>
      </c>
      <c r="E191" s="5">
        <v>10.709628540909296</v>
      </c>
      <c r="F191" s="5">
        <v>2.8564344943250219E-2</v>
      </c>
      <c r="G191" s="5">
        <v>3.1759502681707019E-2</v>
      </c>
    </row>
    <row r="192" spans="1:7" x14ac:dyDescent="0.25">
      <c r="A192" s="12">
        <v>44463</v>
      </c>
      <c r="B192" s="13">
        <v>42981.54</v>
      </c>
      <c r="C192" s="13">
        <v>42359.41</v>
      </c>
      <c r="D192" s="5">
        <v>10.668526000173493</v>
      </c>
      <c r="E192" s="5">
        <v>10.653945871384161</v>
      </c>
      <c r="F192" s="5">
        <v>-3.9430942316727169E-2</v>
      </c>
      <c r="G192" s="5">
        <v>-5.5682669525134898E-2</v>
      </c>
    </row>
    <row r="193" spans="1:7" x14ac:dyDescent="0.25">
      <c r="A193" s="12">
        <v>44466</v>
      </c>
      <c r="B193" s="13">
        <v>42706.99</v>
      </c>
      <c r="C193" s="13">
        <v>43150</v>
      </c>
      <c r="D193" s="5">
        <v>10.662117886053487</v>
      </c>
      <c r="E193" s="5">
        <v>10.672437696511574</v>
      </c>
      <c r="F193" s="5">
        <v>-6.408114120006303E-3</v>
      </c>
      <c r="G193" s="5">
        <v>1.8491825127412653E-2</v>
      </c>
    </row>
    <row r="194" spans="1:7" x14ac:dyDescent="0.25">
      <c r="A194" s="12">
        <v>44467</v>
      </c>
      <c r="B194" s="13">
        <v>41785.9</v>
      </c>
      <c r="C194" s="13">
        <v>41600</v>
      </c>
      <c r="D194" s="5">
        <v>10.640314241033304</v>
      </c>
      <c r="E194" s="5">
        <v>10.635855446249355</v>
      </c>
      <c r="F194" s="5">
        <v>-2.1803645020183282E-2</v>
      </c>
      <c r="G194" s="5">
        <v>-3.6582250262219063E-2</v>
      </c>
    </row>
    <row r="195" spans="1:7" x14ac:dyDescent="0.25">
      <c r="A195" s="12">
        <v>44468</v>
      </c>
      <c r="B195" s="13">
        <v>41125.06</v>
      </c>
      <c r="C195" s="13">
        <v>41155</v>
      </c>
      <c r="D195" s="5">
        <v>10.624372947033175</v>
      </c>
      <c r="E195" s="5">
        <v>10.625100705406744</v>
      </c>
      <c r="F195" s="5">
        <v>-1.5941294000128892E-2</v>
      </c>
      <c r="G195" s="5">
        <v>-1.0754740842610744E-2</v>
      </c>
    </row>
    <row r="196" spans="1:7" x14ac:dyDescent="0.25">
      <c r="A196" s="12">
        <v>44469</v>
      </c>
      <c r="B196" s="13">
        <v>43436.35</v>
      </c>
      <c r="C196" s="13">
        <v>43615</v>
      </c>
      <c r="D196" s="5">
        <v>10.679051927136539</v>
      </c>
      <c r="E196" s="5">
        <v>10.683156406867319</v>
      </c>
      <c r="F196" s="5">
        <v>5.4678980103364694E-2</v>
      </c>
      <c r="G196" s="5">
        <v>5.8055701460574483E-2</v>
      </c>
    </row>
    <row r="197" spans="1:7" x14ac:dyDescent="0.25">
      <c r="A197" s="12">
        <v>44470</v>
      </c>
      <c r="B197" s="13">
        <v>48132.9</v>
      </c>
      <c r="C197" s="13">
        <v>48390</v>
      </c>
      <c r="D197" s="5">
        <v>10.781721213962145</v>
      </c>
      <c r="E197" s="5">
        <v>10.787048459787364</v>
      </c>
      <c r="F197" s="5">
        <v>0.10266928682560561</v>
      </c>
      <c r="G197" s="5">
        <v>0.10389205292004533</v>
      </c>
    </row>
    <row r="198" spans="1:7" x14ac:dyDescent="0.25">
      <c r="A198" s="12">
        <v>44473</v>
      </c>
      <c r="B198" s="13">
        <v>49006.15</v>
      </c>
      <c r="C198" s="13">
        <v>49855</v>
      </c>
      <c r="D198" s="5">
        <v>10.799701079421098</v>
      </c>
      <c r="E198" s="5">
        <v>10.816874071262893</v>
      </c>
      <c r="F198" s="5">
        <v>1.7979865458952915E-2</v>
      </c>
      <c r="G198" s="5">
        <v>2.9825611475528646E-2</v>
      </c>
    </row>
    <row r="199" spans="1:7" x14ac:dyDescent="0.25">
      <c r="A199" s="12">
        <v>44474</v>
      </c>
      <c r="B199" s="13">
        <v>51474.19</v>
      </c>
      <c r="C199" s="13">
        <v>51630</v>
      </c>
      <c r="D199" s="5">
        <v>10.848835795978106</v>
      </c>
      <c r="E199" s="5">
        <v>10.851858177873694</v>
      </c>
      <c r="F199" s="5">
        <v>4.9134716557007962E-2</v>
      </c>
      <c r="G199" s="5">
        <v>3.4984106610801646E-2</v>
      </c>
    </row>
    <row r="200" spans="1:7" x14ac:dyDescent="0.25">
      <c r="A200" s="12">
        <v>44475</v>
      </c>
      <c r="B200" s="13">
        <v>54936.9</v>
      </c>
      <c r="C200" s="13">
        <v>55700</v>
      </c>
      <c r="D200" s="5">
        <v>10.913940532866187</v>
      </c>
      <c r="E200" s="5">
        <v>10.927735425915376</v>
      </c>
      <c r="F200" s="5">
        <v>6.510473688808105E-2</v>
      </c>
      <c r="G200" s="5">
        <v>7.5877248041681611E-2</v>
      </c>
    </row>
    <row r="201" spans="1:7" x14ac:dyDescent="0.25">
      <c r="A201" s="12">
        <v>44476</v>
      </c>
      <c r="B201" s="13">
        <v>54184.24</v>
      </c>
      <c r="C201" s="13">
        <v>54470</v>
      </c>
      <c r="D201" s="5">
        <v>10.900145370236768</v>
      </c>
      <c r="E201" s="5">
        <v>10.90540537037772</v>
      </c>
      <c r="F201" s="5">
        <v>-1.3795162629419266E-2</v>
      </c>
      <c r="G201" s="5">
        <v>-2.2330055537656435E-2</v>
      </c>
    </row>
    <row r="202" spans="1:7" x14ac:dyDescent="0.25">
      <c r="A202" s="12">
        <v>44477</v>
      </c>
      <c r="B202" s="13">
        <v>53993.31</v>
      </c>
      <c r="C202" s="13">
        <v>55180</v>
      </c>
      <c r="D202" s="5">
        <v>10.89661542898266</v>
      </c>
      <c r="E202" s="5">
        <v>10.918355847771277</v>
      </c>
      <c r="F202" s="5">
        <v>-3.5299412541078823E-3</v>
      </c>
      <c r="G202" s="5">
        <v>1.2950477393557591E-2</v>
      </c>
    </row>
    <row r="203" spans="1:7" x14ac:dyDescent="0.25">
      <c r="A203" s="12">
        <v>44480</v>
      </c>
      <c r="B203" s="13">
        <v>57341.5</v>
      </c>
      <c r="C203" s="13">
        <v>57990</v>
      </c>
      <c r="D203" s="5">
        <v>10.956779898844067</v>
      </c>
      <c r="E203" s="5">
        <v>10.968025860870487</v>
      </c>
      <c r="F203" s="5">
        <v>6.0164469861406999E-2</v>
      </c>
      <c r="G203" s="5">
        <v>4.9670013099209598E-2</v>
      </c>
    </row>
    <row r="204" spans="1:7" x14ac:dyDescent="0.25">
      <c r="A204" s="12">
        <v>44481</v>
      </c>
      <c r="B204" s="13">
        <v>55362.51</v>
      </c>
      <c r="C204" s="13">
        <v>55815</v>
      </c>
      <c r="D204" s="5">
        <v>10.921657928859119</v>
      </c>
      <c r="E204" s="5">
        <v>10.929797929448833</v>
      </c>
      <c r="F204" s="5">
        <v>-3.5121969984947654E-2</v>
      </c>
      <c r="G204" s="5">
        <v>-3.8227931421653594E-2</v>
      </c>
    </row>
    <row r="205" spans="1:7" x14ac:dyDescent="0.25">
      <c r="A205" s="12">
        <v>44482</v>
      </c>
      <c r="B205" s="13">
        <v>56982.87</v>
      </c>
      <c r="C205" s="13">
        <v>57750</v>
      </c>
      <c r="D205" s="5">
        <v>10.950505975333815</v>
      </c>
      <c r="E205" s="5">
        <v>10.963878628384039</v>
      </c>
      <c r="F205" s="5">
        <v>2.8848046474696076E-2</v>
      </c>
      <c r="G205" s="5">
        <v>3.4080698935206044E-2</v>
      </c>
    </row>
    <row r="206" spans="1:7" x14ac:dyDescent="0.25">
      <c r="A206" s="12">
        <v>44483</v>
      </c>
      <c r="B206" s="13">
        <v>57443.040000000001</v>
      </c>
      <c r="C206" s="13">
        <v>58195</v>
      </c>
      <c r="D206" s="5">
        <v>10.958549127112725</v>
      </c>
      <c r="E206" s="5">
        <v>10.971554719376076</v>
      </c>
      <c r="F206" s="5">
        <v>8.0431517789101292E-3</v>
      </c>
      <c r="G206" s="5">
        <v>7.6760909920370324E-3</v>
      </c>
    </row>
    <row r="207" spans="1:7" x14ac:dyDescent="0.25">
      <c r="A207" s="12">
        <v>44484</v>
      </c>
      <c r="B207" s="13">
        <v>62526.67</v>
      </c>
      <c r="C207" s="13">
        <v>62075</v>
      </c>
      <c r="D207" s="5">
        <v>11.043348464705407</v>
      </c>
      <c r="E207" s="5">
        <v>11.036098610376367</v>
      </c>
      <c r="F207" s="5">
        <v>8.4799337592681212E-2</v>
      </c>
      <c r="G207" s="5">
        <v>6.4543891000290898E-2</v>
      </c>
    </row>
    <row r="208" spans="1:7" x14ac:dyDescent="0.25">
      <c r="A208" s="12">
        <v>44487</v>
      </c>
      <c r="B208" s="13">
        <v>61367.44</v>
      </c>
      <c r="C208" s="13">
        <v>61650</v>
      </c>
      <c r="D208" s="5">
        <v>11.02463468032048</v>
      </c>
      <c r="E208" s="5">
        <v>11.029228508592491</v>
      </c>
      <c r="F208" s="5">
        <v>-1.8713784384926768E-2</v>
      </c>
      <c r="G208" s="5">
        <v>-6.8701017838765921E-3</v>
      </c>
    </row>
    <row r="209" spans="1:7" x14ac:dyDescent="0.25">
      <c r="A209" s="12">
        <v>44488</v>
      </c>
      <c r="B209" s="13">
        <v>64121.31</v>
      </c>
      <c r="C209" s="13">
        <v>64660</v>
      </c>
      <c r="D209" s="5">
        <v>11.068532036957711</v>
      </c>
      <c r="E209" s="5">
        <v>11.076898051279423</v>
      </c>
      <c r="F209" s="5">
        <v>4.3897356637231155E-2</v>
      </c>
      <c r="G209" s="5">
        <v>4.7669542686932687E-2</v>
      </c>
    </row>
    <row r="210" spans="1:7" x14ac:dyDescent="0.25">
      <c r="A210" s="12">
        <v>44489</v>
      </c>
      <c r="B210" s="13">
        <v>65996.350000000006</v>
      </c>
      <c r="C210" s="13">
        <v>66665</v>
      </c>
      <c r="D210" s="5">
        <v>11.09735471644899</v>
      </c>
      <c r="E210" s="5">
        <v>11.107435356549558</v>
      </c>
      <c r="F210" s="5">
        <v>2.8822679491279146E-2</v>
      </c>
      <c r="G210" s="5">
        <v>3.0537305270135207E-2</v>
      </c>
    </row>
    <row r="211" spans="1:7" x14ac:dyDescent="0.25">
      <c r="A211" s="12">
        <v>44490</v>
      </c>
      <c r="B211" s="13">
        <v>62680.43</v>
      </c>
      <c r="C211" s="13">
        <v>62910</v>
      </c>
      <c r="D211" s="5">
        <v>11.045804556688928</v>
      </c>
      <c r="E211" s="5">
        <v>11.049460412564075</v>
      </c>
      <c r="F211" s="5">
        <v>-5.1550159760061831E-2</v>
      </c>
      <c r="G211" s="5">
        <v>-5.7974943985483307E-2</v>
      </c>
    </row>
    <row r="212" spans="1:7" x14ac:dyDescent="0.25">
      <c r="A212" s="12">
        <v>44491</v>
      </c>
      <c r="B212" s="13">
        <v>60726.01</v>
      </c>
      <c r="C212" s="13">
        <v>61080</v>
      </c>
      <c r="D212" s="5">
        <v>11.014127386091053</v>
      </c>
      <c r="E212" s="5">
        <v>11.019939759332569</v>
      </c>
      <c r="F212" s="5">
        <v>-3.1677170597875559E-2</v>
      </c>
      <c r="G212" s="5">
        <v>-2.9520653231505989E-2</v>
      </c>
    </row>
    <row r="213" spans="1:7" x14ac:dyDescent="0.25">
      <c r="A213" s="12">
        <v>44494</v>
      </c>
      <c r="B213" s="13">
        <v>62544.639999999999</v>
      </c>
      <c r="C213" s="13">
        <v>62725</v>
      </c>
      <c r="D213" s="5">
        <v>11.043635820776492</v>
      </c>
      <c r="E213" s="5">
        <v>11.046515371234623</v>
      </c>
      <c r="F213" s="5">
        <v>2.9508434685439511E-2</v>
      </c>
      <c r="G213" s="5">
        <v>2.6575611902053708E-2</v>
      </c>
    </row>
    <row r="214" spans="1:7" x14ac:dyDescent="0.25">
      <c r="A214" s="12">
        <v>44495</v>
      </c>
      <c r="B214" s="13">
        <v>62096.9</v>
      </c>
      <c r="C214" s="13">
        <v>61975</v>
      </c>
      <c r="D214" s="5">
        <v>11.03645134719085</v>
      </c>
      <c r="E214" s="5">
        <v>11.034486356903392</v>
      </c>
      <c r="F214" s="5">
        <v>-7.184473585642337E-3</v>
      </c>
      <c r="G214" s="5">
        <v>-1.202901433123138E-2</v>
      </c>
    </row>
    <row r="215" spans="1:7" x14ac:dyDescent="0.25">
      <c r="A215" s="12">
        <v>44496</v>
      </c>
      <c r="B215" s="13">
        <v>58924.76</v>
      </c>
      <c r="C215" s="13">
        <v>59065</v>
      </c>
      <c r="D215" s="5">
        <v>10.984016654821918</v>
      </c>
      <c r="E215" s="5">
        <v>10.986393811382621</v>
      </c>
      <c r="F215" s="5">
        <v>-5.2434692368931834E-2</v>
      </c>
      <c r="G215" s="5">
        <v>-4.8092545520770358E-2</v>
      </c>
    </row>
    <row r="216" spans="1:7" x14ac:dyDescent="0.25">
      <c r="A216" s="12">
        <v>44497</v>
      </c>
      <c r="B216" s="13">
        <v>61395.58</v>
      </c>
      <c r="C216" s="13">
        <v>61335</v>
      </c>
      <c r="D216" s="5">
        <v>11.025093124573363</v>
      </c>
      <c r="E216" s="5">
        <v>11.024105921466852</v>
      </c>
      <c r="F216" s="5">
        <v>4.1076469751445188E-2</v>
      </c>
      <c r="G216" s="5">
        <v>3.7712110084230588E-2</v>
      </c>
    </row>
    <row r="217" spans="1:7" x14ac:dyDescent="0.25">
      <c r="A217" s="12">
        <v>44498</v>
      </c>
      <c r="B217" s="13">
        <v>62395.66</v>
      </c>
      <c r="C217" s="13">
        <v>61149.26</v>
      </c>
      <c r="D217" s="5">
        <v>11.041251000656665</v>
      </c>
      <c r="E217" s="5">
        <v>11.021073039652071</v>
      </c>
      <c r="F217" s="5">
        <v>1.6157876083301659E-2</v>
      </c>
      <c r="G217" s="5">
        <v>-3.0328818147804526E-3</v>
      </c>
    </row>
    <row r="218" spans="1:7" x14ac:dyDescent="0.25">
      <c r="A218" s="12">
        <v>44501</v>
      </c>
      <c r="B218" s="13">
        <v>60727.519999999997</v>
      </c>
      <c r="C218" s="13">
        <v>61615</v>
      </c>
      <c r="D218" s="5">
        <v>11.01415225156841</v>
      </c>
      <c r="E218" s="5">
        <v>11.028660626372224</v>
      </c>
      <c r="F218" s="5">
        <v>-2.7098749088255047E-2</v>
      </c>
      <c r="G218" s="5">
        <v>7.5875867201524727E-3</v>
      </c>
    </row>
    <row r="219" spans="1:7" x14ac:dyDescent="0.25">
      <c r="A219" s="12">
        <v>44502</v>
      </c>
      <c r="B219" s="13">
        <v>63141.03</v>
      </c>
      <c r="C219" s="13">
        <v>64015</v>
      </c>
      <c r="D219" s="5">
        <v>11.053126074934266</v>
      </c>
      <c r="E219" s="5">
        <v>11.066872709880279</v>
      </c>
      <c r="F219" s="5">
        <v>3.8973823365855864E-2</v>
      </c>
      <c r="G219" s="5">
        <v>3.8212083508055272E-2</v>
      </c>
    </row>
    <row r="220" spans="1:7" x14ac:dyDescent="0.25">
      <c r="A220" s="12">
        <v>44503</v>
      </c>
      <c r="B220" s="13">
        <v>62776.06</v>
      </c>
      <c r="C220" s="13">
        <v>63065</v>
      </c>
      <c r="D220" s="5">
        <v>11.047329069586132</v>
      </c>
      <c r="E220" s="5">
        <v>11.051921219521294</v>
      </c>
      <c r="F220" s="5">
        <v>-5.7970053481337658E-3</v>
      </c>
      <c r="G220" s="5">
        <v>-1.4951490358985353E-2</v>
      </c>
    </row>
    <row r="221" spans="1:7" x14ac:dyDescent="0.25">
      <c r="A221" s="12">
        <v>44504</v>
      </c>
      <c r="B221" s="13">
        <v>61365.05</v>
      </c>
      <c r="C221" s="13">
        <v>61360</v>
      </c>
      <c r="D221" s="5">
        <v>11.024595733827985</v>
      </c>
      <c r="E221" s="5">
        <v>11.024513436041138</v>
      </c>
      <c r="F221" s="5">
        <v>-2.2733335758147177E-2</v>
      </c>
      <c r="G221" s="5">
        <v>-2.7407783480155601E-2</v>
      </c>
    </row>
    <row r="222" spans="1:7" x14ac:dyDescent="0.25">
      <c r="A222" s="12">
        <v>44505</v>
      </c>
      <c r="B222" s="13">
        <v>60976.2</v>
      </c>
      <c r="C222" s="13">
        <v>61380</v>
      </c>
      <c r="D222" s="5">
        <v>11.018238903087271</v>
      </c>
      <c r="E222" s="5">
        <v>11.024839328173726</v>
      </c>
      <c r="F222" s="5">
        <v>-6.3568307407138036E-3</v>
      </c>
      <c r="G222" s="5">
        <v>3.2589213258837901E-4</v>
      </c>
    </row>
    <row r="223" spans="1:7" x14ac:dyDescent="0.25">
      <c r="A223" s="12">
        <v>44508</v>
      </c>
      <c r="B223" s="13">
        <v>66138.539999999994</v>
      </c>
      <c r="C223" s="13">
        <v>66485</v>
      </c>
      <c r="D223" s="5">
        <v>11.099506911904479</v>
      </c>
      <c r="E223" s="5">
        <v>11.104731637290806</v>
      </c>
      <c r="F223" s="5">
        <v>8.1268008817207971E-2</v>
      </c>
      <c r="G223" s="5">
        <v>7.9892309117079563E-2</v>
      </c>
    </row>
    <row r="224" spans="1:7" x14ac:dyDescent="0.25">
      <c r="A224" s="12">
        <v>44509</v>
      </c>
      <c r="B224" s="13">
        <v>67734.039999999994</v>
      </c>
      <c r="C224" s="13">
        <v>67625</v>
      </c>
      <c r="D224" s="5">
        <v>11.123344139034796</v>
      </c>
      <c r="E224" s="5">
        <v>11.121733016148783</v>
      </c>
      <c r="F224" s="5">
        <v>2.3837227130316663E-2</v>
      </c>
      <c r="G224" s="5">
        <v>1.700137885797659E-2</v>
      </c>
    </row>
    <row r="225" spans="1:7" x14ac:dyDescent="0.25">
      <c r="A225" s="12">
        <v>44510</v>
      </c>
      <c r="B225" s="13">
        <v>64293.61</v>
      </c>
      <c r="C225" s="13">
        <v>66075</v>
      </c>
      <c r="D225" s="5">
        <v>11.071215527371379</v>
      </c>
      <c r="E225" s="5">
        <v>11.09854573947249</v>
      </c>
      <c r="F225" s="5">
        <v>-5.2128611663416535E-2</v>
      </c>
      <c r="G225" s="5">
        <v>-2.3187276676292612E-2</v>
      </c>
    </row>
    <row r="226" spans="1:7" x14ac:dyDescent="0.25">
      <c r="A226" s="12">
        <v>44511</v>
      </c>
      <c r="B226" s="13">
        <v>65069.89</v>
      </c>
      <c r="C226" s="13">
        <v>65055</v>
      </c>
      <c r="D226" s="5">
        <v>11.083217202000434</v>
      </c>
      <c r="E226" s="5">
        <v>11.082988344937576</v>
      </c>
      <c r="F226" s="5">
        <v>1.2001674629054548E-2</v>
      </c>
      <c r="G226" s="5">
        <v>-1.5557394534914337E-2</v>
      </c>
    </row>
    <row r="227" spans="1:7" x14ac:dyDescent="0.25">
      <c r="A227" s="12">
        <v>44512</v>
      </c>
      <c r="B227" s="13">
        <v>64100.68</v>
      </c>
      <c r="C227" s="13">
        <v>64235</v>
      </c>
      <c r="D227" s="5">
        <v>11.068210251276829</v>
      </c>
      <c r="E227" s="5">
        <v>11.07030351246571</v>
      </c>
      <c r="F227" s="5">
        <v>-1.5006950723604362E-2</v>
      </c>
      <c r="G227" s="5">
        <v>-1.2684832471865803E-2</v>
      </c>
    </row>
    <row r="228" spans="1:7" x14ac:dyDescent="0.25">
      <c r="A228" s="12">
        <v>44515</v>
      </c>
      <c r="B228" s="13">
        <v>63899.88</v>
      </c>
      <c r="C228" s="13">
        <v>63910</v>
      </c>
      <c r="D228" s="5">
        <v>11.06507276242959</v>
      </c>
      <c r="E228" s="5">
        <v>11.065231122644327</v>
      </c>
      <c r="F228" s="5">
        <v>-3.1374888472388562E-3</v>
      </c>
      <c r="G228" s="5">
        <v>-5.0723898213824725E-3</v>
      </c>
    </row>
    <row r="229" spans="1:7" x14ac:dyDescent="0.25">
      <c r="A229" s="12">
        <v>44516</v>
      </c>
      <c r="B229" s="13">
        <v>60488.5</v>
      </c>
      <c r="C229" s="13">
        <v>59730</v>
      </c>
      <c r="D229" s="5">
        <v>11.010208543306309</v>
      </c>
      <c r="E229" s="5">
        <v>10.997589685726352</v>
      </c>
      <c r="F229" s="5">
        <v>-5.4864219123281543E-2</v>
      </c>
      <c r="G229" s="5">
        <v>-6.7641436917975639E-2</v>
      </c>
    </row>
    <row r="230" spans="1:7" x14ac:dyDescent="0.25">
      <c r="A230" s="12">
        <v>44517</v>
      </c>
      <c r="B230" s="13">
        <v>60117.19</v>
      </c>
      <c r="C230" s="13">
        <v>60485</v>
      </c>
      <c r="D230" s="5">
        <v>11.004051102920943</v>
      </c>
      <c r="E230" s="5">
        <v>11.010150679393949</v>
      </c>
      <c r="F230" s="5">
        <v>-6.1574403853654758E-3</v>
      </c>
      <c r="G230" s="5">
        <v>1.2560993667596776E-2</v>
      </c>
    </row>
    <row r="231" spans="1:7" x14ac:dyDescent="0.25">
      <c r="A231" s="12">
        <v>44518</v>
      </c>
      <c r="B231" s="13">
        <v>57595.39</v>
      </c>
      <c r="C231" s="13">
        <v>58015</v>
      </c>
      <c r="D231" s="5">
        <v>10.961197808758811</v>
      </c>
      <c r="E231" s="5">
        <v>10.968456876781646</v>
      </c>
      <c r="F231" s="5">
        <v>-4.2853294162132016E-2</v>
      </c>
      <c r="G231" s="5">
        <v>-4.1693802612302377E-2</v>
      </c>
    </row>
    <row r="232" spans="1:7" x14ac:dyDescent="0.25">
      <c r="A232" s="12">
        <v>44519</v>
      </c>
      <c r="B232" s="13">
        <v>57869.63</v>
      </c>
      <c r="C232" s="13">
        <v>57900</v>
      </c>
      <c r="D232" s="5">
        <v>10.965948000906526</v>
      </c>
      <c r="E232" s="5">
        <v>10.966472663561087</v>
      </c>
      <c r="F232" s="5">
        <v>4.7501921477142162E-3</v>
      </c>
      <c r="G232" s="5">
        <v>-1.9842132205596386E-3</v>
      </c>
    </row>
    <row r="233" spans="1:7" x14ac:dyDescent="0.25">
      <c r="A233" s="12">
        <v>44522</v>
      </c>
      <c r="B233" s="13">
        <v>56278.01</v>
      </c>
      <c r="C233" s="13">
        <v>55815</v>
      </c>
      <c r="D233" s="5">
        <v>10.938059151683497</v>
      </c>
      <c r="E233" s="5">
        <v>10.929797929448833</v>
      </c>
      <c r="F233" s="5">
        <v>-2.78888492230287E-2</v>
      </c>
      <c r="G233" s="5">
        <v>-3.6674734112253304E-2</v>
      </c>
    </row>
    <row r="234" spans="1:7" x14ac:dyDescent="0.25">
      <c r="A234" s="12">
        <v>44523</v>
      </c>
      <c r="B234" s="13">
        <v>57709.14</v>
      </c>
      <c r="C234" s="13">
        <v>57855</v>
      </c>
      <c r="D234" s="5">
        <v>10.963170845497284</v>
      </c>
      <c r="E234" s="5">
        <v>10.965695159310437</v>
      </c>
      <c r="F234" s="5">
        <v>2.5111693813787639E-2</v>
      </c>
      <c r="G234" s="5">
        <v>3.5897229861603819E-2</v>
      </c>
    </row>
    <row r="235" spans="1:7" x14ac:dyDescent="0.25">
      <c r="A235" s="12">
        <v>44524</v>
      </c>
      <c r="B235" s="13">
        <v>57331.67</v>
      </c>
      <c r="C235" s="13">
        <v>57415</v>
      </c>
      <c r="D235" s="5">
        <v>10.956608455078728</v>
      </c>
      <c r="E235" s="5">
        <v>10.958060872210289</v>
      </c>
      <c r="F235" s="5">
        <v>-6.5623904185567739E-3</v>
      </c>
      <c r="G235" s="5">
        <v>-7.6342871001475743E-3</v>
      </c>
    </row>
    <row r="236" spans="1:7" x14ac:dyDescent="0.25">
      <c r="A236" s="12">
        <v>44525</v>
      </c>
      <c r="B236" s="13">
        <v>58855.15</v>
      </c>
      <c r="C236" s="17">
        <v>57415</v>
      </c>
      <c r="D236" s="5">
        <v>10.982834619479812</v>
      </c>
      <c r="E236" s="5">
        <v>10.958060872210289</v>
      </c>
      <c r="F236" s="5">
        <v>2.6226164401084162E-2</v>
      </c>
      <c r="G236" s="5">
        <v>0</v>
      </c>
    </row>
    <row r="237" spans="1:7" x14ac:dyDescent="0.25">
      <c r="A237" s="12">
        <v>44526</v>
      </c>
      <c r="B237" s="13">
        <v>54019.74</v>
      </c>
      <c r="C237" s="13">
        <v>54465.65</v>
      </c>
      <c r="D237" s="5">
        <v>10.897104814302814</v>
      </c>
      <c r="E237" s="5">
        <v>10.905325506715048</v>
      </c>
      <c r="F237" s="5">
        <v>-8.5729805176997687E-2</v>
      </c>
      <c r="G237" s="5">
        <v>-5.2735365495241382E-2</v>
      </c>
    </row>
    <row r="238" spans="1:7" x14ac:dyDescent="0.25">
      <c r="A238" s="12">
        <v>44529</v>
      </c>
      <c r="B238" s="13">
        <v>58316.89</v>
      </c>
      <c r="C238" s="13">
        <v>58470</v>
      </c>
      <c r="D238" s="5">
        <v>10.973647038786011</v>
      </c>
      <c r="E238" s="5">
        <v>10.976269081169717</v>
      </c>
      <c r="F238" s="5">
        <v>7.6542224483196364E-2</v>
      </c>
      <c r="G238" s="5">
        <v>7.0943574454668479E-2</v>
      </c>
    </row>
    <row r="239" spans="1:7" x14ac:dyDescent="0.25">
      <c r="A239" s="12">
        <v>44530</v>
      </c>
      <c r="B239" s="13">
        <v>57138.67</v>
      </c>
      <c r="C239" s="13">
        <v>57780</v>
      </c>
      <c r="D239" s="5">
        <v>10.953236399350061</v>
      </c>
      <c r="E239" s="5">
        <v>10.964397974020226</v>
      </c>
      <c r="F239" s="5">
        <v>-2.0410639435949562E-2</v>
      </c>
      <c r="G239" s="5">
        <v>-1.1871107149490356E-2</v>
      </c>
    </row>
    <row r="240" spans="1:7" x14ac:dyDescent="0.25">
      <c r="A240" s="12">
        <v>44531</v>
      </c>
      <c r="B240" s="13">
        <v>57029.49</v>
      </c>
      <c r="C240" s="13">
        <v>56990</v>
      </c>
      <c r="D240" s="5">
        <v>10.951323781448842</v>
      </c>
      <c r="E240" s="5">
        <v>10.950631092829045</v>
      </c>
      <c r="F240" s="5">
        <v>-1.9126179012189937E-3</v>
      </c>
      <c r="G240" s="5">
        <v>-1.3766881191180858E-2</v>
      </c>
    </row>
    <row r="241" spans="1:7" x14ac:dyDescent="0.25">
      <c r="A241" s="12">
        <v>44532</v>
      </c>
      <c r="B241" s="13">
        <v>56903.45</v>
      </c>
      <c r="C241" s="13">
        <v>57175</v>
      </c>
      <c r="D241" s="5">
        <v>10.949111250965263</v>
      </c>
      <c r="E241" s="5">
        <v>10.953872018890982</v>
      </c>
      <c r="F241" s="5">
        <v>-2.212530483578945E-3</v>
      </c>
      <c r="G241" s="5">
        <v>3.2409260619363778E-3</v>
      </c>
    </row>
    <row r="242" spans="1:7" x14ac:dyDescent="0.25">
      <c r="A242" s="12">
        <v>44533</v>
      </c>
      <c r="B242" s="13">
        <v>53655.27</v>
      </c>
      <c r="C242" s="13">
        <v>53545</v>
      </c>
      <c r="D242" s="5">
        <v>10.890334972498414</v>
      </c>
      <c r="E242" s="5">
        <v>10.888277700834976</v>
      </c>
      <c r="F242" s="5">
        <v>-5.8776278466849519E-2</v>
      </c>
      <c r="G242" s="5">
        <v>-6.5594318056005463E-2</v>
      </c>
    </row>
    <row r="243" spans="1:7" x14ac:dyDescent="0.25">
      <c r="A243" s="12">
        <v>44536</v>
      </c>
      <c r="B243" s="13">
        <v>50120.56</v>
      </c>
      <c r="C243" s="13">
        <v>48960</v>
      </c>
      <c r="D243" s="5">
        <v>10.822186582131943</v>
      </c>
      <c r="E243" s="5">
        <v>10.798758917186207</v>
      </c>
      <c r="F243" s="5">
        <v>-6.8148390366470579E-2</v>
      </c>
      <c r="G243" s="5">
        <v>-8.9518783648768974E-2</v>
      </c>
    </row>
    <row r="244" spans="1:7" x14ac:dyDescent="0.25">
      <c r="A244" s="12">
        <v>44537</v>
      </c>
      <c r="B244" s="13">
        <v>50527.72</v>
      </c>
      <c r="C244" s="13">
        <v>50600</v>
      </c>
      <c r="D244" s="5">
        <v>10.830277375558063</v>
      </c>
      <c r="E244" s="5">
        <v>10.831706855275558</v>
      </c>
      <c r="F244" s="5">
        <v>8.0907934261205128E-3</v>
      </c>
      <c r="G244" s="5">
        <v>3.2947938089350259E-2</v>
      </c>
    </row>
    <row r="245" spans="1:7" x14ac:dyDescent="0.25">
      <c r="A245" s="12">
        <v>44538</v>
      </c>
      <c r="B245" s="13">
        <v>50635.11</v>
      </c>
      <c r="C245" s="13">
        <v>50925</v>
      </c>
      <c r="D245" s="5">
        <v>10.832400488174414</v>
      </c>
      <c r="E245" s="5">
        <v>10.838109241095006</v>
      </c>
      <c r="F245" s="5">
        <v>2.1231126163510083E-3</v>
      </c>
      <c r="G245" s="5">
        <v>6.4023858194488525E-3</v>
      </c>
    </row>
    <row r="246" spans="1:7" x14ac:dyDescent="0.25">
      <c r="A246" s="12">
        <v>44539</v>
      </c>
      <c r="B246" s="13">
        <v>47997.760000000002</v>
      </c>
      <c r="C246" s="13">
        <v>47675</v>
      </c>
      <c r="D246" s="5">
        <v>10.778909622134439</v>
      </c>
      <c r="E246" s="5">
        <v>10.772162430468621</v>
      </c>
      <c r="F246" s="5">
        <v>-5.3490866039975771E-2</v>
      </c>
      <c r="G246" s="5">
        <v>-6.5946810626385854E-2</v>
      </c>
    </row>
    <row r="247" spans="1:7" x14ac:dyDescent="0.25">
      <c r="A247" s="12">
        <v>44540</v>
      </c>
      <c r="B247" s="13">
        <v>47952.18</v>
      </c>
      <c r="C247" s="13">
        <v>48490</v>
      </c>
      <c r="D247" s="5">
        <v>10.777959543303153</v>
      </c>
      <c r="E247" s="5">
        <v>10.789112870099398</v>
      </c>
      <c r="F247" s="5">
        <v>-9.5007883128594983E-4</v>
      </c>
      <c r="G247" s="5">
        <v>1.6950439630777581E-2</v>
      </c>
    </row>
    <row r="248" spans="1:7" x14ac:dyDescent="0.25">
      <c r="A248" s="12">
        <v>44543</v>
      </c>
      <c r="B248" s="13">
        <v>46828.95</v>
      </c>
      <c r="C248" s="13">
        <v>46595</v>
      </c>
      <c r="D248" s="5">
        <v>10.754256880401558</v>
      </c>
      <c r="E248" s="5">
        <v>10.749248518219757</v>
      </c>
      <c r="F248" s="5">
        <v>-2.3702662901595062E-2</v>
      </c>
      <c r="G248" s="5">
        <v>-3.9864351879641546E-2</v>
      </c>
    </row>
    <row r="249" spans="1:7" x14ac:dyDescent="0.25">
      <c r="A249" s="12">
        <v>44544</v>
      </c>
      <c r="B249" s="13">
        <v>48310.62</v>
      </c>
      <c r="C249" s="13">
        <v>47870</v>
      </c>
      <c r="D249" s="5">
        <v>10.785406691247927</v>
      </c>
      <c r="E249" s="5">
        <v>10.776244282386555</v>
      </c>
      <c r="F249" s="5">
        <v>3.1149810846368808E-2</v>
      </c>
      <c r="G249" s="5">
        <v>2.6995764166798608E-2</v>
      </c>
    </row>
    <row r="250" spans="1:7" x14ac:dyDescent="0.25">
      <c r="A250" s="12">
        <v>44545</v>
      </c>
      <c r="B250" s="13">
        <v>49192.58</v>
      </c>
      <c r="C250" s="13">
        <v>49350</v>
      </c>
      <c r="D250" s="5">
        <v>10.803498078098844</v>
      </c>
      <c r="E250" s="5">
        <v>10.806693044861628</v>
      </c>
      <c r="F250" s="5">
        <v>1.8091386850917601E-2</v>
      </c>
      <c r="G250" s="5">
        <v>3.044876247507311E-2</v>
      </c>
    </row>
    <row r="251" spans="1:7" x14ac:dyDescent="0.25">
      <c r="A251" s="12">
        <v>44546</v>
      </c>
      <c r="B251" s="13">
        <v>48111.68</v>
      </c>
      <c r="C251" s="13">
        <v>48010</v>
      </c>
      <c r="D251" s="5">
        <v>10.781280254058869</v>
      </c>
      <c r="E251" s="5">
        <v>10.779164601524986</v>
      </c>
      <c r="F251" s="5">
        <v>-2.2217824039975298E-2</v>
      </c>
      <c r="G251" s="5">
        <v>-2.7528443336642283E-2</v>
      </c>
    </row>
    <row r="252" spans="1:7" x14ac:dyDescent="0.25">
      <c r="A252" s="12">
        <v>44547</v>
      </c>
      <c r="B252" s="13">
        <v>46873.03</v>
      </c>
      <c r="C252" s="13">
        <v>46250</v>
      </c>
      <c r="D252" s="5">
        <v>10.7551977357229</v>
      </c>
      <c r="E252" s="5">
        <v>10.741816742940571</v>
      </c>
      <c r="F252" s="5">
        <v>-2.608251833596853E-2</v>
      </c>
      <c r="G252" s="5">
        <v>-3.7347858584414695E-2</v>
      </c>
    </row>
    <row r="253" spans="1:7" x14ac:dyDescent="0.25">
      <c r="A253" s="12">
        <v>44550</v>
      </c>
      <c r="B253" s="13">
        <v>46987.56</v>
      </c>
      <c r="C253" s="13">
        <v>47060</v>
      </c>
      <c r="D253" s="5">
        <v>10.757638164806973</v>
      </c>
      <c r="E253" s="5">
        <v>10.759178662281354</v>
      </c>
      <c r="F253" s="5">
        <v>2.4404290840731591E-3</v>
      </c>
      <c r="G253" s="5">
        <v>1.736191934078235E-2</v>
      </c>
    </row>
    <row r="254" spans="1:7" x14ac:dyDescent="0.25">
      <c r="A254" s="12">
        <v>44551</v>
      </c>
      <c r="B254" s="13">
        <v>49106.42</v>
      </c>
      <c r="C254" s="13">
        <v>48685</v>
      </c>
      <c r="D254" s="5">
        <v>10.801745058799264</v>
      </c>
      <c r="E254" s="5">
        <v>10.793126253412856</v>
      </c>
      <c r="F254" s="5">
        <v>4.4106893992291063E-2</v>
      </c>
      <c r="G254" s="5">
        <v>3.3947591131502364E-2</v>
      </c>
    </row>
    <row r="255" spans="1:7" x14ac:dyDescent="0.25">
      <c r="A255" s="12">
        <v>44552</v>
      </c>
      <c r="B255" s="13">
        <v>49073.95</v>
      </c>
      <c r="C255" s="13">
        <v>49045</v>
      </c>
      <c r="D255" s="5">
        <v>10.801083623093048</v>
      </c>
      <c r="E255" s="5">
        <v>10.800493522998416</v>
      </c>
      <c r="F255" s="5">
        <v>-6.6143570621690628E-4</v>
      </c>
      <c r="G255" s="5">
        <v>7.3672695855595549E-3</v>
      </c>
    </row>
    <row r="256" spans="1:7" x14ac:dyDescent="0.25">
      <c r="A256" s="12">
        <v>44553</v>
      </c>
      <c r="B256" s="13">
        <v>50849.2</v>
      </c>
      <c r="C256" s="13">
        <v>51060</v>
      </c>
      <c r="D256" s="5">
        <v>10.836619668806241</v>
      </c>
      <c r="E256" s="5">
        <v>10.840756690795475</v>
      </c>
      <c r="F256" s="5">
        <v>3.5536045713193687E-2</v>
      </c>
      <c r="G256" s="5">
        <v>4.0263167797059296E-2</v>
      </c>
    </row>
    <row r="257" spans="1:7" x14ac:dyDescent="0.25">
      <c r="A257" s="12">
        <v>44554</v>
      </c>
      <c r="B257" s="13">
        <v>50908.79</v>
      </c>
      <c r="C257" s="17">
        <v>51060</v>
      </c>
      <c r="D257" s="5">
        <v>10.837790879181208</v>
      </c>
      <c r="E257" s="5">
        <v>10.840756690795475</v>
      </c>
      <c r="F257" s="5">
        <v>1.1712103749665914E-3</v>
      </c>
      <c r="G257" s="5">
        <v>0</v>
      </c>
    </row>
    <row r="258" spans="1:7" x14ac:dyDescent="0.25">
      <c r="A258" s="12">
        <v>44557</v>
      </c>
      <c r="B258" s="13">
        <v>50989.1</v>
      </c>
      <c r="C258" s="13">
        <v>51275</v>
      </c>
      <c r="D258" s="5">
        <v>10.839367163373719</v>
      </c>
      <c r="E258" s="5">
        <v>10.844958582940581</v>
      </c>
      <c r="F258" s="5">
        <v>1.5762841925113236E-3</v>
      </c>
      <c r="G258" s="5">
        <v>4.2018921451063562E-3</v>
      </c>
    </row>
    <row r="259" spans="1:7" x14ac:dyDescent="0.25">
      <c r="A259" s="12">
        <v>44558</v>
      </c>
      <c r="B259" s="13">
        <v>47561.31</v>
      </c>
      <c r="C259" s="13">
        <v>47755</v>
      </c>
      <c r="D259" s="5">
        <v>10.769774894580136</v>
      </c>
      <c r="E259" s="5">
        <v>10.773839052468839</v>
      </c>
      <c r="F259" s="5">
        <v>-6.9592268793583045E-2</v>
      </c>
      <c r="G259" s="5">
        <v>-7.1119530471742465E-2</v>
      </c>
    </row>
    <row r="260" spans="1:7" x14ac:dyDescent="0.25">
      <c r="A260" s="12">
        <v>44559</v>
      </c>
      <c r="B260" s="13">
        <v>47232.15</v>
      </c>
      <c r="C260" s="13">
        <v>47370</v>
      </c>
      <c r="D260" s="5">
        <v>10.76283008376811</v>
      </c>
      <c r="E260" s="5">
        <v>10.765744395917798</v>
      </c>
      <c r="F260" s="5">
        <v>-6.9448108120262475E-3</v>
      </c>
      <c r="G260" s="5">
        <v>-8.094656551040913E-3</v>
      </c>
    </row>
    <row r="261" spans="1:7" x14ac:dyDescent="0.25">
      <c r="A261" s="12">
        <v>44560</v>
      </c>
      <c r="B261" s="13">
        <v>47298.35</v>
      </c>
      <c r="C261" s="13">
        <v>47170</v>
      </c>
      <c r="D261" s="5">
        <v>10.764230690150644</v>
      </c>
      <c r="E261" s="5">
        <v>10.761513376278307</v>
      </c>
      <c r="F261" s="5">
        <v>1.4006063825338089E-3</v>
      </c>
      <c r="G261" s="5">
        <v>-4.2310196394907962E-3</v>
      </c>
    </row>
    <row r="262" spans="1:7" x14ac:dyDescent="0.25">
      <c r="A262" s="12">
        <v>44561</v>
      </c>
      <c r="B262" s="13">
        <v>46333.65</v>
      </c>
      <c r="C262" s="13">
        <v>47977.03</v>
      </c>
      <c r="D262" s="5">
        <v>10.743623757953738</v>
      </c>
      <c r="E262" s="5">
        <v>10.778477633685755</v>
      </c>
      <c r="F262" s="5">
        <v>-2.0606932196905348E-2</v>
      </c>
      <c r="G262" s="5">
        <v>1.6964257407448002E-2</v>
      </c>
    </row>
    <row r="263" spans="1:7" x14ac:dyDescent="0.25">
      <c r="A263" s="12">
        <v>44564</v>
      </c>
      <c r="B263" s="13">
        <v>45997.26</v>
      </c>
      <c r="C263" s="13">
        <v>45865</v>
      </c>
      <c r="D263" s="5">
        <v>10.736337108479763</v>
      </c>
      <c r="E263" s="5">
        <v>10.733457577943756</v>
      </c>
      <c r="F263" s="5">
        <v>-7.2866494739756149E-3</v>
      </c>
      <c r="G263" s="5">
        <v>-4.5020055741998632E-2</v>
      </c>
    </row>
    <row r="264" spans="1:7" x14ac:dyDescent="0.25">
      <c r="A264" s="12">
        <v>44565</v>
      </c>
      <c r="B264" s="13">
        <v>46220.42</v>
      </c>
      <c r="C264" s="13">
        <v>46305</v>
      </c>
      <c r="D264" s="5">
        <v>10.741176970762421</v>
      </c>
      <c r="E264" s="5">
        <v>10.743005225604369</v>
      </c>
      <c r="F264" s="5">
        <v>4.8398622826582027E-3</v>
      </c>
      <c r="G264" s="5">
        <v>9.5476476606126681E-3</v>
      </c>
    </row>
    <row r="265" spans="1:7" x14ac:dyDescent="0.25">
      <c r="A265" s="12">
        <v>44566</v>
      </c>
      <c r="B265" s="13">
        <v>43603.88</v>
      </c>
      <c r="C265" s="13">
        <v>43830</v>
      </c>
      <c r="D265" s="5">
        <v>10.682901416203364</v>
      </c>
      <c r="E265" s="5">
        <v>10.688073793412855</v>
      </c>
      <c r="F265" s="5">
        <v>-5.827555455905653E-2</v>
      </c>
      <c r="G265" s="5">
        <v>-5.4931432191514418E-2</v>
      </c>
    </row>
    <row r="266" spans="1:7" x14ac:dyDescent="0.25">
      <c r="A266" s="12">
        <v>44567</v>
      </c>
      <c r="B266" s="13">
        <v>43120.88</v>
      </c>
      <c r="C266" s="13">
        <v>43215</v>
      </c>
      <c r="D266" s="5">
        <v>10.671762613537901</v>
      </c>
      <c r="E266" s="5">
        <v>10.673942936186739</v>
      </c>
      <c r="F266" s="5">
        <v>-1.1138802665463743E-2</v>
      </c>
      <c r="G266" s="5">
        <v>-1.4130857226115623E-2</v>
      </c>
    </row>
    <row r="267" spans="1:7" x14ac:dyDescent="0.25">
      <c r="A267" s="12">
        <v>44568</v>
      </c>
      <c r="B267" s="13">
        <v>41881.75</v>
      </c>
      <c r="C267" s="13">
        <v>41870</v>
      </c>
      <c r="D267" s="5">
        <v>10.642605450166856</v>
      </c>
      <c r="E267" s="5">
        <v>10.64232485901319</v>
      </c>
      <c r="F267" s="5">
        <v>-2.9157163371044348E-2</v>
      </c>
      <c r="G267" s="5">
        <v>-3.1618077173549253E-2</v>
      </c>
    </row>
    <row r="268" spans="1:7" x14ac:dyDescent="0.25">
      <c r="A268" s="12">
        <v>44571</v>
      </c>
      <c r="B268" s="13">
        <v>41729.31</v>
      </c>
      <c r="C268" s="13">
        <v>41745</v>
      </c>
      <c r="D268" s="5">
        <v>10.638959038581893</v>
      </c>
      <c r="E268" s="5">
        <v>10.639334962628102</v>
      </c>
      <c r="F268" s="5">
        <v>-3.6464115849632606E-3</v>
      </c>
      <c r="G268" s="5">
        <v>-2.9898963850882865E-3</v>
      </c>
    </row>
    <row r="269" spans="1:7" x14ac:dyDescent="0.25">
      <c r="A269" s="12">
        <v>44572</v>
      </c>
      <c r="B269" s="13">
        <v>42687.27</v>
      </c>
      <c r="C269" s="13">
        <v>42805</v>
      </c>
      <c r="D269" s="5">
        <v>10.661656028304487</v>
      </c>
      <c r="E269" s="5">
        <v>10.664410197176586</v>
      </c>
      <c r="F269" s="5">
        <v>2.2696989722593486E-2</v>
      </c>
      <c r="G269" s="5">
        <v>2.5075234548484815E-2</v>
      </c>
    </row>
    <row r="270" spans="1:7" x14ac:dyDescent="0.25">
      <c r="A270" s="12">
        <v>44573</v>
      </c>
      <c r="B270" s="13">
        <v>43793.81</v>
      </c>
      <c r="C270" s="13">
        <v>43825</v>
      </c>
      <c r="D270" s="5">
        <v>10.687247762176419</v>
      </c>
      <c r="E270" s="5">
        <v>10.687959709789435</v>
      </c>
      <c r="F270" s="5">
        <v>2.5591733871932476E-2</v>
      </c>
      <c r="G270" s="5">
        <v>2.3549512612849099E-2</v>
      </c>
    </row>
    <row r="271" spans="1:7" x14ac:dyDescent="0.25">
      <c r="A271" s="12">
        <v>44574</v>
      </c>
      <c r="B271" s="13">
        <v>42828.59</v>
      </c>
      <c r="C271" s="13">
        <v>42675</v>
      </c>
      <c r="D271" s="5">
        <v>10.664961149217643</v>
      </c>
      <c r="E271" s="5">
        <v>10.661368547662642</v>
      </c>
      <c r="F271" s="5">
        <v>-2.2286612958776431E-2</v>
      </c>
      <c r="G271" s="5">
        <v>-2.6591162126793577E-2</v>
      </c>
    </row>
    <row r="272" spans="1:7" x14ac:dyDescent="0.25">
      <c r="A272" s="12">
        <v>44575</v>
      </c>
      <c r="B272" s="13">
        <v>43321.7</v>
      </c>
      <c r="C272" s="13">
        <v>43120</v>
      </c>
      <c r="D272" s="5">
        <v>10.676408943188898</v>
      </c>
      <c r="E272" s="5">
        <v>10.671742205582879</v>
      </c>
      <c r="F272" s="5">
        <v>1.1447793971255393E-2</v>
      </c>
      <c r="G272" s="5">
        <v>1.0373657920236923E-2</v>
      </c>
    </row>
    <row r="273" spans="1:7" x14ac:dyDescent="0.25">
      <c r="A273" s="12">
        <v>44578</v>
      </c>
      <c r="B273" s="13">
        <v>41743.99</v>
      </c>
      <c r="C273" s="17">
        <v>43120</v>
      </c>
      <c r="D273" s="5">
        <v>10.639310767821096</v>
      </c>
      <c r="E273" s="5">
        <v>10.671742205582879</v>
      </c>
      <c r="F273" s="5">
        <v>-3.7098175367802355E-2</v>
      </c>
      <c r="G273" s="5">
        <v>0</v>
      </c>
    </row>
    <row r="274" spans="1:7" x14ac:dyDescent="0.25">
      <c r="A274" s="12">
        <v>44579</v>
      </c>
      <c r="B274" s="13">
        <v>42395.22</v>
      </c>
      <c r="C274" s="13">
        <v>41665</v>
      </c>
      <c r="D274" s="5">
        <v>10.654790899015829</v>
      </c>
      <c r="E274" s="5">
        <v>10.637416726816307</v>
      </c>
      <c r="F274" s="5">
        <v>1.548013119473346E-2</v>
      </c>
      <c r="G274" s="5">
        <v>-3.4325478766572104E-2</v>
      </c>
    </row>
    <row r="275" spans="1:7" x14ac:dyDescent="0.25">
      <c r="A275" s="12">
        <v>44580</v>
      </c>
      <c r="B275" s="13">
        <v>41724.22</v>
      </c>
      <c r="C275" s="13">
        <v>41575</v>
      </c>
      <c r="D275" s="5">
        <v>10.638837054526665</v>
      </c>
      <c r="E275" s="5">
        <v>10.635254304061128</v>
      </c>
      <c r="F275" s="5">
        <v>-1.5953844489164482E-2</v>
      </c>
      <c r="G275" s="5">
        <v>-2.162422755178639E-3</v>
      </c>
    </row>
    <row r="276" spans="1:7" x14ac:dyDescent="0.25">
      <c r="A276" s="12">
        <v>44581</v>
      </c>
      <c r="B276" s="13">
        <v>41326.769999999997</v>
      </c>
      <c r="C276" s="13">
        <v>42675</v>
      </c>
      <c r="D276" s="5">
        <v>10.629265752987965</v>
      </c>
      <c r="E276" s="5">
        <v>10.661368547662642</v>
      </c>
      <c r="F276" s="5">
        <v>-9.5713015386991174E-3</v>
      </c>
      <c r="G276" s="5">
        <v>2.611424360151382E-2</v>
      </c>
    </row>
    <row r="277" spans="1:7" x14ac:dyDescent="0.25">
      <c r="A277" s="12">
        <v>44582</v>
      </c>
      <c r="B277" s="13">
        <v>36692.379999999997</v>
      </c>
      <c r="C277" s="13">
        <v>38180</v>
      </c>
      <c r="D277" s="5">
        <v>10.510324383056895</v>
      </c>
      <c r="E277" s="5">
        <v>10.550067097279738</v>
      </c>
      <c r="F277" s="5">
        <v>-0.11894136993107018</v>
      </c>
      <c r="G277" s="5">
        <v>-0.11130145038290351</v>
      </c>
    </row>
    <row r="278" spans="1:7" x14ac:dyDescent="0.25">
      <c r="A278" s="12">
        <v>44585</v>
      </c>
      <c r="B278" s="13">
        <v>36828.36</v>
      </c>
      <c r="C278" s="13">
        <v>37220</v>
      </c>
      <c r="D278" s="5">
        <v>10.514023479531025</v>
      </c>
      <c r="E278" s="5">
        <v>10.524601530196241</v>
      </c>
      <c r="F278" s="5">
        <v>3.6990964741292487E-3</v>
      </c>
      <c r="G278" s="5">
        <v>-2.546556708349712E-2</v>
      </c>
    </row>
    <row r="279" spans="1:7" x14ac:dyDescent="0.25">
      <c r="A279" s="12">
        <v>44586</v>
      </c>
      <c r="B279" s="13">
        <v>36579.75</v>
      </c>
      <c r="C279" s="13">
        <v>36855</v>
      </c>
      <c r="D279" s="5">
        <v>10.507250087585801</v>
      </c>
      <c r="E279" s="5">
        <v>10.514746573623389</v>
      </c>
      <c r="F279" s="5">
        <v>-6.7733919452237501E-3</v>
      </c>
      <c r="G279" s="5">
        <v>-9.8549565728518473E-3</v>
      </c>
    </row>
    <row r="280" spans="1:7" x14ac:dyDescent="0.25">
      <c r="A280" s="12">
        <v>44587</v>
      </c>
      <c r="B280" s="13">
        <v>36356.699999999997</v>
      </c>
      <c r="C280" s="13">
        <v>37060</v>
      </c>
      <c r="D280" s="5">
        <v>10.501133785096654</v>
      </c>
      <c r="E280" s="5">
        <v>10.520293499839351</v>
      </c>
      <c r="F280" s="5">
        <v>-6.1163024891470741E-3</v>
      </c>
      <c r="G280" s="5">
        <v>5.546926215961534E-3</v>
      </c>
    </row>
    <row r="281" spans="1:7" x14ac:dyDescent="0.25">
      <c r="A281" s="12">
        <v>44588</v>
      </c>
      <c r="B281" s="13">
        <v>36198.949999999997</v>
      </c>
      <c r="C281" s="13">
        <v>35565</v>
      </c>
      <c r="D281" s="5">
        <v>10.496785391868332</v>
      </c>
      <c r="E281" s="5">
        <v>10.479117287167616</v>
      </c>
      <c r="F281" s="5">
        <v>-4.3483932283212567E-3</v>
      </c>
      <c r="G281" s="5">
        <v>-4.1176212671734547E-2</v>
      </c>
    </row>
    <row r="282" spans="1:7" x14ac:dyDescent="0.25">
      <c r="A282" s="12">
        <v>44589</v>
      </c>
      <c r="B282" s="13">
        <v>37807.949999999997</v>
      </c>
      <c r="C282" s="13">
        <v>37075.89</v>
      </c>
      <c r="D282" s="5">
        <v>10.540274676954381</v>
      </c>
      <c r="E282" s="5">
        <v>10.520722172112478</v>
      </c>
      <c r="F282" s="5">
        <v>4.3489285086048213E-2</v>
      </c>
      <c r="G282" s="5">
        <v>4.1604884944861809E-2</v>
      </c>
    </row>
    <row r="283" spans="1:7" x14ac:dyDescent="0.25">
      <c r="A283" s="12">
        <v>44592</v>
      </c>
      <c r="B283" s="13">
        <v>38437.839999999997</v>
      </c>
      <c r="C283" s="13">
        <v>38485</v>
      </c>
      <c r="D283" s="5">
        <v>10.556797670038208</v>
      </c>
      <c r="E283" s="5">
        <v>10.558023833968418</v>
      </c>
      <c r="F283" s="5">
        <v>1.6522993083826876E-2</v>
      </c>
      <c r="G283" s="5">
        <v>3.7301661855940083E-2</v>
      </c>
    </row>
    <row r="284" spans="1:7" x14ac:dyDescent="0.25">
      <c r="A284" s="12">
        <v>44593</v>
      </c>
      <c r="B284" s="13">
        <v>38813.82</v>
      </c>
      <c r="C284" s="13">
        <v>38585</v>
      </c>
      <c r="D284" s="5">
        <v>10.566531647759355</v>
      </c>
      <c r="E284" s="5">
        <v>10.560618878891704</v>
      </c>
      <c r="F284" s="5">
        <v>9.7339777211473688E-3</v>
      </c>
      <c r="G284" s="5">
        <v>2.595044923285883E-3</v>
      </c>
    </row>
    <row r="285" spans="1:7" x14ac:dyDescent="0.25">
      <c r="A285" s="12">
        <v>44594</v>
      </c>
      <c r="B285" s="13">
        <v>36936.93</v>
      </c>
      <c r="C285" s="13">
        <v>37535</v>
      </c>
      <c r="D285" s="5">
        <v>10.516967142557306</v>
      </c>
      <c r="E285" s="5">
        <v>10.533029110007103</v>
      </c>
      <c r="F285" s="5">
        <v>-4.9564505202049247E-2</v>
      </c>
      <c r="G285" s="5">
        <v>-2.7589768884601185E-2</v>
      </c>
    </row>
    <row r="286" spans="1:7" x14ac:dyDescent="0.25">
      <c r="A286" s="12">
        <v>44595</v>
      </c>
      <c r="B286" s="13">
        <v>36964.58</v>
      </c>
      <c r="C286" s="13">
        <v>36265</v>
      </c>
      <c r="D286" s="5">
        <v>10.517715435827368</v>
      </c>
      <c r="E286" s="5">
        <v>10.498608367797512</v>
      </c>
      <c r="F286" s="5">
        <v>7.4829327006220581E-4</v>
      </c>
      <c r="G286" s="5">
        <v>-3.4420742209590571E-2</v>
      </c>
    </row>
    <row r="287" spans="1:7" x14ac:dyDescent="0.25">
      <c r="A287" s="12">
        <v>44596</v>
      </c>
      <c r="B287" s="13">
        <v>40647.25</v>
      </c>
      <c r="C287" s="13">
        <v>40640</v>
      </c>
      <c r="D287" s="5">
        <v>10.612686462011039</v>
      </c>
      <c r="E287" s="5">
        <v>10.612508082252363</v>
      </c>
      <c r="F287" s="5">
        <v>9.497102618367137E-2</v>
      </c>
      <c r="G287" s="5">
        <v>0.11389971445485081</v>
      </c>
    </row>
    <row r="288" spans="1:7" x14ac:dyDescent="0.25">
      <c r="A288" s="12">
        <v>44599</v>
      </c>
      <c r="B288" s="13">
        <v>44102.99</v>
      </c>
      <c r="C288" s="13">
        <v>44235</v>
      </c>
      <c r="D288" s="5">
        <v>10.694282859590105</v>
      </c>
      <c r="E288" s="5">
        <v>10.697271609917486</v>
      </c>
      <c r="F288" s="5">
        <v>8.1596397579065894E-2</v>
      </c>
      <c r="G288" s="5">
        <v>8.4763527665122851E-2</v>
      </c>
    </row>
    <row r="289" spans="1:7" x14ac:dyDescent="0.25">
      <c r="A289" s="12">
        <v>44600</v>
      </c>
      <c r="B289" s="13">
        <v>44230.11</v>
      </c>
      <c r="C289" s="13">
        <v>44340</v>
      </c>
      <c r="D289" s="5">
        <v>10.697161057859054</v>
      </c>
      <c r="E289" s="5">
        <v>10.699642483170303</v>
      </c>
      <c r="F289" s="5">
        <v>2.8781982689487506E-3</v>
      </c>
      <c r="G289" s="5">
        <v>2.3708732528167076E-3</v>
      </c>
    </row>
    <row r="290" spans="1:7" x14ac:dyDescent="0.25">
      <c r="A290" s="12">
        <v>44601</v>
      </c>
      <c r="B290" s="13">
        <v>44497.51</v>
      </c>
      <c r="C290" s="13">
        <v>44855</v>
      </c>
      <c r="D290" s="5">
        <v>10.703188511532609</v>
      </c>
      <c r="E290" s="5">
        <v>10.711190343993383</v>
      </c>
      <c r="F290" s="5">
        <v>6.027453673555172E-3</v>
      </c>
      <c r="G290" s="5">
        <v>1.1547860823080569E-2</v>
      </c>
    </row>
    <row r="291" spans="1:7" x14ac:dyDescent="0.25">
      <c r="A291" s="12">
        <v>44602</v>
      </c>
      <c r="B291" s="13">
        <v>43776.42</v>
      </c>
      <c r="C291" s="13">
        <v>44180</v>
      </c>
      <c r="D291" s="5">
        <v>10.686850595234443</v>
      </c>
      <c r="E291" s="5">
        <v>10.696027476974109</v>
      </c>
      <c r="F291" s="5">
        <v>-1.6337916298166277E-2</v>
      </c>
      <c r="G291" s="5">
        <v>-1.5162867019274273E-2</v>
      </c>
    </row>
    <row r="292" spans="1:7" x14ac:dyDescent="0.25">
      <c r="A292" s="12">
        <v>44603</v>
      </c>
      <c r="B292" s="13">
        <v>42563.24</v>
      </c>
      <c r="C292" s="13">
        <v>42390</v>
      </c>
      <c r="D292" s="5">
        <v>10.658746248937499</v>
      </c>
      <c r="E292" s="5">
        <v>10.654667764346684</v>
      </c>
      <c r="F292" s="5">
        <v>-2.8104346296943916E-2</v>
      </c>
      <c r="G292" s="5">
        <v>-4.1359712627425438E-2</v>
      </c>
    </row>
    <row r="293" spans="1:7" x14ac:dyDescent="0.25">
      <c r="A293" s="12">
        <v>44606</v>
      </c>
      <c r="B293" s="13">
        <v>42249.01</v>
      </c>
      <c r="C293" s="13">
        <v>42205</v>
      </c>
      <c r="D293" s="5">
        <v>10.651336200558125</v>
      </c>
      <c r="E293" s="5">
        <v>10.650293976417821</v>
      </c>
      <c r="F293" s="5">
        <v>-7.410048379373535E-3</v>
      </c>
      <c r="G293" s="5">
        <v>-4.3737879288627823E-3</v>
      </c>
    </row>
    <row r="294" spans="1:7" x14ac:dyDescent="0.25">
      <c r="A294" s="12">
        <v>44607</v>
      </c>
      <c r="B294" s="13">
        <v>43999.15</v>
      </c>
      <c r="C294" s="13">
        <v>44215</v>
      </c>
      <c r="D294" s="5">
        <v>10.691925594531982</v>
      </c>
      <c r="E294" s="5">
        <v>10.696819377009836</v>
      </c>
      <c r="F294" s="5">
        <v>4.0589393973856858E-2</v>
      </c>
      <c r="G294" s="5">
        <v>4.6525400592015487E-2</v>
      </c>
    </row>
    <row r="295" spans="1:7" x14ac:dyDescent="0.25">
      <c r="A295" s="12">
        <v>44608</v>
      </c>
      <c r="B295" s="13">
        <v>44092.86</v>
      </c>
      <c r="C295" s="13">
        <v>44175</v>
      </c>
      <c r="D295" s="5">
        <v>10.694053143565041</v>
      </c>
      <c r="E295" s="5">
        <v>10.695914297187898</v>
      </c>
      <c r="F295" s="5">
        <v>2.1275490330587843E-3</v>
      </c>
      <c r="G295" s="5">
        <v>-9.0507982193877012E-4</v>
      </c>
    </row>
    <row r="296" spans="1:7" x14ac:dyDescent="0.25">
      <c r="A296" s="12">
        <v>44609</v>
      </c>
      <c r="B296" s="13">
        <v>40699.629999999997</v>
      </c>
      <c r="C296" s="13">
        <v>40900</v>
      </c>
      <c r="D296" s="5">
        <v>10.613974280480273</v>
      </c>
      <c r="E296" s="5">
        <v>10.618885342030893</v>
      </c>
      <c r="F296" s="5">
        <v>-8.0078863084768415E-2</v>
      </c>
      <c r="G296" s="5">
        <v>-7.7028955157004475E-2</v>
      </c>
    </row>
    <row r="297" spans="1:7" x14ac:dyDescent="0.25">
      <c r="A297" s="12">
        <v>44610</v>
      </c>
      <c r="B297" s="13">
        <v>39991.9</v>
      </c>
      <c r="C297" s="13">
        <v>39945</v>
      </c>
      <c r="D297" s="5">
        <v>10.59643221259018</v>
      </c>
      <c r="E297" s="5">
        <v>10.595258786916142</v>
      </c>
      <c r="F297" s="5">
        <v>-1.7542067890092383E-2</v>
      </c>
      <c r="G297" s="5">
        <v>-2.3626555114750758E-2</v>
      </c>
    </row>
    <row r="298" spans="1:7" x14ac:dyDescent="0.25">
      <c r="A298" s="12">
        <v>44613</v>
      </c>
      <c r="B298" s="13">
        <v>37076.089999999997</v>
      </c>
      <c r="C298" s="17">
        <v>39945</v>
      </c>
      <c r="D298" s="5">
        <v>10.520727566439103</v>
      </c>
      <c r="E298" s="5">
        <v>10.595258786916142</v>
      </c>
      <c r="F298" s="5">
        <v>-7.5704646151077526E-2</v>
      </c>
      <c r="G298" s="5">
        <v>0</v>
      </c>
    </row>
    <row r="299" spans="1:7" x14ac:dyDescent="0.25">
      <c r="A299" s="12">
        <v>44614</v>
      </c>
      <c r="B299" s="13">
        <v>37893.47</v>
      </c>
      <c r="C299" s="13">
        <v>37915</v>
      </c>
      <c r="D299" s="5">
        <v>10.542534080711429</v>
      </c>
      <c r="E299" s="5">
        <v>10.543102091135037</v>
      </c>
      <c r="F299" s="5">
        <v>2.1806514272325828E-2</v>
      </c>
      <c r="G299" s="5">
        <v>-5.2156695781105711E-2</v>
      </c>
    </row>
    <row r="300" spans="1:7" x14ac:dyDescent="0.25">
      <c r="A300" s="12">
        <v>44615</v>
      </c>
      <c r="B300" s="13">
        <v>37543.5</v>
      </c>
      <c r="C300" s="13">
        <v>37660</v>
      </c>
      <c r="D300" s="5">
        <v>10.533255539678349</v>
      </c>
      <c r="E300" s="5">
        <v>10.536353802211144</v>
      </c>
      <c r="F300" s="5">
        <v>-9.2785410330797902E-3</v>
      </c>
      <c r="G300" s="5">
        <v>-6.7482889238927868E-3</v>
      </c>
    </row>
    <row r="301" spans="1:7" x14ac:dyDescent="0.25">
      <c r="A301" s="12">
        <v>44616</v>
      </c>
      <c r="B301" s="13">
        <v>38414.949999999997</v>
      </c>
      <c r="C301" s="13">
        <v>38360</v>
      </c>
      <c r="D301" s="5">
        <v>10.556201985725982</v>
      </c>
      <c r="E301" s="5">
        <v>10.554770528997375</v>
      </c>
      <c r="F301" s="5">
        <v>2.2946446047633628E-2</v>
      </c>
      <c r="G301" s="5">
        <v>1.8416726786231408E-2</v>
      </c>
    </row>
    <row r="302" spans="1:7" x14ac:dyDescent="0.25">
      <c r="A302" s="12">
        <v>44617</v>
      </c>
      <c r="B302" s="13">
        <v>38994.5</v>
      </c>
      <c r="C302" s="13">
        <v>39202.089999999997</v>
      </c>
      <c r="D302" s="5">
        <v>10.571175889525707</v>
      </c>
      <c r="E302" s="5">
        <v>10.576485340683819</v>
      </c>
      <c r="F302" s="5">
        <v>1.4973903799724297E-2</v>
      </c>
      <c r="G302" s="5">
        <v>2.1714811686443625E-2</v>
      </c>
    </row>
    <row r="303" spans="1:7" x14ac:dyDescent="0.25">
      <c r="A303" s="12">
        <v>44620</v>
      </c>
      <c r="B303" s="13">
        <v>41654.97</v>
      </c>
      <c r="C303" s="13">
        <v>42000</v>
      </c>
      <c r="D303" s="5">
        <v>10.637175968207094</v>
      </c>
      <c r="E303" s="5">
        <v>10.645424897265505</v>
      </c>
      <c r="F303" s="5">
        <v>6.6000078681387464E-2</v>
      </c>
      <c r="G303" s="5">
        <v>6.8939556581685935E-2</v>
      </c>
    </row>
    <row r="304" spans="1:7" x14ac:dyDescent="0.25">
      <c r="A304" s="12">
        <v>44621</v>
      </c>
      <c r="B304" s="13">
        <v>43900.24</v>
      </c>
      <c r="C304" s="13">
        <v>44240</v>
      </c>
      <c r="D304" s="5">
        <v>10.689675066018706</v>
      </c>
      <c r="E304" s="5">
        <v>10.697384636196217</v>
      </c>
      <c r="F304" s="5">
        <v>5.2499097811612216E-2</v>
      </c>
      <c r="G304" s="5">
        <v>5.1959738930712263E-2</v>
      </c>
    </row>
    <row r="305" spans="1:7" x14ac:dyDescent="0.25">
      <c r="A305" s="12">
        <v>44622</v>
      </c>
      <c r="B305" s="13">
        <v>44090.720000000001</v>
      </c>
      <c r="C305" s="13">
        <v>43925</v>
      </c>
      <c r="D305" s="5">
        <v>10.694004608452259</v>
      </c>
      <c r="E305" s="5">
        <v>10.690238913055298</v>
      </c>
      <c r="F305" s="5">
        <v>4.3295424335525468E-3</v>
      </c>
      <c r="G305" s="5">
        <v>-7.1457231409191024E-3</v>
      </c>
    </row>
    <row r="306" spans="1:7" x14ac:dyDescent="0.25">
      <c r="A306" s="12">
        <v>44623</v>
      </c>
      <c r="B306" s="13">
        <v>42096.97</v>
      </c>
      <c r="C306" s="13">
        <v>42080</v>
      </c>
      <c r="D306" s="5">
        <v>10.647731045583964</v>
      </c>
      <c r="E306" s="5">
        <v>10.647327847411592</v>
      </c>
      <c r="F306" s="5">
        <v>-4.6273562868295315E-2</v>
      </c>
      <c r="G306" s="5">
        <v>-4.2911065643705726E-2</v>
      </c>
    </row>
    <row r="307" spans="1:7" x14ac:dyDescent="0.25">
      <c r="A307" s="12">
        <v>44624</v>
      </c>
      <c r="B307" s="13">
        <v>39393.699999999997</v>
      </c>
      <c r="C307" s="13">
        <v>39545</v>
      </c>
      <c r="D307" s="5">
        <v>10.581361184023743</v>
      </c>
      <c r="E307" s="5">
        <v>10.585194542953518</v>
      </c>
      <c r="F307" s="5">
        <v>-6.63698615602204E-2</v>
      </c>
      <c r="G307" s="5">
        <v>-6.2133304458074079E-2</v>
      </c>
    </row>
    <row r="308" spans="1:7" x14ac:dyDescent="0.25">
      <c r="A308" s="12">
        <v>44627</v>
      </c>
      <c r="B308" s="13">
        <v>37839.360000000001</v>
      </c>
      <c r="C308" s="13">
        <v>37540</v>
      </c>
      <c r="D308" s="5">
        <v>10.541105109703544</v>
      </c>
      <c r="E308" s="5">
        <v>10.533162310140499</v>
      </c>
      <c r="F308" s="5">
        <v>-4.0256074320199176E-2</v>
      </c>
      <c r="G308" s="5">
        <v>-5.2032232813019164E-2</v>
      </c>
    </row>
    <row r="309" spans="1:7" x14ac:dyDescent="0.25">
      <c r="A309" s="12">
        <v>44628</v>
      </c>
      <c r="B309" s="13">
        <v>38506.43</v>
      </c>
      <c r="C309" s="13">
        <v>38505</v>
      </c>
      <c r="D309" s="5">
        <v>10.558580519317772</v>
      </c>
      <c r="E309" s="5">
        <v>10.558543381973351</v>
      </c>
      <c r="F309" s="5">
        <v>1.7475409614227999E-2</v>
      </c>
      <c r="G309" s="5">
        <v>2.5381071832851987E-2</v>
      </c>
    </row>
    <row r="310" spans="1:7" x14ac:dyDescent="0.25">
      <c r="A310" s="12">
        <v>44629</v>
      </c>
      <c r="B310" s="13">
        <v>41893.74</v>
      </c>
      <c r="C310" s="13">
        <v>41920</v>
      </c>
      <c r="D310" s="5">
        <v>10.642891691407149</v>
      </c>
      <c r="E310" s="5">
        <v>10.643518318994923</v>
      </c>
      <c r="F310" s="5">
        <v>8.4311172089376996E-2</v>
      </c>
      <c r="G310" s="5">
        <v>8.4974937021572217E-2</v>
      </c>
    </row>
    <row r="311" spans="1:7" x14ac:dyDescent="0.25">
      <c r="A311" s="12">
        <v>44630</v>
      </c>
      <c r="B311" s="13">
        <v>39329.949999999997</v>
      </c>
      <c r="C311" s="13">
        <v>39630</v>
      </c>
      <c r="D311" s="5">
        <v>10.579741594130869</v>
      </c>
      <c r="E311" s="5">
        <v>10.58734168618448</v>
      </c>
      <c r="F311" s="5">
        <v>-6.3150097276279737E-2</v>
      </c>
      <c r="G311" s="5">
        <v>-5.6176632810442939E-2</v>
      </c>
    </row>
    <row r="312" spans="1:7" x14ac:dyDescent="0.25">
      <c r="A312" s="12">
        <v>44631</v>
      </c>
      <c r="B312" s="13">
        <v>38860.699999999997</v>
      </c>
      <c r="C312" s="13">
        <v>38325</v>
      </c>
      <c r="D312" s="5">
        <v>10.567738736150561</v>
      </c>
      <c r="E312" s="5">
        <v>10.553857703740015</v>
      </c>
      <c r="F312" s="5">
        <v>-1.2002857980307979E-2</v>
      </c>
      <c r="G312" s="5">
        <v>-3.348398244446571E-2</v>
      </c>
    </row>
    <row r="313" spans="1:7" x14ac:dyDescent="0.25">
      <c r="A313" s="12">
        <v>44634</v>
      </c>
      <c r="B313" s="13">
        <v>38725.24</v>
      </c>
      <c r="C313" s="13">
        <v>38830</v>
      </c>
      <c r="D313" s="5">
        <v>10.564246862812668</v>
      </c>
      <c r="E313" s="5">
        <v>10.566948422725712</v>
      </c>
      <c r="F313" s="5">
        <v>-3.4918733378930256E-3</v>
      </c>
      <c r="G313" s="5">
        <v>1.3090718985697691E-2</v>
      </c>
    </row>
    <row r="314" spans="1:7" x14ac:dyDescent="0.25">
      <c r="A314" s="12">
        <v>44635</v>
      </c>
      <c r="B314" s="13">
        <v>39441.9</v>
      </c>
      <c r="C314" s="13">
        <v>39760</v>
      </c>
      <c r="D314" s="5">
        <v>10.582583981998411</v>
      </c>
      <c r="E314" s="5">
        <v>10.590616660770511</v>
      </c>
      <c r="F314" s="5">
        <v>1.8337119185742878E-2</v>
      </c>
      <c r="G314" s="5">
        <v>2.3668238044798784E-2</v>
      </c>
    </row>
    <row r="315" spans="1:7" x14ac:dyDescent="0.25">
      <c r="A315" s="12">
        <v>44636</v>
      </c>
      <c r="B315" s="13">
        <v>41258.79</v>
      </c>
      <c r="C315" s="13">
        <v>40920</v>
      </c>
      <c r="D315" s="5">
        <v>10.627619459971275</v>
      </c>
      <c r="E315" s="5">
        <v>10.619374220065563</v>
      </c>
      <c r="F315" s="5">
        <v>4.5035477972863447E-2</v>
      </c>
      <c r="G315" s="5">
        <v>2.8757559295051749E-2</v>
      </c>
    </row>
    <row r="316" spans="1:7" x14ac:dyDescent="0.25">
      <c r="A316" s="12">
        <v>44637</v>
      </c>
      <c r="B316" s="13">
        <v>40724.559999999998</v>
      </c>
      <c r="C316" s="13">
        <v>40885</v>
      </c>
      <c r="D316" s="5">
        <v>10.614586629237539</v>
      </c>
      <c r="E316" s="5">
        <v>10.618518526596077</v>
      </c>
      <c r="F316" s="5">
        <v>-1.3032830733735068E-2</v>
      </c>
      <c r="G316" s="5">
        <v>-8.5569346948588532E-4</v>
      </c>
    </row>
    <row r="317" spans="1:7" x14ac:dyDescent="0.25">
      <c r="A317" s="12">
        <v>44638</v>
      </c>
      <c r="B317" s="13">
        <v>41755.9</v>
      </c>
      <c r="C317" s="13">
        <v>42095</v>
      </c>
      <c r="D317" s="5">
        <v>10.639596037659913</v>
      </c>
      <c r="E317" s="5">
        <v>10.647684247771764</v>
      </c>
      <c r="F317" s="5">
        <v>2.500940842237398E-2</v>
      </c>
      <c r="G317" s="5">
        <v>2.9165721175687054E-2</v>
      </c>
    </row>
    <row r="318" spans="1:7" x14ac:dyDescent="0.25">
      <c r="A318" s="12">
        <v>44641</v>
      </c>
      <c r="B318" s="13">
        <v>41136.879999999997</v>
      </c>
      <c r="C318" s="13">
        <v>41220</v>
      </c>
      <c r="D318" s="5">
        <v>10.624660321731154</v>
      </c>
      <c r="E318" s="5">
        <v>10.626678854444449</v>
      </c>
      <c r="F318" s="5">
        <v>-1.4935715928759308E-2</v>
      </c>
      <c r="G318" s="5">
        <v>-2.1005393327314437E-2</v>
      </c>
    </row>
    <row r="319" spans="1:7" x14ac:dyDescent="0.25">
      <c r="A319" s="12">
        <v>44642</v>
      </c>
      <c r="B319" s="13">
        <v>42606.239999999998</v>
      </c>
      <c r="C319" s="13">
        <v>42390</v>
      </c>
      <c r="D319" s="5">
        <v>10.659756000403718</v>
      </c>
      <c r="E319" s="5">
        <v>10.654667764346684</v>
      </c>
      <c r="F319" s="5">
        <v>3.5095678672563579E-2</v>
      </c>
      <c r="G319" s="5">
        <v>2.7988909902234127E-2</v>
      </c>
    </row>
    <row r="320" spans="1:7" x14ac:dyDescent="0.25">
      <c r="A320" s="12">
        <v>44643</v>
      </c>
      <c r="B320" s="13">
        <v>42368.58</v>
      </c>
      <c r="C320" s="13">
        <v>42250</v>
      </c>
      <c r="D320" s="5">
        <v>10.654162328780018</v>
      </c>
      <c r="E320" s="5">
        <v>10.65135963278532</v>
      </c>
      <c r="F320" s="5">
        <v>-5.5936716236999473E-3</v>
      </c>
      <c r="G320" s="5">
        <v>-3.3081315613632256E-3</v>
      </c>
    </row>
    <row r="321" spans="1:7" x14ac:dyDescent="0.25">
      <c r="A321" s="12">
        <v>44644</v>
      </c>
      <c r="B321" s="13">
        <v>43895.65</v>
      </c>
      <c r="C321" s="13">
        <v>43965</v>
      </c>
      <c r="D321" s="5">
        <v>10.689570505315372</v>
      </c>
      <c r="E321" s="5">
        <v>10.691149141813103</v>
      </c>
      <c r="F321" s="5">
        <v>3.5408176535353775E-2</v>
      </c>
      <c r="G321" s="5">
        <v>3.9789509027782444E-2</v>
      </c>
    </row>
    <row r="322" spans="1:7" x14ac:dyDescent="0.25">
      <c r="A322" s="12">
        <v>44645</v>
      </c>
      <c r="B322" s="13">
        <v>44577.760000000002</v>
      </c>
      <c r="C322" s="13">
        <v>44504</v>
      </c>
      <c r="D322" s="5">
        <v>10.704990358930029</v>
      </c>
      <c r="E322" s="5">
        <v>10.70333435175513</v>
      </c>
      <c r="F322" s="5">
        <v>1.5419853614657697E-2</v>
      </c>
      <c r="G322" s="5">
        <v>1.2185209942026987E-2</v>
      </c>
    </row>
    <row r="323" spans="1:7" x14ac:dyDescent="0.25">
      <c r="A323" s="12">
        <v>44648</v>
      </c>
      <c r="B323" s="13">
        <v>47967.56</v>
      </c>
      <c r="C323" s="13">
        <v>48190</v>
      </c>
      <c r="D323" s="5">
        <v>10.778280228078399</v>
      </c>
      <c r="E323" s="5">
        <v>10.782906809634378</v>
      </c>
      <c r="F323" s="5">
        <v>7.3289869148370101E-2</v>
      </c>
      <c r="G323" s="5">
        <v>7.9572457879248049E-2</v>
      </c>
    </row>
    <row r="324" spans="1:7" x14ac:dyDescent="0.25">
      <c r="A324" s="12">
        <v>44649</v>
      </c>
      <c r="B324" s="13">
        <v>47486.26</v>
      </c>
      <c r="C324" s="13">
        <v>47930</v>
      </c>
      <c r="D324" s="5">
        <v>10.768195685020181</v>
      </c>
      <c r="E324" s="5">
        <v>10.777496892153676</v>
      </c>
      <c r="F324" s="5">
        <v>-1.0084543058217932E-2</v>
      </c>
      <c r="G324" s="5">
        <v>-5.4099174807014094E-3</v>
      </c>
    </row>
    <row r="325" spans="1:7" x14ac:dyDescent="0.25">
      <c r="A325" s="12">
        <v>44650</v>
      </c>
      <c r="B325" s="13">
        <v>47277.24</v>
      </c>
      <c r="C325" s="13">
        <v>47240</v>
      </c>
      <c r="D325" s="5">
        <v>10.763784274741539</v>
      </c>
      <c r="E325" s="5">
        <v>10.762996270311298</v>
      </c>
      <c r="F325" s="5">
        <v>-4.4114102786423359E-3</v>
      </c>
      <c r="G325" s="5">
        <v>-1.4500621842378436E-2</v>
      </c>
    </row>
    <row r="326" spans="1:7" x14ac:dyDescent="0.25">
      <c r="A326" s="12">
        <v>44651</v>
      </c>
      <c r="B326" s="13">
        <v>45767.58</v>
      </c>
      <c r="C326" s="13">
        <v>45735</v>
      </c>
      <c r="D326" s="5">
        <v>10.731331259188901</v>
      </c>
      <c r="E326" s="5">
        <v>10.730619148090465</v>
      </c>
      <c r="F326" s="5">
        <v>-3.2453015552638576E-2</v>
      </c>
      <c r="G326" s="5">
        <v>-3.2377122220832888E-2</v>
      </c>
    </row>
    <row r="327" spans="1:7" x14ac:dyDescent="0.25">
      <c r="A327" s="12">
        <v>44652</v>
      </c>
      <c r="B327" s="13">
        <v>46168.58</v>
      </c>
      <c r="C327" s="13">
        <v>46550</v>
      </c>
      <c r="D327" s="5">
        <v>10.740054759125961</v>
      </c>
      <c r="E327" s="5">
        <v>10.748282282705214</v>
      </c>
      <c r="F327" s="5">
        <v>8.7234999370604527E-3</v>
      </c>
      <c r="G327" s="5">
        <v>1.7663134614748444E-2</v>
      </c>
    </row>
    <row r="328" spans="1:7" x14ac:dyDescent="0.25">
      <c r="A328" s="12">
        <v>44655</v>
      </c>
      <c r="B328" s="13">
        <v>46311.76</v>
      </c>
      <c r="C328" s="13">
        <v>46085</v>
      </c>
      <c r="D328" s="5">
        <v>10.743151203503229</v>
      </c>
      <c r="E328" s="5">
        <v>10.738242796427764</v>
      </c>
      <c r="F328" s="5">
        <v>3.0964443772685257E-3</v>
      </c>
      <c r="G328" s="5">
        <v>-1.0039486277449328E-2</v>
      </c>
    </row>
    <row r="329" spans="1:7" x14ac:dyDescent="0.25">
      <c r="A329" s="12">
        <v>44656</v>
      </c>
      <c r="B329" s="13">
        <v>45868.99</v>
      </c>
      <c r="C329" s="13">
        <v>46140</v>
      </c>
      <c r="D329" s="5">
        <v>10.733544568600164</v>
      </c>
      <c r="E329" s="5">
        <v>10.739435531727745</v>
      </c>
      <c r="F329" s="5">
        <v>-9.6066349030650144E-3</v>
      </c>
      <c r="G329" s="5">
        <v>1.1927352999805407E-3</v>
      </c>
    </row>
    <row r="330" spans="1:7" x14ac:dyDescent="0.25">
      <c r="A330" s="12">
        <v>44657</v>
      </c>
      <c r="B330" s="13">
        <v>43885.38</v>
      </c>
      <c r="C330" s="13">
        <v>43775</v>
      </c>
      <c r="D330" s="5">
        <v>10.689336513983831</v>
      </c>
      <c r="E330" s="5">
        <v>10.686818157154052</v>
      </c>
      <c r="F330" s="5">
        <v>-4.4208054616333925E-2</v>
      </c>
      <c r="G330" s="5">
        <v>-5.2617374573692643E-2</v>
      </c>
    </row>
    <row r="331" spans="1:7" x14ac:dyDescent="0.25">
      <c r="A331" s="12">
        <v>44658</v>
      </c>
      <c r="B331" s="13">
        <v>43577.22</v>
      </c>
      <c r="C331" s="13">
        <v>43380</v>
      </c>
      <c r="D331" s="5">
        <v>10.682289815734203</v>
      </c>
      <c r="E331" s="5">
        <v>10.677753784380865</v>
      </c>
      <c r="F331" s="5">
        <v>-7.0466982496277808E-3</v>
      </c>
      <c r="G331" s="5">
        <v>-9.0643727731869461E-3</v>
      </c>
    </row>
    <row r="332" spans="1:7" x14ac:dyDescent="0.25">
      <c r="A332" s="12">
        <v>44659</v>
      </c>
      <c r="B332" s="13">
        <v>42815.77</v>
      </c>
      <c r="C332" s="13">
        <v>42715</v>
      </c>
      <c r="D332" s="5">
        <v>10.664661771649854</v>
      </c>
      <c r="E332" s="5">
        <v>10.662305425585719</v>
      </c>
      <c r="F332" s="5">
        <v>-1.7628044084348815E-2</v>
      </c>
      <c r="G332" s="5">
        <v>-1.5448358795145722E-2</v>
      </c>
    </row>
    <row r="333" spans="1:7" x14ac:dyDescent="0.25">
      <c r="A333" s="12">
        <v>44662</v>
      </c>
      <c r="B333" s="13">
        <v>39846.47</v>
      </c>
      <c r="C333" s="13">
        <v>39955</v>
      </c>
      <c r="D333" s="5">
        <v>10.59278909811154</v>
      </c>
      <c r="E333" s="5">
        <v>10.595509099808563</v>
      </c>
      <c r="F333" s="5">
        <v>-7.1872673538313947E-2</v>
      </c>
      <c r="G333" s="5">
        <v>-6.679632577715644E-2</v>
      </c>
    </row>
    <row r="334" spans="1:7" x14ac:dyDescent="0.25">
      <c r="A334" s="12">
        <v>44663</v>
      </c>
      <c r="B334" s="13">
        <v>39534.080000000002</v>
      </c>
      <c r="C334" s="13">
        <v>39290</v>
      </c>
      <c r="D334" s="5">
        <v>10.584918363714472</v>
      </c>
      <c r="E334" s="5">
        <v>10.578725312552505</v>
      </c>
      <c r="F334" s="5">
        <v>-7.870734397068091E-3</v>
      </c>
      <c r="G334" s="5">
        <v>-1.6783787256057892E-2</v>
      </c>
    </row>
    <row r="335" spans="1:7" x14ac:dyDescent="0.25">
      <c r="A335" s="12">
        <v>44664</v>
      </c>
      <c r="B335" s="13">
        <v>41254.519999999997</v>
      </c>
      <c r="C335" s="13">
        <v>41120</v>
      </c>
      <c r="D335" s="5">
        <v>10.627515961517418</v>
      </c>
      <c r="E335" s="5">
        <v>10.624249900129048</v>
      </c>
      <c r="F335" s="5">
        <v>4.2597597802945586E-2</v>
      </c>
      <c r="G335" s="5">
        <v>4.552458757654243E-2</v>
      </c>
    </row>
    <row r="336" spans="1:7" x14ac:dyDescent="0.25">
      <c r="A336" s="12">
        <v>44665</v>
      </c>
      <c r="B336" s="13">
        <v>39915.93</v>
      </c>
      <c r="C336" s="13">
        <v>39825</v>
      </c>
      <c r="D336" s="5">
        <v>10.594530771319931</v>
      </c>
      <c r="E336" s="5">
        <v>10.592250134778249</v>
      </c>
      <c r="F336" s="5">
        <v>-3.2985190197486247E-2</v>
      </c>
      <c r="G336" s="5">
        <v>-3.1999765350798626E-2</v>
      </c>
    </row>
    <row r="337" spans="1:7" x14ac:dyDescent="0.25">
      <c r="A337" s="12">
        <v>44666</v>
      </c>
      <c r="B337" s="13">
        <v>40404.519999999997</v>
      </c>
      <c r="C337" s="17">
        <v>39825</v>
      </c>
      <c r="D337" s="5">
        <v>10.606696938879127</v>
      </c>
      <c r="E337" s="5">
        <v>10.592250134778249</v>
      </c>
      <c r="F337" s="5">
        <v>1.2166167559195529E-2</v>
      </c>
      <c r="G337" s="5">
        <v>0</v>
      </c>
    </row>
    <row r="338" spans="1:7" x14ac:dyDescent="0.25">
      <c r="A338" s="12">
        <v>44669</v>
      </c>
      <c r="B338" s="13">
        <v>40673.67</v>
      </c>
      <c r="C338" s="13">
        <v>40700</v>
      </c>
      <c r="D338" s="5">
        <v>10.613336233335062</v>
      </c>
      <c r="E338" s="5">
        <v>10.613983371430686</v>
      </c>
      <c r="F338" s="5">
        <v>6.6392944559350298E-3</v>
      </c>
      <c r="G338" s="5">
        <v>2.1733236652437427E-2</v>
      </c>
    </row>
    <row r="339" spans="1:7" x14ac:dyDescent="0.25">
      <c r="A339" s="12">
        <v>44670</v>
      </c>
      <c r="B339" s="13">
        <v>41297.9</v>
      </c>
      <c r="C339" s="13">
        <v>41520</v>
      </c>
      <c r="D339" s="5">
        <v>10.628566930198721</v>
      </c>
      <c r="E339" s="5">
        <v>10.633930517839771</v>
      </c>
      <c r="F339" s="5">
        <v>1.5230696863659077E-2</v>
      </c>
      <c r="G339" s="5">
        <v>1.9947146409084127E-2</v>
      </c>
    </row>
    <row r="340" spans="1:7" x14ac:dyDescent="0.25">
      <c r="A340" s="12">
        <v>44671</v>
      </c>
      <c r="B340" s="13">
        <v>41430.79</v>
      </c>
      <c r="C340" s="13">
        <v>41235</v>
      </c>
      <c r="D340" s="5">
        <v>10.631779603197639</v>
      </c>
      <c r="E340" s="5">
        <v>10.627042689267455</v>
      </c>
      <c r="F340" s="5">
        <v>3.2126729989183644E-3</v>
      </c>
      <c r="G340" s="5">
        <v>-6.887828572315513E-3</v>
      </c>
    </row>
    <row r="341" spans="1:7" x14ac:dyDescent="0.25">
      <c r="A341" s="12">
        <v>44672</v>
      </c>
      <c r="B341" s="13">
        <v>40615.449999999997</v>
      </c>
      <c r="C341" s="13">
        <v>41245</v>
      </c>
      <c r="D341" s="5">
        <v>10.611903815074051</v>
      </c>
      <c r="E341" s="5">
        <v>10.627285172294831</v>
      </c>
      <c r="F341" s="5">
        <v>-1.9875788123588478E-2</v>
      </c>
      <c r="G341" s="5">
        <v>2.4248302737639449E-4</v>
      </c>
    </row>
    <row r="342" spans="1:7" x14ac:dyDescent="0.25">
      <c r="A342" s="12">
        <v>44673</v>
      </c>
      <c r="B342" s="13">
        <v>39621.31</v>
      </c>
      <c r="C342" s="13">
        <v>39455</v>
      </c>
      <c r="D342" s="5">
        <v>10.587122383814972</v>
      </c>
      <c r="E342" s="5">
        <v>10.582916060955135</v>
      </c>
      <c r="F342" s="5">
        <v>-2.4781431259079056E-2</v>
      </c>
      <c r="G342" s="5">
        <v>-4.4369111339696232E-2</v>
      </c>
    </row>
    <row r="343" spans="1:7" x14ac:dyDescent="0.25">
      <c r="A343" s="12">
        <v>44676</v>
      </c>
      <c r="B343" s="13">
        <v>40186.18</v>
      </c>
      <c r="C343" s="13">
        <v>40210</v>
      </c>
      <c r="D343" s="5">
        <v>10.601278434406318</v>
      </c>
      <c r="E343" s="5">
        <v>10.60187099989132</v>
      </c>
      <c r="F343" s="5">
        <v>1.4156050591346059E-2</v>
      </c>
      <c r="G343" s="5">
        <v>1.8954938936184718E-2</v>
      </c>
    </row>
    <row r="344" spans="1:7" x14ac:dyDescent="0.25">
      <c r="A344" s="12">
        <v>44677</v>
      </c>
      <c r="B344" s="13">
        <v>38123.519999999997</v>
      </c>
      <c r="C344" s="13">
        <v>38220</v>
      </c>
      <c r="D344" s="5">
        <v>10.548586693484079</v>
      </c>
      <c r="E344" s="5">
        <v>10.551114217794265</v>
      </c>
      <c r="F344" s="5">
        <v>-5.2691740922238495E-2</v>
      </c>
      <c r="G344" s="5">
        <v>-5.0756782097055364E-2</v>
      </c>
    </row>
    <row r="345" spans="1:7" x14ac:dyDescent="0.25">
      <c r="A345" s="12">
        <v>44678</v>
      </c>
      <c r="B345" s="13">
        <v>39106.93</v>
      </c>
      <c r="C345" s="13">
        <v>38900</v>
      </c>
      <c r="D345" s="5">
        <v>10.574054968120347</v>
      </c>
      <c r="E345" s="5">
        <v>10.568749529606537</v>
      </c>
      <c r="F345" s="5">
        <v>2.5468274636267552E-2</v>
      </c>
      <c r="G345" s="5">
        <v>1.7635311812272292E-2</v>
      </c>
    </row>
    <row r="346" spans="1:7" x14ac:dyDescent="0.25">
      <c r="A346" s="12">
        <v>44679</v>
      </c>
      <c r="B346" s="13">
        <v>39889.269999999997</v>
      </c>
      <c r="C346" s="13">
        <v>39920</v>
      </c>
      <c r="D346" s="5">
        <v>10.593862644406103</v>
      </c>
      <c r="E346" s="5">
        <v>10.594632730425401</v>
      </c>
      <c r="F346" s="5">
        <v>1.9807676285756415E-2</v>
      </c>
      <c r="G346" s="5">
        <v>2.5883200818864083E-2</v>
      </c>
    </row>
    <row r="347" spans="1:7" x14ac:dyDescent="0.25">
      <c r="A347" s="12">
        <v>44680</v>
      </c>
      <c r="B347" s="13">
        <v>38560.04</v>
      </c>
      <c r="C347" s="13">
        <v>38997.339999999997</v>
      </c>
      <c r="D347" s="5">
        <v>10.559971786068342</v>
      </c>
      <c r="E347" s="5">
        <v>10.571248717657502</v>
      </c>
      <c r="F347" s="5">
        <v>-3.3890858337761287E-2</v>
      </c>
      <c r="G347" s="5">
        <v>-2.338401276789881E-2</v>
      </c>
    </row>
    <row r="348" spans="1:7" x14ac:dyDescent="0.25">
      <c r="A348" s="12">
        <v>44683</v>
      </c>
      <c r="B348" s="13">
        <v>38312.410000000003</v>
      </c>
      <c r="C348" s="13">
        <v>38540</v>
      </c>
      <c r="D348" s="5">
        <v>10.553529143573035</v>
      </c>
      <c r="E348" s="5">
        <v>10.559451941968357</v>
      </c>
      <c r="F348" s="5">
        <v>-6.442642495306572E-3</v>
      </c>
      <c r="G348" s="5">
        <v>-1.1796775689145278E-2</v>
      </c>
    </row>
    <row r="349" spans="1:7" x14ac:dyDescent="0.25">
      <c r="A349" s="12">
        <v>44684</v>
      </c>
      <c r="B349" s="13">
        <v>37784.82</v>
      </c>
      <c r="C349" s="13">
        <v>37635</v>
      </c>
      <c r="D349" s="5">
        <v>10.539662713648317</v>
      </c>
      <c r="E349" s="5">
        <v>10.535689747468632</v>
      </c>
      <c r="F349" s="5">
        <v>-1.3866429924718204E-2</v>
      </c>
      <c r="G349" s="5">
        <v>-2.3762194499724387E-2</v>
      </c>
    </row>
    <row r="350" spans="1:7" x14ac:dyDescent="0.25">
      <c r="A350" s="12">
        <v>44685</v>
      </c>
      <c r="B350" s="13">
        <v>39800.33</v>
      </c>
      <c r="C350" s="13">
        <v>39900</v>
      </c>
      <c r="D350" s="5">
        <v>10.591630482695441</v>
      </c>
      <c r="E350" s="5">
        <v>10.594131602877955</v>
      </c>
      <c r="F350" s="5">
        <v>5.1967769047124079E-2</v>
      </c>
      <c r="G350" s="5">
        <v>5.844185540932223E-2</v>
      </c>
    </row>
    <row r="351" spans="1:7" x14ac:dyDescent="0.25">
      <c r="A351" s="12">
        <v>44686</v>
      </c>
      <c r="B351" s="13">
        <v>36456.019999999997</v>
      </c>
      <c r="C351" s="13">
        <v>36270</v>
      </c>
      <c r="D351" s="5">
        <v>10.503861881550108</v>
      </c>
      <c r="E351" s="5">
        <v>10.498746232276948</v>
      </c>
      <c r="F351" s="5">
        <v>-8.7768601145333136E-2</v>
      </c>
      <c r="G351" s="5">
        <v>-9.5385370601006159E-2</v>
      </c>
    </row>
    <row r="352" spans="1:7" x14ac:dyDescent="0.25">
      <c r="A352" s="12">
        <v>44687</v>
      </c>
      <c r="B352" s="13">
        <v>36077.29</v>
      </c>
      <c r="C352" s="13">
        <v>35925</v>
      </c>
      <c r="D352" s="5">
        <v>10.493418860490852</v>
      </c>
      <c r="E352" s="5">
        <v>10.489188710947225</v>
      </c>
      <c r="F352" s="5">
        <v>-1.0443021059256097E-2</v>
      </c>
      <c r="G352" s="5">
        <v>-9.5575213297234285E-3</v>
      </c>
    </row>
    <row r="353" spans="1:7" x14ac:dyDescent="0.25">
      <c r="A353" s="12">
        <v>44690</v>
      </c>
      <c r="B353" s="13">
        <v>30959.3</v>
      </c>
      <c r="C353" s="13">
        <v>30930</v>
      </c>
      <c r="D353" s="5">
        <v>10.340428717628937</v>
      </c>
      <c r="E353" s="5">
        <v>10.339481865679115</v>
      </c>
      <c r="F353" s="5">
        <v>-0.15299014286191515</v>
      </c>
      <c r="G353" s="5">
        <v>-0.14970684526810984</v>
      </c>
    </row>
    <row r="354" spans="1:7" x14ac:dyDescent="0.25">
      <c r="A354" s="12">
        <v>44691</v>
      </c>
      <c r="B354" s="13">
        <v>31000.83</v>
      </c>
      <c r="C354" s="13">
        <v>31280</v>
      </c>
      <c r="D354" s="5">
        <v>10.34176925730241</v>
      </c>
      <c r="E354" s="5">
        <v>10.350734194659248</v>
      </c>
      <c r="F354" s="5">
        <v>1.340539673472918E-3</v>
      </c>
      <c r="G354" s="5">
        <v>1.1252328980132731E-2</v>
      </c>
    </row>
    <row r="355" spans="1:7" x14ac:dyDescent="0.25">
      <c r="A355" s="12">
        <v>44692</v>
      </c>
      <c r="B355" s="13">
        <v>28402.78</v>
      </c>
      <c r="C355" s="13">
        <v>29195</v>
      </c>
      <c r="D355" s="5">
        <v>10.25424230668259</v>
      </c>
      <c r="E355" s="5">
        <v>10.281752740717637</v>
      </c>
      <c r="F355" s="5">
        <v>-8.7526950619819743E-2</v>
      </c>
      <c r="G355" s="5">
        <v>-6.8981453941610482E-2</v>
      </c>
    </row>
    <row r="356" spans="1:7" x14ac:dyDescent="0.25">
      <c r="A356" s="12">
        <v>44693</v>
      </c>
      <c r="B356" s="13">
        <v>28546.25</v>
      </c>
      <c r="C356" s="13">
        <v>28585</v>
      </c>
      <c r="D356" s="5">
        <v>10.259280857945802</v>
      </c>
      <c r="E356" s="5">
        <v>10.260637383698072</v>
      </c>
      <c r="F356" s="5">
        <v>5.0385512632118434E-3</v>
      </c>
      <c r="G356" s="5">
        <v>-2.1115357019565906E-2</v>
      </c>
    </row>
    <row r="357" spans="1:7" x14ac:dyDescent="0.25">
      <c r="A357" s="12">
        <v>44694</v>
      </c>
      <c r="B357" s="13">
        <v>29760.13</v>
      </c>
      <c r="C357" s="13">
        <v>30035</v>
      </c>
      <c r="D357" s="5">
        <v>10.300924857217057</v>
      </c>
      <c r="E357" s="5">
        <v>10.310118647284261</v>
      </c>
      <c r="F357" s="5">
        <v>4.1643999271254728E-2</v>
      </c>
      <c r="G357" s="5">
        <v>4.9481263586189428E-2</v>
      </c>
    </row>
    <row r="358" spans="1:7" x14ac:dyDescent="0.25">
      <c r="A358" s="12">
        <v>44697</v>
      </c>
      <c r="B358" s="13">
        <v>29908.75</v>
      </c>
      <c r="C358" s="13">
        <v>29505</v>
      </c>
      <c r="D358" s="5">
        <v>10.305906358707887</v>
      </c>
      <c r="E358" s="5">
        <v>10.292315019491269</v>
      </c>
      <c r="F358" s="5">
        <v>4.9815014908300981E-3</v>
      </c>
      <c r="G358" s="5">
        <v>-1.7803627792991605E-2</v>
      </c>
    </row>
    <row r="359" spans="1:7" x14ac:dyDescent="0.25">
      <c r="A359" s="12">
        <v>44698</v>
      </c>
      <c r="B359" s="13">
        <v>30077.8</v>
      </c>
      <c r="C359" s="13">
        <v>30000</v>
      </c>
      <c r="D359" s="5">
        <v>10.311542637091168</v>
      </c>
      <c r="E359" s="5">
        <v>10.308952660644293</v>
      </c>
      <c r="F359" s="5">
        <v>5.6362783832817342E-3</v>
      </c>
      <c r="G359" s="5">
        <v>1.6637641153023353E-2</v>
      </c>
    </row>
    <row r="360" spans="1:7" x14ac:dyDescent="0.25">
      <c r="A360" s="12">
        <v>44699</v>
      </c>
      <c r="B360" s="13">
        <v>29205.89</v>
      </c>
      <c r="C360" s="13">
        <v>29185</v>
      </c>
      <c r="D360" s="5">
        <v>10.282125680243944</v>
      </c>
      <c r="E360" s="5">
        <v>10.281410157637891</v>
      </c>
      <c r="F360" s="5">
        <v>-2.9416956847224895E-2</v>
      </c>
      <c r="G360" s="5">
        <v>-2.7542503006401375E-2</v>
      </c>
    </row>
    <row r="361" spans="1:7" x14ac:dyDescent="0.25">
      <c r="A361" s="12">
        <v>44700</v>
      </c>
      <c r="B361" s="13">
        <v>30231.08</v>
      </c>
      <c r="C361" s="13">
        <v>29945</v>
      </c>
      <c r="D361" s="5">
        <v>10.316625813235243</v>
      </c>
      <c r="E361" s="5">
        <v>10.307117644698563</v>
      </c>
      <c r="F361" s="5">
        <v>3.4500132991299282E-2</v>
      </c>
      <c r="G361" s="5">
        <v>2.5707487060671497E-2</v>
      </c>
    </row>
    <row r="362" spans="1:7" x14ac:dyDescent="0.25">
      <c r="A362" s="12">
        <v>44701</v>
      </c>
      <c r="B362" s="13">
        <v>29117.13</v>
      </c>
      <c r="C362" s="13">
        <v>29260</v>
      </c>
      <c r="D362" s="5">
        <v>10.279081939761186</v>
      </c>
      <c r="E362" s="5">
        <v>10.283976674574115</v>
      </c>
      <c r="F362" s="5">
        <v>-3.7543873474056966E-2</v>
      </c>
      <c r="G362" s="5">
        <v>-2.3140970124448046E-2</v>
      </c>
    </row>
    <row r="363" spans="1:7" x14ac:dyDescent="0.25">
      <c r="A363" s="12">
        <v>44704</v>
      </c>
      <c r="B363" s="13">
        <v>29314.55</v>
      </c>
      <c r="C363" s="13">
        <v>29015</v>
      </c>
      <c r="D363" s="5">
        <v>10.28583925877734</v>
      </c>
      <c r="E363" s="5">
        <v>10.275568216624709</v>
      </c>
      <c r="F363" s="5">
        <v>6.757319016154284E-3</v>
      </c>
      <c r="G363" s="5">
        <v>-8.408457949405701E-3</v>
      </c>
    </row>
    <row r="364" spans="1:7" x14ac:dyDescent="0.25">
      <c r="A364" s="12">
        <v>44705</v>
      </c>
      <c r="B364" s="13">
        <v>29438.3</v>
      </c>
      <c r="C364" s="13">
        <v>29305</v>
      </c>
      <c r="D364" s="5">
        <v>10.290051826610313</v>
      </c>
      <c r="E364" s="5">
        <v>10.28551342891053</v>
      </c>
      <c r="F364" s="5">
        <v>4.2125678329725247E-3</v>
      </c>
      <c r="G364" s="5">
        <v>9.9452122858210146E-3</v>
      </c>
    </row>
    <row r="365" spans="1:7" x14ac:dyDescent="0.25">
      <c r="A365" s="12">
        <v>44706</v>
      </c>
      <c r="B365" s="13">
        <v>29764.46</v>
      </c>
      <c r="C365" s="13">
        <v>29535</v>
      </c>
      <c r="D365" s="5">
        <v>10.3010703433097</v>
      </c>
      <c r="E365" s="5">
        <v>10.293331279741336</v>
      </c>
      <c r="F365" s="5">
        <v>1.1018516699387249E-2</v>
      </c>
      <c r="G365" s="5">
        <v>7.8178508308059946E-3</v>
      </c>
    </row>
    <row r="366" spans="1:7" x14ac:dyDescent="0.25">
      <c r="A366" s="12">
        <v>44707</v>
      </c>
      <c r="B366" s="13">
        <v>29437.55</v>
      </c>
      <c r="C366" s="13">
        <v>29315</v>
      </c>
      <c r="D366" s="5">
        <v>10.290026349271132</v>
      </c>
      <c r="E366" s="5">
        <v>10.285854609398315</v>
      </c>
      <c r="F366" s="5">
        <v>-1.1043994038567817E-2</v>
      </c>
      <c r="G366" s="5">
        <v>-7.476670343020686E-3</v>
      </c>
    </row>
    <row r="367" spans="1:7" x14ac:dyDescent="0.25">
      <c r="A367" s="12">
        <v>44708</v>
      </c>
      <c r="B367" s="13">
        <v>28728.9</v>
      </c>
      <c r="C367" s="13">
        <v>29042.23</v>
      </c>
      <c r="D367" s="5">
        <v>10.265658863735998</v>
      </c>
      <c r="E367" s="5">
        <v>10.276506256624092</v>
      </c>
      <c r="F367" s="5">
        <v>-2.4367485535133682E-2</v>
      </c>
      <c r="G367" s="5">
        <v>-9.3483527742233008E-3</v>
      </c>
    </row>
    <row r="368" spans="1:7" x14ac:dyDescent="0.25">
      <c r="A368" s="12">
        <v>44711</v>
      </c>
      <c r="B368" s="13">
        <v>31257.74</v>
      </c>
      <c r="C368" s="17">
        <v>29042.23</v>
      </c>
      <c r="D368" s="5">
        <v>10.350022304496919</v>
      </c>
      <c r="E368" s="5">
        <v>10.276506256624092</v>
      </c>
      <c r="F368" s="5">
        <v>8.4363440760920838E-2</v>
      </c>
      <c r="G368" s="5">
        <v>0</v>
      </c>
    </row>
    <row r="369" spans="1:7" x14ac:dyDescent="0.25">
      <c r="A369" s="12">
        <v>44712</v>
      </c>
      <c r="B369" s="13">
        <v>31788.28</v>
      </c>
      <c r="C369" s="13">
        <v>31650</v>
      </c>
      <c r="D369" s="5">
        <v>10.36685294737663</v>
      </c>
      <c r="E369" s="5">
        <v>10.362493427572323</v>
      </c>
      <c r="F369" s="5">
        <v>1.6830642879710922E-2</v>
      </c>
      <c r="G369" s="5">
        <v>8.598717094823094E-2</v>
      </c>
    </row>
    <row r="370" spans="1:7" x14ac:dyDescent="0.25">
      <c r="A370" s="12">
        <v>44713</v>
      </c>
      <c r="B370" s="13">
        <v>29621.61</v>
      </c>
      <c r="C370" s="13">
        <v>30035</v>
      </c>
      <c r="D370" s="5">
        <v>10.296259441510029</v>
      </c>
      <c r="E370" s="5">
        <v>10.310118647284261</v>
      </c>
      <c r="F370" s="5">
        <v>-7.0593505866600736E-2</v>
      </c>
      <c r="G370" s="5">
        <v>-5.2374780288062084E-2</v>
      </c>
    </row>
    <row r="371" spans="1:7" x14ac:dyDescent="0.25">
      <c r="A371" s="12">
        <v>44714</v>
      </c>
      <c r="B371" s="13">
        <v>30225.18</v>
      </c>
      <c r="C371" s="13">
        <v>30290</v>
      </c>
      <c r="D371" s="5">
        <v>10.316430630800248</v>
      </c>
      <c r="E371" s="5">
        <v>10.318572904021282</v>
      </c>
      <c r="F371" s="5">
        <v>2.017118929021855E-2</v>
      </c>
      <c r="G371" s="5">
        <v>8.4542567370213817E-3</v>
      </c>
    </row>
    <row r="372" spans="1:7" x14ac:dyDescent="0.25">
      <c r="A372" s="12">
        <v>44715</v>
      </c>
      <c r="B372" s="13">
        <v>29640.5</v>
      </c>
      <c r="C372" s="13">
        <v>29535</v>
      </c>
      <c r="D372" s="5">
        <v>10.296896948363559</v>
      </c>
      <c r="E372" s="5">
        <v>10.293331279741336</v>
      </c>
      <c r="F372" s="5">
        <v>-1.9533682436689404E-2</v>
      </c>
      <c r="G372" s="5">
        <v>-2.5241624279946251E-2</v>
      </c>
    </row>
    <row r="373" spans="1:7" x14ac:dyDescent="0.25">
      <c r="A373" s="12">
        <v>44718</v>
      </c>
      <c r="B373" s="13">
        <v>31438.720000000001</v>
      </c>
      <c r="C373" s="13">
        <v>31490</v>
      </c>
      <c r="D373" s="5">
        <v>10.355795533246175</v>
      </c>
      <c r="E373" s="5">
        <v>10.357425314095071</v>
      </c>
      <c r="F373" s="5">
        <v>5.8898584882616234E-2</v>
      </c>
      <c r="G373" s="5">
        <v>6.4094034353734841E-2</v>
      </c>
    </row>
    <row r="374" spans="1:7" x14ac:dyDescent="0.25">
      <c r="A374" s="12">
        <v>44719</v>
      </c>
      <c r="B374" s="13">
        <v>31330.81</v>
      </c>
      <c r="C374" s="13">
        <v>31045</v>
      </c>
      <c r="D374" s="5">
        <v>10.352357237426268</v>
      </c>
      <c r="E374" s="5">
        <v>10.343193043798992</v>
      </c>
      <c r="F374" s="5">
        <v>-3.4382958199064007E-3</v>
      </c>
      <c r="G374" s="5">
        <v>-1.4232270296078653E-2</v>
      </c>
    </row>
    <row r="375" spans="1:7" x14ac:dyDescent="0.25">
      <c r="A375" s="12">
        <v>44720</v>
      </c>
      <c r="B375" s="13">
        <v>30179.77</v>
      </c>
      <c r="C375" s="13">
        <v>30080</v>
      </c>
      <c r="D375" s="5">
        <v>10.31492711135178</v>
      </c>
      <c r="E375" s="5">
        <v>10.311615778063777</v>
      </c>
      <c r="F375" s="5">
        <v>-3.7430126074488257E-2</v>
      </c>
      <c r="G375" s="5">
        <v>-3.1577265735215576E-2</v>
      </c>
    </row>
    <row r="376" spans="1:7" x14ac:dyDescent="0.25">
      <c r="A376" s="12">
        <v>44721</v>
      </c>
      <c r="B376" s="13">
        <v>30161.34</v>
      </c>
      <c r="C376" s="13">
        <v>29945</v>
      </c>
      <c r="D376" s="5">
        <v>10.314316250843145</v>
      </c>
      <c r="E376" s="5">
        <v>10.307117644698563</v>
      </c>
      <c r="F376" s="5">
        <v>-6.1086050863501384E-4</v>
      </c>
      <c r="G376" s="5">
        <v>-4.4981333652138744E-3</v>
      </c>
    </row>
    <row r="377" spans="1:7" x14ac:dyDescent="0.25">
      <c r="A377" s="12">
        <v>44722</v>
      </c>
      <c r="B377" s="13">
        <v>29177.39</v>
      </c>
      <c r="C377" s="13">
        <v>28920</v>
      </c>
      <c r="D377" s="5">
        <v>10.281149373251127</v>
      </c>
      <c r="E377" s="5">
        <v>10.272288676272701</v>
      </c>
      <c r="F377" s="5">
        <v>-3.3166877592018196E-2</v>
      </c>
      <c r="G377" s="5">
        <v>-3.4828968425861362E-2</v>
      </c>
    </row>
    <row r="378" spans="1:7" x14ac:dyDescent="0.25">
      <c r="A378" s="12">
        <v>44725</v>
      </c>
      <c r="B378" s="13">
        <v>23209.61</v>
      </c>
      <c r="C378" s="13">
        <v>23110</v>
      </c>
      <c r="D378" s="5">
        <v>10.052321696025198</v>
      </c>
      <c r="E378" s="5">
        <v>10.048020703268426</v>
      </c>
      <c r="F378" s="5">
        <v>-0.22882767722592945</v>
      </c>
      <c r="G378" s="5">
        <v>-0.22426797300427559</v>
      </c>
    </row>
    <row r="379" spans="1:7" x14ac:dyDescent="0.25">
      <c r="A379" s="12">
        <v>44726</v>
      </c>
      <c r="B379" s="13">
        <v>21966.38</v>
      </c>
      <c r="C379" s="13">
        <v>22125</v>
      </c>
      <c r="D379" s="5">
        <v>9.9972683816614634</v>
      </c>
      <c r="E379" s="5">
        <v>10.00446346987613</v>
      </c>
      <c r="F379" s="5">
        <v>-5.5053314363734174E-2</v>
      </c>
      <c r="G379" s="5">
        <v>-4.3557233392295558E-2</v>
      </c>
    </row>
    <row r="380" spans="1:7" x14ac:dyDescent="0.25">
      <c r="A380" s="12">
        <v>44727</v>
      </c>
      <c r="B380" s="13">
        <v>21640.29</v>
      </c>
      <c r="C380" s="13">
        <v>21625</v>
      </c>
      <c r="D380" s="5">
        <v>9.982312133979681</v>
      </c>
      <c r="E380" s="5">
        <v>9.9816053318000808</v>
      </c>
      <c r="F380" s="5">
        <v>-1.4956247681782386E-2</v>
      </c>
      <c r="G380" s="5">
        <v>-2.2858138076049528E-2</v>
      </c>
    </row>
    <row r="381" spans="1:7" x14ac:dyDescent="0.25">
      <c r="A381" s="12">
        <v>44728</v>
      </c>
      <c r="B381" s="13">
        <v>20677.240000000002</v>
      </c>
      <c r="C381" s="13">
        <v>20790</v>
      </c>
      <c r="D381" s="5">
        <v>9.9367888574330845</v>
      </c>
      <c r="E381" s="5">
        <v>9.9422273808520583</v>
      </c>
      <c r="F381" s="5">
        <v>-4.5523276546596492E-2</v>
      </c>
      <c r="G381" s="5">
        <v>-3.9377950948022544E-2</v>
      </c>
    </row>
    <row r="382" spans="1:7" x14ac:dyDescent="0.25">
      <c r="A382" s="12">
        <v>44729</v>
      </c>
      <c r="B382" s="13">
        <v>20630.54</v>
      </c>
      <c r="C382" s="13">
        <v>20470</v>
      </c>
      <c r="D382" s="5">
        <v>9.9345277811953387</v>
      </c>
      <c r="E382" s="5">
        <v>9.9267156786553343</v>
      </c>
      <c r="F382" s="5">
        <v>-2.2610762377457405E-3</v>
      </c>
      <c r="G382" s="5">
        <v>-1.5511702196723931E-2</v>
      </c>
    </row>
    <row r="383" spans="1:7" x14ac:dyDescent="0.25">
      <c r="A383" s="12">
        <v>44732</v>
      </c>
      <c r="B383" s="13">
        <v>20427.23</v>
      </c>
      <c r="C383" s="17">
        <v>20470</v>
      </c>
      <c r="D383" s="5">
        <v>9.9246240936950691</v>
      </c>
      <c r="E383" s="5">
        <v>9.9267156786553343</v>
      </c>
      <c r="F383" s="5">
        <v>-9.9036875002695979E-3</v>
      </c>
      <c r="G383" s="5">
        <v>0</v>
      </c>
    </row>
    <row r="384" spans="1:7" x14ac:dyDescent="0.25">
      <c r="A384" s="12">
        <v>44733</v>
      </c>
      <c r="B384" s="13">
        <v>20838.45</v>
      </c>
      <c r="C384" s="13">
        <v>20860</v>
      </c>
      <c r="D384" s="5">
        <v>9.9445551169016397</v>
      </c>
      <c r="E384" s="5">
        <v>9.9455887285547639</v>
      </c>
      <c r="F384" s="5">
        <v>1.9931023206570586E-2</v>
      </c>
      <c r="G384" s="5">
        <v>1.8873049899429617E-2</v>
      </c>
    </row>
    <row r="385" spans="1:7" x14ac:dyDescent="0.25">
      <c r="A385" s="12">
        <v>44734</v>
      </c>
      <c r="B385" s="13">
        <v>19857.05</v>
      </c>
      <c r="C385" s="13">
        <v>20105</v>
      </c>
      <c r="D385" s="5">
        <v>9.8963143867875889</v>
      </c>
      <c r="E385" s="5">
        <v>9.9087238193313745</v>
      </c>
      <c r="F385" s="5">
        <v>-4.8240730114050834E-2</v>
      </c>
      <c r="G385" s="5">
        <v>-3.6864909223389475E-2</v>
      </c>
    </row>
    <row r="386" spans="1:7" x14ac:dyDescent="0.25">
      <c r="A386" s="12">
        <v>44735</v>
      </c>
      <c r="B386" s="13">
        <v>20795.38</v>
      </c>
      <c r="C386" s="13">
        <v>20900</v>
      </c>
      <c r="D386" s="5">
        <v>9.9424861256335184</v>
      </c>
      <c r="E386" s="5">
        <v>9.9475044379529027</v>
      </c>
      <c r="F386" s="5">
        <v>4.6171738845929511E-2</v>
      </c>
      <c r="G386" s="5">
        <v>3.8780618621528262E-2</v>
      </c>
    </row>
    <row r="387" spans="1:7" x14ac:dyDescent="0.25">
      <c r="A387" s="12">
        <v>44736</v>
      </c>
      <c r="B387" s="13">
        <v>21183.82</v>
      </c>
      <c r="C387" s="13">
        <v>21206.9</v>
      </c>
      <c r="D387" s="5">
        <v>9.9609929617217841</v>
      </c>
      <c r="E387" s="5">
        <v>9.9620818794037937</v>
      </c>
      <c r="F387" s="5">
        <v>1.8506836088265644E-2</v>
      </c>
      <c r="G387" s="5">
        <v>1.4577441450891016E-2</v>
      </c>
    </row>
    <row r="388" spans="1:7" x14ac:dyDescent="0.25">
      <c r="A388" s="12">
        <v>44739</v>
      </c>
      <c r="B388" s="13">
        <v>20898.650000000001</v>
      </c>
      <c r="C388" s="13">
        <v>20800</v>
      </c>
      <c r="D388" s="5">
        <v>9.9474398425652293</v>
      </c>
      <c r="E388" s="5">
        <v>9.9427082656894097</v>
      </c>
      <c r="F388" s="5">
        <v>-1.3553119156554772E-2</v>
      </c>
      <c r="G388" s="5">
        <v>-1.9373613714384064E-2</v>
      </c>
    </row>
    <row r="389" spans="1:7" x14ac:dyDescent="0.25">
      <c r="A389" s="12">
        <v>44740</v>
      </c>
      <c r="B389" s="13">
        <v>20247.7</v>
      </c>
      <c r="C389" s="13">
        <v>20175</v>
      </c>
      <c r="D389" s="5">
        <v>9.9157964858370473</v>
      </c>
      <c r="E389" s="5">
        <v>9.9121994931381501</v>
      </c>
      <c r="F389" s="5">
        <v>-3.1643356728181971E-2</v>
      </c>
      <c r="G389" s="5">
        <v>-3.0508772551259611E-2</v>
      </c>
    </row>
    <row r="390" spans="1:7" x14ac:dyDescent="0.25">
      <c r="A390" s="12">
        <v>44741</v>
      </c>
      <c r="B390" s="13">
        <v>20197.75</v>
      </c>
      <c r="C390" s="13">
        <v>20185</v>
      </c>
      <c r="D390" s="5">
        <v>9.9133264910467851</v>
      </c>
      <c r="E390" s="5">
        <v>9.9126950332870418</v>
      </c>
      <c r="F390" s="5">
        <v>-2.4699947902622199E-3</v>
      </c>
      <c r="G390" s="5">
        <v>4.955401488917488E-4</v>
      </c>
    </row>
    <row r="391" spans="1:7" x14ac:dyDescent="0.25">
      <c r="A391" s="12">
        <v>44742</v>
      </c>
      <c r="B391" s="13">
        <v>18731.3</v>
      </c>
      <c r="C391" s="13">
        <v>18760</v>
      </c>
      <c r="D391" s="5">
        <v>9.8379512003974128</v>
      </c>
      <c r="E391" s="5">
        <v>9.8394822225602159</v>
      </c>
      <c r="F391" s="5">
        <v>-7.5375290649372317E-2</v>
      </c>
      <c r="G391" s="5">
        <v>-7.321281072682595E-2</v>
      </c>
    </row>
    <row r="392" spans="1:7" x14ac:dyDescent="0.25">
      <c r="A392" s="12">
        <v>44743</v>
      </c>
      <c r="B392" s="13">
        <v>19406.689999999999</v>
      </c>
      <c r="C392" s="13">
        <v>19315</v>
      </c>
      <c r="D392" s="5">
        <v>9.8733731309667494</v>
      </c>
      <c r="E392" s="5">
        <v>9.8686372751003812</v>
      </c>
      <c r="F392" s="5">
        <v>3.5421930569336624E-2</v>
      </c>
      <c r="G392" s="5">
        <v>2.9155052540165372E-2</v>
      </c>
    </row>
    <row r="393" spans="1:7" x14ac:dyDescent="0.25">
      <c r="A393" s="12">
        <v>44746</v>
      </c>
      <c r="B393" s="13">
        <v>19755.849999999999</v>
      </c>
      <c r="C393" s="17">
        <v>19315</v>
      </c>
      <c r="D393" s="5">
        <v>9.8912049290016046</v>
      </c>
      <c r="E393" s="5">
        <v>9.8686372751003812</v>
      </c>
      <c r="F393" s="5">
        <v>1.783179803485524E-2</v>
      </c>
      <c r="G393" s="5">
        <v>0</v>
      </c>
    </row>
    <row r="394" spans="1:7" x14ac:dyDescent="0.25">
      <c r="A394" s="12">
        <v>44747</v>
      </c>
      <c r="B394" s="13">
        <v>20441.63</v>
      </c>
      <c r="C394" s="13">
        <v>20390</v>
      </c>
      <c r="D394" s="5">
        <v>9.9253287867349993</v>
      </c>
      <c r="E394" s="5">
        <v>9.9227998635685015</v>
      </c>
      <c r="F394" s="5">
        <v>3.4123857733394658E-2</v>
      </c>
      <c r="G394" s="5">
        <v>5.4162588468120276E-2</v>
      </c>
    </row>
    <row r="395" spans="1:7" x14ac:dyDescent="0.25">
      <c r="A395" s="12">
        <v>44748</v>
      </c>
      <c r="B395" s="13">
        <v>20380</v>
      </c>
      <c r="C395" s="13">
        <v>20275</v>
      </c>
      <c r="D395" s="5">
        <v>9.9223093067767163</v>
      </c>
      <c r="E395" s="5">
        <v>9.9171438789836142</v>
      </c>
      <c r="F395" s="5">
        <v>-3.0194799582830001E-3</v>
      </c>
      <c r="G395" s="5">
        <v>-5.6559845848873636E-3</v>
      </c>
    </row>
    <row r="396" spans="1:7" x14ac:dyDescent="0.25">
      <c r="A396" s="12">
        <v>44749</v>
      </c>
      <c r="B396" s="13">
        <v>21610.58</v>
      </c>
      <c r="C396" s="13">
        <v>21855</v>
      </c>
      <c r="D396" s="5">
        <v>9.9809382885669518</v>
      </c>
      <c r="E396" s="5">
        <v>9.9921850072974152</v>
      </c>
      <c r="F396" s="5">
        <v>5.8628981790235457E-2</v>
      </c>
      <c r="G396" s="5">
        <v>7.5041128313801053E-2</v>
      </c>
    </row>
    <row r="397" spans="1:7" x14ac:dyDescent="0.25">
      <c r="A397" s="12">
        <v>44750</v>
      </c>
      <c r="B397" s="13">
        <v>21846.53</v>
      </c>
      <c r="C397" s="13">
        <v>21765</v>
      </c>
      <c r="D397" s="5">
        <v>9.9917973778434312</v>
      </c>
      <c r="E397" s="5">
        <v>9.9880584539863975</v>
      </c>
      <c r="F397" s="5">
        <v>1.0859089276479494E-2</v>
      </c>
      <c r="G397" s="5">
        <v>-4.1265533110177444E-3</v>
      </c>
    </row>
    <row r="398" spans="1:7" x14ac:dyDescent="0.25">
      <c r="A398" s="12">
        <v>44753</v>
      </c>
      <c r="B398" s="13">
        <v>20409.54</v>
      </c>
      <c r="C398" s="13">
        <v>20455</v>
      </c>
      <c r="D398" s="5">
        <v>9.923757717578324</v>
      </c>
      <c r="E398" s="5">
        <v>9.9259826303634995</v>
      </c>
      <c r="F398" s="5">
        <v>-6.8039660265107216E-2</v>
      </c>
      <c r="G398" s="5">
        <v>-6.2075823622897985E-2</v>
      </c>
    </row>
    <row r="399" spans="1:7" x14ac:dyDescent="0.25">
      <c r="A399" s="12">
        <v>44754</v>
      </c>
      <c r="B399" s="13">
        <v>19443.28</v>
      </c>
      <c r="C399" s="13">
        <v>19315</v>
      </c>
      <c r="D399" s="5">
        <v>9.8752567880619253</v>
      </c>
      <c r="E399" s="5">
        <v>9.8686372751003812</v>
      </c>
      <c r="F399" s="5">
        <v>-4.8500929516398728E-2</v>
      </c>
      <c r="G399" s="5">
        <v>-5.7345355263118236E-2</v>
      </c>
    </row>
    <row r="400" spans="1:7" x14ac:dyDescent="0.25">
      <c r="A400" s="12">
        <v>44755</v>
      </c>
      <c r="B400" s="13">
        <v>19657.009999999998</v>
      </c>
      <c r="C400" s="13">
        <v>19615</v>
      </c>
      <c r="D400" s="5">
        <v>9.8861892966822964</v>
      </c>
      <c r="E400" s="5">
        <v>9.8840498586436532</v>
      </c>
      <c r="F400" s="5">
        <v>1.0932508620371095E-2</v>
      </c>
      <c r="G400" s="5">
        <v>1.5412583543271907E-2</v>
      </c>
    </row>
    <row r="401" spans="1:7" x14ac:dyDescent="0.25">
      <c r="A401" s="12">
        <v>44756</v>
      </c>
      <c r="B401" s="13">
        <v>20667.93</v>
      </c>
      <c r="C401" s="13">
        <v>20625</v>
      </c>
      <c r="D401" s="5">
        <v>9.936338502523073</v>
      </c>
      <c r="E401" s="5">
        <v>9.9342592112028818</v>
      </c>
      <c r="F401" s="5">
        <v>5.0149205840776645E-2</v>
      </c>
      <c r="G401" s="5">
        <v>5.0209352559228648E-2</v>
      </c>
    </row>
    <row r="402" spans="1:7" x14ac:dyDescent="0.25">
      <c r="A402" s="12">
        <v>44757</v>
      </c>
      <c r="B402" s="13">
        <v>20926.53</v>
      </c>
      <c r="C402" s="13">
        <v>21190</v>
      </c>
      <c r="D402" s="5">
        <v>9.9487730109642349</v>
      </c>
      <c r="E402" s="5">
        <v>9.9612846512623445</v>
      </c>
      <c r="F402" s="5">
        <v>1.2434508441161896E-2</v>
      </c>
      <c r="G402" s="5">
        <v>2.7025440059462724E-2</v>
      </c>
    </row>
    <row r="403" spans="1:7" x14ac:dyDescent="0.25">
      <c r="A403" s="12">
        <v>44760</v>
      </c>
      <c r="B403" s="13">
        <v>21487.97</v>
      </c>
      <c r="C403" s="13">
        <v>21620</v>
      </c>
      <c r="D403" s="5">
        <v>9.9752485226339722</v>
      </c>
      <c r="E403" s="5">
        <v>9.9813740911931994</v>
      </c>
      <c r="F403" s="5">
        <v>2.6475511669737273E-2</v>
      </c>
      <c r="G403" s="5">
        <v>2.008943993085488E-2</v>
      </c>
    </row>
    <row r="404" spans="1:7" x14ac:dyDescent="0.25">
      <c r="A404" s="12">
        <v>44761</v>
      </c>
      <c r="B404" s="13">
        <v>23304.71</v>
      </c>
      <c r="C404" s="13">
        <v>23460</v>
      </c>
      <c r="D404" s="5">
        <v>10.056410765047804</v>
      </c>
      <c r="E404" s="5">
        <v>10.063052122207466</v>
      </c>
      <c r="F404" s="5">
        <v>8.1162242413832075E-2</v>
      </c>
      <c r="G404" s="5">
        <v>8.167803101426685E-2</v>
      </c>
    </row>
    <row r="405" spans="1:7" x14ac:dyDescent="0.25">
      <c r="A405" s="12">
        <v>44762</v>
      </c>
      <c r="B405" s="13">
        <v>23258.12</v>
      </c>
      <c r="C405" s="13">
        <v>23695</v>
      </c>
      <c r="D405" s="5">
        <v>10.054409597354685</v>
      </c>
      <c r="E405" s="5">
        <v>10.073019334401689</v>
      </c>
      <c r="F405" s="5">
        <v>-2.0011676931197542E-3</v>
      </c>
      <c r="G405" s="5">
        <v>9.9672121942226966E-3</v>
      </c>
    </row>
    <row r="406" spans="1:7" x14ac:dyDescent="0.25">
      <c r="A406" s="12">
        <v>44763</v>
      </c>
      <c r="B406" s="13">
        <v>23123.88</v>
      </c>
      <c r="C406" s="13">
        <v>23230</v>
      </c>
      <c r="D406" s="5">
        <v>10.048621128775306</v>
      </c>
      <c r="E406" s="5">
        <v>10.053199825764455</v>
      </c>
      <c r="F406" s="5">
        <v>-5.7884685793787582E-3</v>
      </c>
      <c r="G406" s="5">
        <v>-1.9819508637233696E-2</v>
      </c>
    </row>
    <row r="407" spans="1:7" x14ac:dyDescent="0.25">
      <c r="A407" s="12">
        <v>44764</v>
      </c>
      <c r="B407" s="13">
        <v>22605.38</v>
      </c>
      <c r="C407" s="13">
        <v>22615</v>
      </c>
      <c r="D407" s="5">
        <v>10.025943210027579</v>
      </c>
      <c r="E407" s="5">
        <v>10.026368681911944</v>
      </c>
      <c r="F407" s="5">
        <v>-2.2677918747726622E-2</v>
      </c>
      <c r="G407" s="5">
        <v>-2.683114385251173E-2</v>
      </c>
    </row>
    <row r="408" spans="1:7" x14ac:dyDescent="0.25">
      <c r="A408" s="12">
        <v>44767</v>
      </c>
      <c r="B408" s="13">
        <v>22171.68</v>
      </c>
      <c r="C408" s="13">
        <v>21885</v>
      </c>
      <c r="D408" s="5">
        <v>10.006571077817828</v>
      </c>
      <c r="E408" s="5">
        <v>9.9935567496249949</v>
      </c>
      <c r="F408" s="5">
        <v>-1.9372132209751314E-2</v>
      </c>
      <c r="G408" s="5">
        <v>-3.2811932286948675E-2</v>
      </c>
    </row>
    <row r="409" spans="1:7" x14ac:dyDescent="0.25">
      <c r="A409" s="12">
        <v>44768</v>
      </c>
      <c r="B409" s="13">
        <v>20985.62</v>
      </c>
      <c r="C409" s="13">
        <v>20915</v>
      </c>
      <c r="D409" s="5">
        <v>9.9515927202442818</v>
      </c>
      <c r="E409" s="5">
        <v>9.9482218838762986</v>
      </c>
      <c r="F409" s="5">
        <v>-5.4978357573546077E-2</v>
      </c>
      <c r="G409" s="5">
        <v>-4.5334865748696274E-2</v>
      </c>
    </row>
    <row r="410" spans="1:7" x14ac:dyDescent="0.25">
      <c r="A410" s="12">
        <v>44769</v>
      </c>
      <c r="B410" s="13">
        <v>22784.97</v>
      </c>
      <c r="C410" s="13">
        <v>22780</v>
      </c>
      <c r="D410" s="5">
        <v>10.033856387041421</v>
      </c>
      <c r="E410" s="5">
        <v>10.033638237001172</v>
      </c>
      <c r="F410" s="5">
        <v>8.2263666797139479E-2</v>
      </c>
      <c r="G410" s="5">
        <v>8.5416353124873723E-2</v>
      </c>
    </row>
    <row r="411" spans="1:7" x14ac:dyDescent="0.25">
      <c r="A411" s="12">
        <v>44770</v>
      </c>
      <c r="B411" s="13">
        <v>24033.74</v>
      </c>
      <c r="C411" s="13">
        <v>23805</v>
      </c>
      <c r="D411" s="5">
        <v>10.087213955404907</v>
      </c>
      <c r="E411" s="5">
        <v>10.077650921628619</v>
      </c>
      <c r="F411" s="5">
        <v>5.3357568363486152E-2</v>
      </c>
      <c r="G411" s="5">
        <v>4.4012684627446674E-2</v>
      </c>
    </row>
    <row r="412" spans="1:7" x14ac:dyDescent="0.25">
      <c r="A412" s="12">
        <v>44771</v>
      </c>
      <c r="B412" s="13">
        <v>23951.94</v>
      </c>
      <c r="C412" s="13">
        <v>24082.45</v>
      </c>
      <c r="D412" s="5">
        <v>10.083804601646252</v>
      </c>
      <c r="E412" s="5">
        <v>10.089238638433216</v>
      </c>
      <c r="F412" s="5">
        <v>-3.4093537586556977E-3</v>
      </c>
      <c r="G412" s="5">
        <v>1.1587716804596582E-2</v>
      </c>
    </row>
    <row r="413" spans="1:7" x14ac:dyDescent="0.25">
      <c r="A413" s="12">
        <v>44774</v>
      </c>
      <c r="B413" s="13">
        <v>23129.11</v>
      </c>
      <c r="C413" s="13">
        <v>23030</v>
      </c>
      <c r="D413" s="5">
        <v>10.048847276318298</v>
      </c>
      <c r="E413" s="5">
        <v>10.044552992814731</v>
      </c>
      <c r="F413" s="5">
        <v>-3.495732532795337E-2</v>
      </c>
      <c r="G413" s="5">
        <v>-4.4685645618484315E-2</v>
      </c>
    </row>
    <row r="414" spans="1:7" x14ac:dyDescent="0.25">
      <c r="A414" s="12">
        <v>44775</v>
      </c>
      <c r="B414" s="13">
        <v>23029.66</v>
      </c>
      <c r="C414" s="13">
        <v>23000</v>
      </c>
      <c r="D414" s="5">
        <v>10.044538229353602</v>
      </c>
      <c r="E414" s="5">
        <v>10.043249494911286</v>
      </c>
      <c r="F414" s="5">
        <v>-4.3090469646962504E-3</v>
      </c>
      <c r="G414" s="5">
        <v>-1.3034979034447502E-3</v>
      </c>
    </row>
    <row r="415" spans="1:7" x14ac:dyDescent="0.25">
      <c r="A415" s="12">
        <v>44776</v>
      </c>
      <c r="B415" s="13">
        <v>23327.08</v>
      </c>
      <c r="C415" s="13">
        <v>23540</v>
      </c>
      <c r="D415" s="5">
        <v>10.057370196444969</v>
      </c>
      <c r="E415" s="5">
        <v>10.066456380814268</v>
      </c>
      <c r="F415" s="5">
        <v>1.2831967091367247E-2</v>
      </c>
      <c r="G415" s="5">
        <v>2.3206885902981256E-2</v>
      </c>
    </row>
    <row r="416" spans="1:7" x14ac:dyDescent="0.25">
      <c r="A416" s="12">
        <v>44777</v>
      </c>
      <c r="B416" s="13">
        <v>22513.58</v>
      </c>
      <c r="C416" s="13">
        <v>22455</v>
      </c>
      <c r="D416" s="5">
        <v>10.021873961681667</v>
      </c>
      <c r="E416" s="5">
        <v>10.019268585521839</v>
      </c>
      <c r="F416" s="5">
        <v>-3.5496234763302326E-2</v>
      </c>
      <c r="G416" s="5">
        <v>-4.7187795292428447E-2</v>
      </c>
    </row>
    <row r="417" spans="1:7" x14ac:dyDescent="0.25">
      <c r="A417" s="12">
        <v>44778</v>
      </c>
      <c r="B417" s="13">
        <v>22985.34</v>
      </c>
      <c r="C417" s="13">
        <v>22960</v>
      </c>
      <c r="D417" s="5">
        <v>10.042611900386744</v>
      </c>
      <c r="E417" s="5">
        <v>10.041508850433503</v>
      </c>
      <c r="F417" s="5">
        <v>2.0737938705076786E-2</v>
      </c>
      <c r="G417" s="5">
        <v>2.2240264911664198E-2</v>
      </c>
    </row>
    <row r="418" spans="1:7" x14ac:dyDescent="0.25">
      <c r="A418" s="12">
        <v>44781</v>
      </c>
      <c r="B418" s="13">
        <v>24072.39</v>
      </c>
      <c r="C418" s="13">
        <v>23985</v>
      </c>
      <c r="D418" s="5">
        <v>10.088820819574453</v>
      </c>
      <c r="E418" s="5">
        <v>10.085183913936165</v>
      </c>
      <c r="F418" s="5">
        <v>4.6208919187709085E-2</v>
      </c>
      <c r="G418" s="5">
        <v>4.367506350266126E-2</v>
      </c>
    </row>
    <row r="419" spans="1:7" x14ac:dyDescent="0.25">
      <c r="A419" s="12">
        <v>44782</v>
      </c>
      <c r="B419" s="13">
        <v>23144.84</v>
      </c>
      <c r="C419" s="13">
        <v>23060</v>
      </c>
      <c r="D419" s="5">
        <v>10.049527140501317</v>
      </c>
      <c r="E419" s="5">
        <v>10.04585479382305</v>
      </c>
      <c r="F419" s="5">
        <v>-3.929367907313619E-2</v>
      </c>
      <c r="G419" s="5">
        <v>-3.9329120113114513E-2</v>
      </c>
    </row>
    <row r="420" spans="1:7" x14ac:dyDescent="0.25">
      <c r="A420" s="12">
        <v>44783</v>
      </c>
      <c r="B420" s="13">
        <v>23904.94</v>
      </c>
      <c r="C420" s="13">
        <v>23655</v>
      </c>
      <c r="D420" s="5">
        <v>10.081840411121894</v>
      </c>
      <c r="E420" s="5">
        <v>10.071329788065249</v>
      </c>
      <c r="F420" s="5">
        <v>3.2313270620576873E-2</v>
      </c>
      <c r="G420" s="5">
        <v>2.547499424219879E-2</v>
      </c>
    </row>
    <row r="421" spans="1:7" x14ac:dyDescent="0.25">
      <c r="A421" s="12">
        <v>44784</v>
      </c>
      <c r="B421" s="13">
        <v>24216.28</v>
      </c>
      <c r="C421" s="13">
        <v>24245</v>
      </c>
      <c r="D421" s="5">
        <v>10.094780413237945</v>
      </c>
      <c r="E421" s="5">
        <v>10.095965689539453</v>
      </c>
      <c r="F421" s="5">
        <v>1.294000211605173E-2</v>
      </c>
      <c r="G421" s="5">
        <v>2.4635901474203692E-2</v>
      </c>
    </row>
    <row r="422" spans="1:7" x14ac:dyDescent="0.25">
      <c r="A422" s="12">
        <v>44785</v>
      </c>
      <c r="B422" s="13">
        <v>24240.76</v>
      </c>
      <c r="C422" s="13">
        <v>24240</v>
      </c>
      <c r="D422" s="5">
        <v>10.095790792827065</v>
      </c>
      <c r="E422" s="5">
        <v>10.095759440183251</v>
      </c>
      <c r="F422" s="5">
        <v>1.0103795891200917E-3</v>
      </c>
      <c r="G422" s="5">
        <v>-2.0624935620183749E-4</v>
      </c>
    </row>
    <row r="423" spans="1:7" x14ac:dyDescent="0.25">
      <c r="A423" s="12">
        <v>44788</v>
      </c>
      <c r="B423" s="13">
        <v>24074.01</v>
      </c>
      <c r="C423" s="13">
        <v>24000</v>
      </c>
      <c r="D423" s="5">
        <v>10.088888114325487</v>
      </c>
      <c r="E423" s="5">
        <v>10.085809109330082</v>
      </c>
      <c r="F423" s="5">
        <v>-6.9026785015786629E-3</v>
      </c>
      <c r="G423" s="5">
        <v>-9.9503308531687651E-3</v>
      </c>
    </row>
    <row r="424" spans="1:7" x14ac:dyDescent="0.25">
      <c r="A424" s="12">
        <v>44789</v>
      </c>
      <c r="B424" s="13">
        <v>23984.02</v>
      </c>
      <c r="C424" s="13">
        <v>23945</v>
      </c>
      <c r="D424" s="5">
        <v>10.08514305423129</v>
      </c>
      <c r="E424" s="5">
        <v>10.083514812776709</v>
      </c>
      <c r="F424" s="5">
        <v>-3.7450600941966172E-3</v>
      </c>
      <c r="G424" s="5">
        <v>-2.2942965533729875E-3</v>
      </c>
    </row>
    <row r="425" spans="1:7" x14ac:dyDescent="0.25">
      <c r="A425" s="12">
        <v>44790</v>
      </c>
      <c r="B425" s="13">
        <v>23407.4</v>
      </c>
      <c r="C425" s="13">
        <v>23230</v>
      </c>
      <c r="D425" s="5">
        <v>10.060807490668919</v>
      </c>
      <c r="E425" s="5">
        <v>10.053199825764455</v>
      </c>
      <c r="F425" s="5">
        <v>-2.4335563562370766E-2</v>
      </c>
      <c r="G425" s="5">
        <v>-3.031498701225388E-2</v>
      </c>
    </row>
    <row r="426" spans="1:7" x14ac:dyDescent="0.25">
      <c r="A426" s="12">
        <v>44791</v>
      </c>
      <c r="B426" s="13">
        <v>23416.76</v>
      </c>
      <c r="C426" s="13">
        <v>23335</v>
      </c>
      <c r="D426" s="5">
        <v>10.061207284285064</v>
      </c>
      <c r="E426" s="5">
        <v>10.057709658383915</v>
      </c>
      <c r="F426" s="5">
        <v>3.9979361614506104E-4</v>
      </c>
      <c r="G426" s="5">
        <v>4.5098326194601412E-3</v>
      </c>
    </row>
    <row r="427" spans="1:7" x14ac:dyDescent="0.25">
      <c r="A427" s="12">
        <v>44792</v>
      </c>
      <c r="B427" s="13">
        <v>21274.36</v>
      </c>
      <c r="C427" s="13">
        <v>21230</v>
      </c>
      <c r="D427" s="5">
        <v>9.9652578707329251</v>
      </c>
      <c r="E427" s="5">
        <v>9.9631705546973013</v>
      </c>
      <c r="F427" s="5">
        <v>-9.5949413552139262E-2</v>
      </c>
      <c r="G427" s="5">
        <v>-9.4539103686614112E-2</v>
      </c>
    </row>
    <row r="428" spans="1:7" x14ac:dyDescent="0.25">
      <c r="A428" s="12">
        <v>44795</v>
      </c>
      <c r="B428" s="13">
        <v>21124.400000000001</v>
      </c>
      <c r="C428" s="13">
        <v>20965</v>
      </c>
      <c r="D428" s="5">
        <v>9.9581840494551557</v>
      </c>
      <c r="E428" s="5">
        <v>9.9506096596048632</v>
      </c>
      <c r="F428" s="5">
        <v>-7.0738212777694542E-3</v>
      </c>
      <c r="G428" s="5">
        <v>-1.2560895092438074E-2</v>
      </c>
    </row>
    <row r="429" spans="1:7" x14ac:dyDescent="0.25">
      <c r="A429" s="12">
        <v>44796</v>
      </c>
      <c r="B429" s="13">
        <v>21477.74</v>
      </c>
      <c r="C429" s="13">
        <v>21490</v>
      </c>
      <c r="D429" s="5">
        <v>9.9747723289347032</v>
      </c>
      <c r="E429" s="5">
        <v>9.9753429896365553</v>
      </c>
      <c r="F429" s="5">
        <v>1.6588279479547552E-2</v>
      </c>
      <c r="G429" s="5">
        <v>2.4733330031692091E-2</v>
      </c>
    </row>
    <row r="430" spans="1:7" x14ac:dyDescent="0.25">
      <c r="A430" s="12">
        <v>44797</v>
      </c>
      <c r="B430" s="13">
        <v>21692.74</v>
      </c>
      <c r="C430" s="13">
        <v>21710</v>
      </c>
      <c r="D430" s="5">
        <v>9.9847329213381464</v>
      </c>
      <c r="E430" s="5">
        <v>9.9855282628723376</v>
      </c>
      <c r="F430" s="5">
        <v>9.9605924034431581E-3</v>
      </c>
      <c r="G430" s="5">
        <v>1.0185273235782333E-2</v>
      </c>
    </row>
    <row r="431" spans="1:7" x14ac:dyDescent="0.25">
      <c r="A431" s="12">
        <v>44798</v>
      </c>
      <c r="B431" s="13">
        <v>21647.93</v>
      </c>
      <c r="C431" s="13">
        <v>21565</v>
      </c>
      <c r="D431" s="5">
        <v>9.9826651168502778</v>
      </c>
      <c r="E431" s="5">
        <v>9.9788269090819437</v>
      </c>
      <c r="F431" s="5">
        <v>-2.0678044878685853E-3</v>
      </c>
      <c r="G431" s="5">
        <v>-6.701353790393938E-3</v>
      </c>
    </row>
    <row r="432" spans="1:7" x14ac:dyDescent="0.25">
      <c r="A432" s="12">
        <v>44799</v>
      </c>
      <c r="B432" s="13">
        <v>20650.41</v>
      </c>
      <c r="C432" s="13">
        <v>21417.89</v>
      </c>
      <c r="D432" s="5">
        <v>9.9354904529136263</v>
      </c>
      <c r="E432" s="5">
        <v>9.9719818330806032</v>
      </c>
      <c r="F432" s="5">
        <v>-4.7174663936651484E-2</v>
      </c>
      <c r="G432" s="5">
        <v>-6.8450760013405443E-3</v>
      </c>
    </row>
    <row r="433" spans="1:7" x14ac:dyDescent="0.25">
      <c r="A433" s="12">
        <v>44802</v>
      </c>
      <c r="B433" s="13">
        <v>20177.32</v>
      </c>
      <c r="C433" s="13">
        <v>19965</v>
      </c>
      <c r="D433" s="5">
        <v>9.9123144803310819</v>
      </c>
      <c r="E433" s="5">
        <v>9.9017360194973225</v>
      </c>
      <c r="F433" s="5">
        <v>-2.3175972582544446E-2</v>
      </c>
      <c r="G433" s="5">
        <v>-7.0245813583280636E-2</v>
      </c>
    </row>
    <row r="434" spans="1:7" x14ac:dyDescent="0.25">
      <c r="A434" s="12">
        <v>44803</v>
      </c>
      <c r="B434" s="13">
        <v>19975.939999999999</v>
      </c>
      <c r="C434" s="13">
        <v>19770</v>
      </c>
      <c r="D434" s="5">
        <v>9.9022838283507735</v>
      </c>
      <c r="E434" s="5">
        <v>9.8919209161646631</v>
      </c>
      <c r="F434" s="5">
        <v>-1.0030651980308392E-2</v>
      </c>
      <c r="G434" s="5">
        <v>-9.8151033326594472E-3</v>
      </c>
    </row>
    <row r="435" spans="1:7" x14ac:dyDescent="0.25">
      <c r="A435" s="12">
        <v>44804</v>
      </c>
      <c r="B435" s="13">
        <v>20196.669999999998</v>
      </c>
      <c r="C435" s="13">
        <v>20065</v>
      </c>
      <c r="D435" s="5">
        <v>9.9132730183146478</v>
      </c>
      <c r="E435" s="5">
        <v>9.9067322827010162</v>
      </c>
      <c r="F435" s="5">
        <v>1.0989189963874324E-2</v>
      </c>
      <c r="G435" s="5">
        <v>1.4811366536353177E-2</v>
      </c>
    </row>
    <row r="436" spans="1:7" x14ac:dyDescent="0.25">
      <c r="A436" s="12">
        <v>44805</v>
      </c>
      <c r="B436" s="13">
        <v>20071.34</v>
      </c>
      <c r="C436" s="13">
        <v>19695</v>
      </c>
      <c r="D436" s="5">
        <v>9.9070482058794997</v>
      </c>
      <c r="E436" s="5">
        <v>9.8881200754050056</v>
      </c>
      <c r="F436" s="5">
        <v>-6.2248124351480527E-3</v>
      </c>
      <c r="G436" s="5">
        <v>-1.8612207296010652E-2</v>
      </c>
    </row>
    <row r="437" spans="1:7" x14ac:dyDescent="0.25">
      <c r="A437" s="12">
        <v>44806</v>
      </c>
      <c r="B437" s="13">
        <v>19969.21</v>
      </c>
      <c r="C437" s="13">
        <v>19775</v>
      </c>
      <c r="D437" s="5">
        <v>9.9019468662883607</v>
      </c>
      <c r="E437" s="5">
        <v>9.8921737926358553</v>
      </c>
      <c r="F437" s="5">
        <v>-5.1013395911390091E-3</v>
      </c>
      <c r="G437" s="5">
        <v>4.0537172308496849E-3</v>
      </c>
    </row>
    <row r="438" spans="1:7" x14ac:dyDescent="0.25">
      <c r="A438" s="12">
        <v>44809</v>
      </c>
      <c r="B438" s="13">
        <v>19742.13</v>
      </c>
      <c r="C438" s="17">
        <v>19775</v>
      </c>
      <c r="D438" s="5">
        <v>9.8905102099019526</v>
      </c>
      <c r="E438" s="5">
        <v>9.8921737926358553</v>
      </c>
      <c r="F438" s="5">
        <v>-1.1436656386408117E-2</v>
      </c>
      <c r="G438" s="5">
        <v>0</v>
      </c>
    </row>
    <row r="439" spans="1:7" x14ac:dyDescent="0.25">
      <c r="A439" s="12">
        <v>44810</v>
      </c>
      <c r="B439" s="13">
        <v>18978.5</v>
      </c>
      <c r="C439" s="13">
        <v>18635</v>
      </c>
      <c r="D439" s="5">
        <v>9.8510620384823575</v>
      </c>
      <c r="E439" s="5">
        <v>9.832796811913358</v>
      </c>
      <c r="F439" s="5">
        <v>-3.9448171419595113E-2</v>
      </c>
      <c r="G439" s="5">
        <v>-5.9376980722497308E-2</v>
      </c>
    </row>
    <row r="440" spans="1:7" x14ac:dyDescent="0.25">
      <c r="A440" s="12">
        <v>44811</v>
      </c>
      <c r="B440" s="13">
        <v>19387.150000000001</v>
      </c>
      <c r="C440" s="13">
        <v>18925</v>
      </c>
      <c r="D440" s="5">
        <v>9.8723657544527228</v>
      </c>
      <c r="E440" s="5">
        <v>9.8482390783056495</v>
      </c>
      <c r="F440" s="5">
        <v>2.1303715970365289E-2</v>
      </c>
      <c r="G440" s="5">
        <v>1.5442266392291515E-2</v>
      </c>
    </row>
    <row r="441" spans="1:7" x14ac:dyDescent="0.25">
      <c r="A441" s="12">
        <v>44812</v>
      </c>
      <c r="B441" s="13">
        <v>19379.740000000002</v>
      </c>
      <c r="C441" s="13">
        <v>19260</v>
      </c>
      <c r="D441" s="5">
        <v>9.8719834694620907</v>
      </c>
      <c r="E441" s="5">
        <v>9.8657856853521171</v>
      </c>
      <c r="F441" s="5">
        <v>-3.8228499063208687E-4</v>
      </c>
      <c r="G441" s="5">
        <v>1.7546607046467599E-2</v>
      </c>
    </row>
    <row r="442" spans="1:7" x14ac:dyDescent="0.25">
      <c r="A442" s="12">
        <v>44813</v>
      </c>
      <c r="B442" s="13">
        <v>21300.3</v>
      </c>
      <c r="C442" s="13">
        <v>21345</v>
      </c>
      <c r="D442" s="5">
        <v>9.9664764361053724</v>
      </c>
      <c r="E442" s="5">
        <v>9.9685727991920619</v>
      </c>
      <c r="F442" s="5">
        <v>9.4492966643281662E-2</v>
      </c>
      <c r="G442" s="5">
        <v>0.10278711383994477</v>
      </c>
    </row>
    <row r="443" spans="1:7" x14ac:dyDescent="0.25">
      <c r="A443" s="12">
        <v>44816</v>
      </c>
      <c r="B443" s="13">
        <v>22409.58</v>
      </c>
      <c r="C443" s="13">
        <v>22455</v>
      </c>
      <c r="D443" s="5">
        <v>10.017243824986148</v>
      </c>
      <c r="E443" s="5">
        <v>10.019268585521839</v>
      </c>
      <c r="F443" s="5">
        <v>5.0767388880775144E-2</v>
      </c>
      <c r="G443" s="5">
        <v>5.0695786329777448E-2</v>
      </c>
    </row>
    <row r="444" spans="1:7" x14ac:dyDescent="0.25">
      <c r="A444" s="12">
        <v>44817</v>
      </c>
      <c r="B444" s="13">
        <v>20240.400000000001</v>
      </c>
      <c r="C444" s="13">
        <v>20240</v>
      </c>
      <c r="D444" s="5">
        <v>9.91543588605197</v>
      </c>
      <c r="E444" s="5">
        <v>9.9154161234014015</v>
      </c>
      <c r="F444" s="5">
        <v>-0.1018079389341775</v>
      </c>
      <c r="G444" s="5">
        <v>-0.10385246212043775</v>
      </c>
    </row>
    <row r="445" spans="1:7" x14ac:dyDescent="0.25">
      <c r="A445" s="12">
        <v>44818</v>
      </c>
      <c r="B445" s="13">
        <v>19946.38</v>
      </c>
      <c r="C445" s="13">
        <v>19925</v>
      </c>
      <c r="D445" s="5">
        <v>9.9008029522192214</v>
      </c>
      <c r="E445" s="5">
        <v>9.8997305036584162</v>
      </c>
      <c r="F445" s="5">
        <v>-1.4632933832748662E-2</v>
      </c>
      <c r="G445" s="5">
        <v>-1.5685619742985324E-2</v>
      </c>
    </row>
    <row r="446" spans="1:7" x14ac:dyDescent="0.25">
      <c r="A446" s="12">
        <v>44819</v>
      </c>
      <c r="B446" s="13">
        <v>19852.490000000002</v>
      </c>
      <c r="C446" s="13">
        <v>19730</v>
      </c>
      <c r="D446" s="5">
        <v>9.8960847190543415</v>
      </c>
      <c r="E446" s="5">
        <v>9.8898955990166613</v>
      </c>
      <c r="F446" s="5">
        <v>-4.7182331648798481E-3</v>
      </c>
      <c r="G446" s="5">
        <v>-9.8349046417549602E-3</v>
      </c>
    </row>
    <row r="447" spans="1:7" x14ac:dyDescent="0.25">
      <c r="A447" s="12">
        <v>44820</v>
      </c>
      <c r="B447" s="13">
        <v>19751.07</v>
      </c>
      <c r="C447" s="13">
        <v>19575</v>
      </c>
      <c r="D447" s="5">
        <v>9.8909629460769253</v>
      </c>
      <c r="E447" s="5">
        <v>9.8820085208590047</v>
      </c>
      <c r="F447" s="5">
        <v>-5.1217729774162279E-3</v>
      </c>
      <c r="G447" s="5">
        <v>-7.8870781576565463E-3</v>
      </c>
    </row>
    <row r="448" spans="1:7" x14ac:dyDescent="0.25">
      <c r="A448" s="12">
        <v>44823</v>
      </c>
      <c r="B448" s="13">
        <v>19522.21</v>
      </c>
      <c r="C448" s="13">
        <v>19480</v>
      </c>
      <c r="D448" s="5">
        <v>9.8793080707716125</v>
      </c>
      <c r="E448" s="5">
        <v>9.8771435771965255</v>
      </c>
      <c r="F448" s="5">
        <v>-1.1654875305312729E-2</v>
      </c>
      <c r="G448" s="5">
        <v>-4.8649436624792486E-3</v>
      </c>
    </row>
    <row r="449" spans="1:7" x14ac:dyDescent="0.25">
      <c r="A449" s="12">
        <v>44824</v>
      </c>
      <c r="B449" s="13">
        <v>18974.310000000001</v>
      </c>
      <c r="C449" s="13">
        <v>18950</v>
      </c>
      <c r="D449" s="5">
        <v>9.8508412379662946</v>
      </c>
      <c r="E449" s="5">
        <v>9.8495592105105718</v>
      </c>
      <c r="F449" s="5">
        <v>-2.8466832805317921E-2</v>
      </c>
      <c r="G449" s="5">
        <v>-2.7584366685953654E-2</v>
      </c>
    </row>
    <row r="450" spans="1:7" x14ac:dyDescent="0.25">
      <c r="A450" s="12">
        <v>44825</v>
      </c>
      <c r="B450" s="13">
        <v>18926.45</v>
      </c>
      <c r="C450" s="13">
        <v>18980</v>
      </c>
      <c r="D450" s="5">
        <v>9.8483156936004779</v>
      </c>
      <c r="E450" s="5">
        <v>9.8511410721639194</v>
      </c>
      <c r="F450" s="5">
        <v>-2.5255443658167565E-3</v>
      </c>
      <c r="G450" s="5">
        <v>1.581861653347616E-3</v>
      </c>
    </row>
    <row r="451" spans="1:7" x14ac:dyDescent="0.25">
      <c r="A451" s="12">
        <v>44826</v>
      </c>
      <c r="B451" s="13">
        <v>19247.72</v>
      </c>
      <c r="C451" s="13">
        <v>19295</v>
      </c>
      <c r="D451" s="5">
        <v>9.8651478911427333</v>
      </c>
      <c r="E451" s="5">
        <v>9.8676012739717187</v>
      </c>
      <c r="F451" s="5">
        <v>1.68321975422554E-2</v>
      </c>
      <c r="G451" s="5">
        <v>1.646020180779928E-2</v>
      </c>
    </row>
    <row r="452" spans="1:7" x14ac:dyDescent="0.25">
      <c r="A452" s="12">
        <v>44827</v>
      </c>
      <c r="B452" s="13">
        <v>18852.060000000001</v>
      </c>
      <c r="C452" s="13">
        <v>18745</v>
      </c>
      <c r="D452" s="5">
        <v>9.8443774707247442</v>
      </c>
      <c r="E452" s="5">
        <v>9.8386823291700125</v>
      </c>
      <c r="F452" s="5">
        <v>-2.0770420417989044E-2</v>
      </c>
      <c r="G452" s="5">
        <v>-2.8918944801706203E-2</v>
      </c>
    </row>
    <row r="453" spans="1:7" x14ac:dyDescent="0.25">
      <c r="A453" s="12">
        <v>44830</v>
      </c>
      <c r="B453" s="13">
        <v>19113.38</v>
      </c>
      <c r="C453" s="13">
        <v>19180</v>
      </c>
      <c r="D453" s="5">
        <v>9.8581438923428308</v>
      </c>
      <c r="E453" s="5">
        <v>9.8616233484374298</v>
      </c>
      <c r="F453" s="5">
        <v>1.3766421618086611E-2</v>
      </c>
      <c r="G453" s="5">
        <v>2.2941019267417317E-2</v>
      </c>
    </row>
    <row r="454" spans="1:7" x14ac:dyDescent="0.25">
      <c r="A454" s="12">
        <v>44831</v>
      </c>
      <c r="B454" s="13">
        <v>19072.71</v>
      </c>
      <c r="C454" s="13">
        <v>19045</v>
      </c>
      <c r="D454" s="5">
        <v>9.8560137965211485</v>
      </c>
      <c r="E454" s="5">
        <v>9.8545598789127045</v>
      </c>
      <c r="F454" s="5">
        <v>-2.1300958216823318E-3</v>
      </c>
      <c r="G454" s="5">
        <v>-7.0634695247253632E-3</v>
      </c>
    </row>
    <row r="455" spans="1:7" x14ac:dyDescent="0.25">
      <c r="A455" s="12">
        <v>44832</v>
      </c>
      <c r="B455" s="13">
        <v>19567.79</v>
      </c>
      <c r="C455" s="13">
        <v>19565</v>
      </c>
      <c r="D455" s="5">
        <v>9.8816401260623348</v>
      </c>
      <c r="E455" s="5">
        <v>9.8814975346445131</v>
      </c>
      <c r="F455" s="5">
        <v>2.5626329541186266E-2</v>
      </c>
      <c r="G455" s="5">
        <v>2.6937655731808618E-2</v>
      </c>
    </row>
    <row r="456" spans="1:7" x14ac:dyDescent="0.25">
      <c r="A456" s="12">
        <v>44833</v>
      </c>
      <c r="B456" s="13">
        <v>19508.14</v>
      </c>
      <c r="C456" s="13">
        <v>19405</v>
      </c>
      <c r="D456" s="5">
        <v>9.8785870933471482</v>
      </c>
      <c r="E456" s="5">
        <v>9.8732860438030059</v>
      </c>
      <c r="F456" s="5">
        <v>-3.0530327151865322E-3</v>
      </c>
      <c r="G456" s="5">
        <v>-8.2114908415071852E-3</v>
      </c>
    </row>
    <row r="457" spans="1:7" x14ac:dyDescent="0.25">
      <c r="A457" s="12">
        <v>44834</v>
      </c>
      <c r="B457" s="13">
        <v>19425.13</v>
      </c>
      <c r="C457" s="13">
        <v>19698.599999999999</v>
      </c>
      <c r="D457" s="5">
        <v>9.8743228676201458</v>
      </c>
      <c r="E457" s="5">
        <v>9.8883028462109248</v>
      </c>
      <c r="F457" s="5">
        <v>-4.2642257270024686E-3</v>
      </c>
      <c r="G457" s="5">
        <v>1.5016802407918917E-2</v>
      </c>
    </row>
    <row r="458" spans="1:7" x14ac:dyDescent="0.25">
      <c r="A458" s="12">
        <v>44837</v>
      </c>
      <c r="B458" s="13">
        <v>19597.13</v>
      </c>
      <c r="C458" s="13">
        <v>19525</v>
      </c>
      <c r="D458" s="5">
        <v>9.8831384059254699</v>
      </c>
      <c r="E458" s="5">
        <v>9.8794509747078862</v>
      </c>
      <c r="F458" s="5">
        <v>8.815538305324111E-3</v>
      </c>
      <c r="G458" s="5">
        <v>-8.8518715030385664E-3</v>
      </c>
    </row>
    <row r="459" spans="1:7" x14ac:dyDescent="0.25">
      <c r="A459" s="12">
        <v>44838</v>
      </c>
      <c r="B459" s="13">
        <v>20340.91</v>
      </c>
      <c r="C459" s="13">
        <v>20285</v>
      </c>
      <c r="D459" s="5">
        <v>9.9203894080314683</v>
      </c>
      <c r="E459" s="5">
        <v>9.9176369756405478</v>
      </c>
      <c r="F459" s="5">
        <v>3.725100210599841E-2</v>
      </c>
      <c r="G459" s="5">
        <v>3.8186000932661557E-2</v>
      </c>
    </row>
    <row r="460" spans="1:7" x14ac:dyDescent="0.25">
      <c r="A460" s="12">
        <v>44839</v>
      </c>
      <c r="B460" s="13">
        <v>19988.419999999998</v>
      </c>
      <c r="C460" s="13">
        <v>20140</v>
      </c>
      <c r="D460" s="5">
        <v>9.9029083848508979</v>
      </c>
      <c r="E460" s="5">
        <v>9.9104631662725531</v>
      </c>
      <c r="F460" s="5">
        <v>-1.7481023180570432E-2</v>
      </c>
      <c r="G460" s="5">
        <v>-7.1738093679947212E-3</v>
      </c>
    </row>
    <row r="461" spans="1:7" x14ac:dyDescent="0.25">
      <c r="A461" s="12">
        <v>44840</v>
      </c>
      <c r="B461" s="13">
        <v>20051.13</v>
      </c>
      <c r="C461" s="13">
        <v>20025</v>
      </c>
      <c r="D461" s="5">
        <v>9.906040790248845</v>
      </c>
      <c r="E461" s="5">
        <v>9.9047367719365607</v>
      </c>
      <c r="F461" s="5">
        <v>3.1324053979471245E-3</v>
      </c>
      <c r="G461" s="5">
        <v>-5.7263943359924241E-3</v>
      </c>
    </row>
    <row r="462" spans="1:7" x14ac:dyDescent="0.25">
      <c r="A462" s="12">
        <v>44841</v>
      </c>
      <c r="B462" s="13">
        <v>19551.560000000001</v>
      </c>
      <c r="C462" s="13">
        <v>19410</v>
      </c>
      <c r="D462" s="5">
        <v>9.8808103576264479</v>
      </c>
      <c r="E462" s="5">
        <v>9.8735436761630559</v>
      </c>
      <c r="F462" s="5">
        <v>-2.5230432622397103E-2</v>
      </c>
      <c r="G462" s="5">
        <v>-3.1193095773504709E-2</v>
      </c>
    </row>
    <row r="463" spans="1:7" x14ac:dyDescent="0.25">
      <c r="A463" s="12">
        <v>44844</v>
      </c>
      <c r="B463" s="13">
        <v>19241.2</v>
      </c>
      <c r="C463" s="13">
        <v>19125</v>
      </c>
      <c r="D463" s="5">
        <v>9.8648090923371363</v>
      </c>
      <c r="E463" s="5">
        <v>9.8587516586947359</v>
      </c>
      <c r="F463" s="5">
        <v>-1.6001265289311561E-2</v>
      </c>
      <c r="G463" s="5">
        <v>-1.479201746832004E-2</v>
      </c>
    </row>
    <row r="464" spans="1:7" x14ac:dyDescent="0.25">
      <c r="A464" s="12">
        <v>44845</v>
      </c>
      <c r="B464" s="13">
        <v>19019.099999999999</v>
      </c>
      <c r="C464" s="13">
        <v>18900</v>
      </c>
      <c r="D464" s="5">
        <v>9.8531990163678334</v>
      </c>
      <c r="E464" s="5">
        <v>9.8469172010477344</v>
      </c>
      <c r="F464" s="5">
        <v>-1.1610075969302969E-2</v>
      </c>
      <c r="G464" s="5">
        <v>-1.1834457647001528E-2</v>
      </c>
    </row>
    <row r="465" spans="1:7" x14ac:dyDescent="0.25">
      <c r="A465" s="12">
        <v>44846</v>
      </c>
      <c r="B465" s="13">
        <v>19169.43</v>
      </c>
      <c r="C465" s="13">
        <v>19095</v>
      </c>
      <c r="D465" s="5">
        <v>9.8610721016383156</v>
      </c>
      <c r="E465" s="5">
        <v>9.8571817996596174</v>
      </c>
      <c r="F465" s="5">
        <v>7.8730852704822496E-3</v>
      </c>
      <c r="G465" s="5">
        <v>1.0264598611883002E-2</v>
      </c>
    </row>
    <row r="466" spans="1:7" x14ac:dyDescent="0.25">
      <c r="A466" s="12">
        <v>44847</v>
      </c>
      <c r="B466" s="13">
        <v>19386.990000000002</v>
      </c>
      <c r="C466" s="13">
        <v>19360</v>
      </c>
      <c r="D466" s="5">
        <v>9.8723575015295122</v>
      </c>
      <c r="E466" s="5">
        <v>9.8709643608305679</v>
      </c>
      <c r="F466" s="5">
        <v>1.128539989119659E-2</v>
      </c>
      <c r="G466" s="5">
        <v>1.3782561170950558E-2</v>
      </c>
    </row>
    <row r="467" spans="1:7" x14ac:dyDescent="0.25">
      <c r="A467" s="12">
        <v>44848</v>
      </c>
      <c r="B467" s="13">
        <v>19177.310000000001</v>
      </c>
      <c r="C467" s="13">
        <v>19110</v>
      </c>
      <c r="D467" s="5">
        <v>9.8614830883407532</v>
      </c>
      <c r="E467" s="5">
        <v>9.8579670372343191</v>
      </c>
      <c r="F467" s="5">
        <v>-1.0874413188759036E-2</v>
      </c>
      <c r="G467" s="5">
        <v>-1.2997323596248833E-2</v>
      </c>
    </row>
    <row r="468" spans="1:7" x14ac:dyDescent="0.25">
      <c r="A468" s="12">
        <v>44851</v>
      </c>
      <c r="B468" s="13">
        <v>19529.38</v>
      </c>
      <c r="C468" s="13">
        <v>19515</v>
      </c>
      <c r="D468" s="5">
        <v>9.8796752773350622</v>
      </c>
      <c r="E468" s="5">
        <v>9.8789386796147145</v>
      </c>
      <c r="F468" s="5">
        <v>1.8192188994309078E-2</v>
      </c>
      <c r="G468" s="5">
        <v>2.0971642380395394E-2</v>
      </c>
    </row>
    <row r="469" spans="1:7" x14ac:dyDescent="0.25">
      <c r="A469" s="12">
        <v>44852</v>
      </c>
      <c r="B469" s="13">
        <v>19367.71</v>
      </c>
      <c r="C469" s="13">
        <v>19180</v>
      </c>
      <c r="D469" s="5">
        <v>9.8713625253542059</v>
      </c>
      <c r="E469" s="5">
        <v>9.8616233484374298</v>
      </c>
      <c r="F469" s="5">
        <v>-8.3127519808563477E-3</v>
      </c>
      <c r="G469" s="5">
        <v>-1.7315331177284676E-2</v>
      </c>
    </row>
    <row r="470" spans="1:7" x14ac:dyDescent="0.25">
      <c r="A470" s="12">
        <v>44853</v>
      </c>
      <c r="B470" s="13">
        <v>19196.47</v>
      </c>
      <c r="C470" s="13">
        <v>19200</v>
      </c>
      <c r="D470" s="5">
        <v>9.8624816869459568</v>
      </c>
      <c r="E470" s="5">
        <v>9.8626655580158733</v>
      </c>
      <c r="F470" s="5">
        <v>-8.8808384082490477E-3</v>
      </c>
      <c r="G470" s="5">
        <v>1.0422095784434759E-3</v>
      </c>
    </row>
    <row r="471" spans="1:7" x14ac:dyDescent="0.25">
      <c r="A471" s="12">
        <v>44854</v>
      </c>
      <c r="B471" s="13">
        <v>19030.39</v>
      </c>
      <c r="C471" s="13">
        <v>19030</v>
      </c>
      <c r="D471" s="5">
        <v>9.8537924540371069</v>
      </c>
      <c r="E471" s="5">
        <v>9.8537719602901959</v>
      </c>
      <c r="F471" s="5">
        <v>-8.6892329088499309E-3</v>
      </c>
      <c r="G471" s="5">
        <v>-8.8935977256774379E-3</v>
      </c>
    </row>
    <row r="472" spans="1:7" x14ac:dyDescent="0.25">
      <c r="A472" s="12">
        <v>44855</v>
      </c>
      <c r="B472" s="13">
        <v>19181.79</v>
      </c>
      <c r="C472" s="13">
        <v>19195</v>
      </c>
      <c r="D472" s="5">
        <v>9.8617166704644408</v>
      </c>
      <c r="E472" s="5">
        <v>9.8624051074348973</v>
      </c>
      <c r="F472" s="5">
        <v>7.9242164273338744E-3</v>
      </c>
      <c r="G472" s="5">
        <v>8.6331471447014252E-3</v>
      </c>
    </row>
    <row r="473" spans="1:7" x14ac:dyDescent="0.25">
      <c r="A473" s="12">
        <v>44858</v>
      </c>
      <c r="B473" s="13">
        <v>19382.189999999999</v>
      </c>
      <c r="C473" s="13">
        <v>19340</v>
      </c>
      <c r="D473" s="5">
        <v>9.872109882156364</v>
      </c>
      <c r="E473" s="5">
        <v>9.8699307690072846</v>
      </c>
      <c r="F473" s="5">
        <v>1.0393211691923199E-2</v>
      </c>
      <c r="G473" s="5">
        <v>7.525661572387321E-3</v>
      </c>
    </row>
    <row r="474" spans="1:7" x14ac:dyDescent="0.25">
      <c r="A474" s="12">
        <v>44859</v>
      </c>
      <c r="B474" s="13">
        <v>20189.29</v>
      </c>
      <c r="C474" s="13">
        <v>20305</v>
      </c>
      <c r="D474" s="5">
        <v>9.9129075447648223</v>
      </c>
      <c r="E474" s="5">
        <v>9.918622440120398</v>
      </c>
      <c r="F474" s="5">
        <v>4.0797662608458296E-2</v>
      </c>
      <c r="G474" s="5">
        <v>4.8691671113113344E-2</v>
      </c>
    </row>
    <row r="475" spans="1:7" x14ac:dyDescent="0.25">
      <c r="A475" s="12">
        <v>44860</v>
      </c>
      <c r="B475" s="13">
        <v>20752.38</v>
      </c>
      <c r="C475" s="13">
        <v>20780</v>
      </c>
      <c r="D475" s="5">
        <v>9.9404162178766207</v>
      </c>
      <c r="E475" s="5">
        <v>9.9417462646532186</v>
      </c>
      <c r="F475" s="5">
        <v>2.7508673111798387E-2</v>
      </c>
      <c r="G475" s="5">
        <v>2.3123824532820692E-2</v>
      </c>
    </row>
    <row r="476" spans="1:7" x14ac:dyDescent="0.25">
      <c r="A476" s="12">
        <v>44861</v>
      </c>
      <c r="B476" s="13">
        <v>20399.52</v>
      </c>
      <c r="C476" s="13">
        <v>20625</v>
      </c>
      <c r="D476" s="5">
        <v>9.9232666501437219</v>
      </c>
      <c r="E476" s="5">
        <v>9.9342592112028818</v>
      </c>
      <c r="F476" s="5">
        <v>-1.7149567732898774E-2</v>
      </c>
      <c r="G476" s="5">
        <v>-7.4870534503368447E-3</v>
      </c>
    </row>
    <row r="477" spans="1:7" x14ac:dyDescent="0.25">
      <c r="A477" s="12">
        <v>44862</v>
      </c>
      <c r="B477" s="13">
        <v>20635.82</v>
      </c>
      <c r="C477" s="13">
        <v>20478.439999999999</v>
      </c>
      <c r="D477" s="5">
        <v>9.934783679705836</v>
      </c>
      <c r="E477" s="5">
        <v>9.9271279043772189</v>
      </c>
      <c r="F477" s="5">
        <v>1.1517029562114089E-2</v>
      </c>
      <c r="G477" s="5">
        <v>-7.1313068256628753E-3</v>
      </c>
    </row>
    <row r="478" spans="1:7" x14ac:dyDescent="0.25">
      <c r="A478" s="12">
        <v>44865</v>
      </c>
      <c r="B478" s="13">
        <v>20405.66</v>
      </c>
      <c r="C478" s="13">
        <v>20380</v>
      </c>
      <c r="D478" s="5">
        <v>9.9235675923302953</v>
      </c>
      <c r="E478" s="5">
        <v>9.9223093067767163</v>
      </c>
      <c r="F478" s="5">
        <v>-1.1216087375540695E-2</v>
      </c>
      <c r="G478" s="5">
        <v>-4.8185976005026276E-3</v>
      </c>
    </row>
    <row r="479" spans="1:7" x14ac:dyDescent="0.25">
      <c r="A479" s="12">
        <v>44866</v>
      </c>
      <c r="B479" s="13">
        <v>20479.400000000001</v>
      </c>
      <c r="C479" s="13">
        <v>20480</v>
      </c>
      <c r="D479" s="5">
        <v>9.927174781849283</v>
      </c>
      <c r="E479" s="5">
        <v>9.9272040791534444</v>
      </c>
      <c r="F479" s="5">
        <v>3.6071895189877523E-3</v>
      </c>
      <c r="G479" s="5">
        <v>4.8947723767280849E-3</v>
      </c>
    </row>
    <row r="480" spans="1:7" x14ac:dyDescent="0.25">
      <c r="A480" s="12">
        <v>44867</v>
      </c>
      <c r="B480" s="13">
        <v>20175.79</v>
      </c>
      <c r="C480" s="13">
        <v>20265</v>
      </c>
      <c r="D480" s="5">
        <v>9.9122386497445056</v>
      </c>
      <c r="E480" s="5">
        <v>9.9166505390624096</v>
      </c>
      <c r="F480" s="5">
        <v>-1.49361321047774E-2</v>
      </c>
      <c r="G480" s="5">
        <v>-1.0553540091034819E-2</v>
      </c>
    </row>
    <row r="481" spans="1:7" x14ac:dyDescent="0.25">
      <c r="A481" s="12">
        <v>44868</v>
      </c>
      <c r="B481" s="13">
        <v>20238.8</v>
      </c>
      <c r="C481" s="13">
        <v>20285</v>
      </c>
      <c r="D481" s="5">
        <v>9.9153568331062178</v>
      </c>
      <c r="E481" s="5">
        <v>9.9176369756405478</v>
      </c>
      <c r="F481" s="5">
        <v>3.1181833617122123E-3</v>
      </c>
      <c r="G481" s="5">
        <v>9.8643657813823893E-4</v>
      </c>
    </row>
    <row r="482" spans="1:7" x14ac:dyDescent="0.25">
      <c r="A482" s="12">
        <v>44869</v>
      </c>
      <c r="B482" s="13">
        <v>21135.439999999999</v>
      </c>
      <c r="C482" s="13">
        <v>21155</v>
      </c>
      <c r="D482" s="5">
        <v>9.9587065313316199</v>
      </c>
      <c r="E482" s="5">
        <v>9.9596315631541685</v>
      </c>
      <c r="F482" s="5">
        <v>4.3349698225402022E-2</v>
      </c>
      <c r="G482" s="5">
        <v>4.1994587513620729E-2</v>
      </c>
    </row>
    <row r="483" spans="1:7" x14ac:dyDescent="0.25">
      <c r="A483" s="12">
        <v>44872</v>
      </c>
      <c r="B483" s="13">
        <v>20683.87</v>
      </c>
      <c r="C483" s="13">
        <v>20845</v>
      </c>
      <c r="D483" s="5">
        <v>9.9371094484451135</v>
      </c>
      <c r="E483" s="5">
        <v>9.9448693903148975</v>
      </c>
      <c r="F483" s="5">
        <v>-2.1597082886506414E-2</v>
      </c>
      <c r="G483" s="5">
        <v>-1.4762172839271059E-2</v>
      </c>
    </row>
    <row r="484" spans="1:7" x14ac:dyDescent="0.25">
      <c r="A484" s="12">
        <v>44873</v>
      </c>
      <c r="B484" s="13">
        <v>18698.63</v>
      </c>
      <c r="C484" s="13">
        <v>18080</v>
      </c>
      <c r="D484" s="5">
        <v>9.8362055381267979</v>
      </c>
      <c r="E484" s="5">
        <v>9.8025616339461674</v>
      </c>
      <c r="F484" s="5">
        <v>-0.10090391031831558</v>
      </c>
      <c r="G484" s="5">
        <v>-0.14230775636873005</v>
      </c>
    </row>
    <row r="485" spans="1:7" x14ac:dyDescent="0.25">
      <c r="A485" s="12">
        <v>44874</v>
      </c>
      <c r="B485" s="13">
        <v>15731.3</v>
      </c>
      <c r="C485" s="13">
        <v>15615</v>
      </c>
      <c r="D485" s="5">
        <v>9.6634076372655429</v>
      </c>
      <c r="E485" s="5">
        <v>9.6559872697171798</v>
      </c>
      <c r="F485" s="5">
        <v>-0.17279790086125502</v>
      </c>
      <c r="G485" s="5">
        <v>-0.14657436422898762</v>
      </c>
    </row>
    <row r="486" spans="1:7" x14ac:dyDescent="0.25">
      <c r="A486" s="12">
        <v>44875</v>
      </c>
      <c r="B486" s="13">
        <v>17807.64</v>
      </c>
      <c r="C486" s="13">
        <v>17780</v>
      </c>
      <c r="D486" s="5">
        <v>9.7873828576775637</v>
      </c>
      <c r="E486" s="5">
        <v>9.7858295090678951</v>
      </c>
      <c r="F486" s="5">
        <v>0.1239752204120208</v>
      </c>
      <c r="G486" s="5">
        <v>0.12984223935071526</v>
      </c>
    </row>
    <row r="487" spans="1:7" x14ac:dyDescent="0.25">
      <c r="A487" s="12">
        <v>44876</v>
      </c>
      <c r="B487" s="13">
        <v>16757.37</v>
      </c>
      <c r="C487" s="13">
        <v>16050</v>
      </c>
      <c r="D487" s="5">
        <v>9.7265934404815972</v>
      </c>
      <c r="E487" s="5">
        <v>9.6834641285581622</v>
      </c>
      <c r="F487" s="5">
        <v>-6.0789417195966422E-2</v>
      </c>
      <c r="G487" s="5">
        <v>-0.10236538050973287</v>
      </c>
    </row>
    <row r="488" spans="1:7" x14ac:dyDescent="0.25">
      <c r="A488" s="12">
        <v>44879</v>
      </c>
      <c r="B488" s="13">
        <v>16385.41</v>
      </c>
      <c r="C488" s="13">
        <v>16005</v>
      </c>
      <c r="D488" s="5">
        <v>9.7041465837066347</v>
      </c>
      <c r="E488" s="5">
        <v>9.680656452403964</v>
      </c>
      <c r="F488" s="5">
        <v>-2.2446856774962498E-2</v>
      </c>
      <c r="G488" s="5">
        <v>-2.8076761541981909E-3</v>
      </c>
    </row>
    <row r="489" spans="1:7" x14ac:dyDescent="0.25">
      <c r="A489" s="12">
        <v>44880</v>
      </c>
      <c r="B489" s="13">
        <v>16890.18</v>
      </c>
      <c r="C489" s="13">
        <v>16690</v>
      </c>
      <c r="D489" s="5">
        <v>9.734487666938664</v>
      </c>
      <c r="E489" s="5">
        <v>9.7225650166558815</v>
      </c>
      <c r="F489" s="5">
        <v>3.034108323202922E-2</v>
      </c>
      <c r="G489" s="5">
        <v>4.1908564251917468E-2</v>
      </c>
    </row>
    <row r="490" spans="1:7" x14ac:dyDescent="0.25">
      <c r="A490" s="12">
        <v>44881</v>
      </c>
      <c r="B490" s="13">
        <v>16531.47</v>
      </c>
      <c r="C490" s="13">
        <v>16285</v>
      </c>
      <c r="D490" s="5">
        <v>9.7130211160807018</v>
      </c>
      <c r="E490" s="5">
        <v>9.6979997177103332</v>
      </c>
      <c r="F490" s="5">
        <v>-2.1466550857962119E-2</v>
      </c>
      <c r="G490" s="5">
        <v>-2.4565298945548264E-2</v>
      </c>
    </row>
    <row r="491" spans="1:7" x14ac:dyDescent="0.25">
      <c r="A491" s="12">
        <v>44882</v>
      </c>
      <c r="B491" s="13">
        <v>16680.759999999998</v>
      </c>
      <c r="C491" s="13">
        <v>16520</v>
      </c>
      <c r="D491" s="5">
        <v>9.7220112384239119</v>
      </c>
      <c r="E491" s="5">
        <v>9.7123270470749699</v>
      </c>
      <c r="F491" s="5">
        <v>8.9901223432100608E-3</v>
      </c>
      <c r="G491" s="5">
        <v>1.4327329364636654E-2</v>
      </c>
    </row>
    <row r="492" spans="1:7" x14ac:dyDescent="0.25">
      <c r="A492" s="12">
        <v>44883</v>
      </c>
      <c r="B492" s="13">
        <v>16637.36</v>
      </c>
      <c r="C492" s="13">
        <v>16530</v>
      </c>
      <c r="D492" s="5">
        <v>9.7194060479421935</v>
      </c>
      <c r="E492" s="5">
        <v>9.712932190815069</v>
      </c>
      <c r="F492" s="5">
        <v>-2.6051904817183669E-3</v>
      </c>
      <c r="G492" s="5">
        <v>6.0514374009912331E-4</v>
      </c>
    </row>
    <row r="493" spans="1:7" x14ac:dyDescent="0.25">
      <c r="A493" s="12">
        <v>44886</v>
      </c>
      <c r="B493" s="13">
        <v>15631.95</v>
      </c>
      <c r="C493" s="13">
        <v>15690</v>
      </c>
      <c r="D493" s="5">
        <v>9.6570721757104074</v>
      </c>
      <c r="E493" s="5">
        <v>9.6607788457270782</v>
      </c>
      <c r="F493" s="5">
        <v>-6.2333872231786103E-2</v>
      </c>
      <c r="G493" s="5">
        <v>-5.2153345087990743E-2</v>
      </c>
    </row>
    <row r="494" spans="1:7" x14ac:dyDescent="0.25">
      <c r="A494" s="12">
        <v>44887</v>
      </c>
      <c r="B494" s="13">
        <v>16130.03</v>
      </c>
      <c r="C494" s="13">
        <v>16055</v>
      </c>
      <c r="D494" s="5">
        <v>9.6884380310059317</v>
      </c>
      <c r="E494" s="5">
        <v>9.6837756065236142</v>
      </c>
      <c r="F494" s="5">
        <v>3.136585529552427E-2</v>
      </c>
      <c r="G494" s="5">
        <v>2.2996760796536009E-2</v>
      </c>
    </row>
    <row r="495" spans="1:7" x14ac:dyDescent="0.25">
      <c r="A495" s="12">
        <v>44888</v>
      </c>
      <c r="B495" s="13">
        <v>16471.900000000001</v>
      </c>
      <c r="C495" s="13">
        <v>16610</v>
      </c>
      <c r="D495" s="5">
        <v>9.7094111777809893</v>
      </c>
      <c r="E495" s="5">
        <v>9.7177602026073409</v>
      </c>
      <c r="F495" s="5">
        <v>2.0973146775057572E-2</v>
      </c>
      <c r="G495" s="5">
        <v>3.3984596083726615E-2</v>
      </c>
    </row>
    <row r="496" spans="1:7" x14ac:dyDescent="0.25">
      <c r="A496" s="12">
        <v>44889</v>
      </c>
      <c r="B496" s="13">
        <v>16543.55</v>
      </c>
      <c r="C496" s="17">
        <v>16610</v>
      </c>
      <c r="D496" s="5">
        <v>9.7137515767447997</v>
      </c>
      <c r="E496" s="5">
        <v>9.7177602026073409</v>
      </c>
      <c r="F496" s="5">
        <v>4.3403989638104434E-3</v>
      </c>
      <c r="G496" s="5">
        <v>0</v>
      </c>
    </row>
    <row r="497" spans="1:7" x14ac:dyDescent="0.25">
      <c r="A497" s="12">
        <v>44890</v>
      </c>
      <c r="B497" s="13">
        <v>16497.05</v>
      </c>
      <c r="C497" s="13">
        <v>16512.29</v>
      </c>
      <c r="D497" s="5">
        <v>9.7109368560254268</v>
      </c>
      <c r="E497" s="5">
        <v>9.7118602311115581</v>
      </c>
      <c r="F497" s="5">
        <v>-2.8147207193729429E-3</v>
      </c>
      <c r="G497" s="5">
        <v>-5.8999714957828076E-3</v>
      </c>
    </row>
    <row r="498" spans="1:7" x14ac:dyDescent="0.25">
      <c r="A498" s="12">
        <v>44893</v>
      </c>
      <c r="B498" s="13">
        <v>16196.39</v>
      </c>
      <c r="C498" s="13">
        <v>15990</v>
      </c>
      <c r="D498" s="5">
        <v>9.6925436568818899</v>
      </c>
      <c r="E498" s="5">
        <v>9.6797188058279993</v>
      </c>
      <c r="F498" s="5">
        <v>-1.8393199143536876E-2</v>
      </c>
      <c r="G498" s="5">
        <v>-3.2141425283558789E-2</v>
      </c>
    </row>
    <row r="499" spans="1:7" x14ac:dyDescent="0.25">
      <c r="A499" s="12">
        <v>44894</v>
      </c>
      <c r="B499" s="13">
        <v>16460.7</v>
      </c>
      <c r="C499" s="13">
        <v>16265</v>
      </c>
      <c r="D499" s="5">
        <v>9.7087310006658036</v>
      </c>
      <c r="E499" s="5">
        <v>9.696770838907451</v>
      </c>
      <c r="F499" s="5">
        <v>1.6187343783913732E-2</v>
      </c>
      <c r="G499" s="5">
        <v>1.7052033079451689E-2</v>
      </c>
    </row>
    <row r="500" spans="1:7" x14ac:dyDescent="0.25">
      <c r="A500" s="12">
        <v>44895</v>
      </c>
      <c r="B500" s="13">
        <v>17104.5</v>
      </c>
      <c r="C500" s="13">
        <v>17080</v>
      </c>
      <c r="D500" s="5">
        <v>9.7470968657655224</v>
      </c>
      <c r="E500" s="5">
        <v>9.7456634673425615</v>
      </c>
      <c r="F500" s="5">
        <v>3.8365865099718732E-2</v>
      </c>
      <c r="G500" s="5">
        <v>4.8892628435110552E-2</v>
      </c>
    </row>
    <row r="501" spans="1:7" x14ac:dyDescent="0.25">
      <c r="A501" s="12">
        <v>44896</v>
      </c>
      <c r="B501" s="13">
        <v>16929.96</v>
      </c>
      <c r="C501" s="13">
        <v>16820</v>
      </c>
      <c r="D501" s="5">
        <v>9.7368401124545727</v>
      </c>
      <c r="E501" s="5">
        <v>9.7303239335269396</v>
      </c>
      <c r="F501" s="5">
        <v>-1.0256753310949662E-2</v>
      </c>
      <c r="G501" s="5">
        <v>-1.533953381562192E-2</v>
      </c>
    </row>
    <row r="502" spans="1:7" x14ac:dyDescent="0.25">
      <c r="A502" s="12">
        <v>44897</v>
      </c>
      <c r="B502" s="13">
        <v>17014.59</v>
      </c>
      <c r="C502" s="13">
        <v>16995</v>
      </c>
      <c r="D502" s="5">
        <v>9.7418264902591414</v>
      </c>
      <c r="E502" s="5">
        <v>9.740674462130217</v>
      </c>
      <c r="F502" s="5">
        <v>4.9863778045686757E-3</v>
      </c>
      <c r="G502" s="5">
        <v>1.0350528603277453E-2</v>
      </c>
    </row>
    <row r="503" spans="1:7" x14ac:dyDescent="0.25">
      <c r="A503" s="12">
        <v>44900</v>
      </c>
      <c r="B503" s="13">
        <v>16972.240000000002</v>
      </c>
      <c r="C503" s="13">
        <v>16825</v>
      </c>
      <c r="D503" s="5">
        <v>9.7393343471602485</v>
      </c>
      <c r="E503" s="5">
        <v>9.730621154512928</v>
      </c>
      <c r="F503" s="5">
        <v>-2.4921430988928961E-3</v>
      </c>
      <c r="G503" s="5">
        <v>-1.0053307617289065E-2</v>
      </c>
    </row>
    <row r="504" spans="1:7" x14ac:dyDescent="0.25">
      <c r="A504" s="12">
        <v>44901</v>
      </c>
      <c r="B504" s="13">
        <v>16994.34</v>
      </c>
      <c r="C504" s="13">
        <v>16945</v>
      </c>
      <c r="D504" s="5">
        <v>9.7406356264246643</v>
      </c>
      <c r="E504" s="5">
        <v>9.7377280840411515</v>
      </c>
      <c r="F504" s="5">
        <v>1.3012792644158111E-3</v>
      </c>
      <c r="G504" s="5">
        <v>7.1069295282235601E-3</v>
      </c>
    </row>
    <row r="505" spans="1:7" x14ac:dyDescent="0.25">
      <c r="A505" s="12">
        <v>44902</v>
      </c>
      <c r="B505" s="13">
        <v>16830.68</v>
      </c>
      <c r="C505" s="13">
        <v>16725</v>
      </c>
      <c r="D505" s="5">
        <v>9.7309586904090342</v>
      </c>
      <c r="E505" s="5">
        <v>9.724659884996429</v>
      </c>
      <c r="F505" s="5">
        <v>-9.6769360156301332E-3</v>
      </c>
      <c r="G505" s="5">
        <v>-1.3068199044722562E-2</v>
      </c>
    </row>
    <row r="506" spans="1:7" x14ac:dyDescent="0.25">
      <c r="A506" s="12">
        <v>44903</v>
      </c>
      <c r="B506" s="13">
        <v>17184.099999999999</v>
      </c>
      <c r="C506" s="13">
        <v>17185</v>
      </c>
      <c r="D506" s="5">
        <v>9.7517398166585121</v>
      </c>
      <c r="E506" s="5">
        <v>9.7517921892839343</v>
      </c>
      <c r="F506" s="5">
        <v>2.0781126249477921E-2</v>
      </c>
      <c r="G506" s="5">
        <v>2.7132304287505349E-2</v>
      </c>
    </row>
    <row r="507" spans="1:7" x14ac:dyDescent="0.25">
      <c r="A507" s="12">
        <v>44904</v>
      </c>
      <c r="B507" s="13">
        <v>17113.29</v>
      </c>
      <c r="C507" s="13">
        <v>17035</v>
      </c>
      <c r="D507" s="5">
        <v>9.7476106336151318</v>
      </c>
      <c r="E507" s="5">
        <v>9.7430253300950671</v>
      </c>
      <c r="F507" s="5">
        <v>-4.1291830433802801E-3</v>
      </c>
      <c r="G507" s="5">
        <v>-8.7668591888672154E-3</v>
      </c>
    </row>
    <row r="508" spans="1:7" x14ac:dyDescent="0.25">
      <c r="A508" s="12">
        <v>44907</v>
      </c>
      <c r="B508" s="13">
        <v>17177.78</v>
      </c>
      <c r="C508" s="13">
        <v>17115</v>
      </c>
      <c r="D508" s="5">
        <v>9.7513719671653369</v>
      </c>
      <c r="E508" s="5">
        <v>9.7477105509642854</v>
      </c>
      <c r="F508" s="5">
        <v>3.761333550205137E-3</v>
      </c>
      <c r="G508" s="5">
        <v>4.6852208692182984E-3</v>
      </c>
    </row>
    <row r="509" spans="1:7" x14ac:dyDescent="0.25">
      <c r="A509" s="12">
        <v>44908</v>
      </c>
      <c r="B509" s="13">
        <v>17762</v>
      </c>
      <c r="C509" s="13">
        <v>17745</v>
      </c>
      <c r="D509" s="5">
        <v>9.7848166228184486</v>
      </c>
      <c r="E509" s="5">
        <v>9.7838590650805966</v>
      </c>
      <c r="F509" s="5">
        <v>3.344465565311161E-2</v>
      </c>
      <c r="G509" s="5">
        <v>3.6148514116311148E-2</v>
      </c>
    </row>
    <row r="510" spans="1:7" x14ac:dyDescent="0.25">
      <c r="A510" s="12">
        <v>44909</v>
      </c>
      <c r="B510" s="13">
        <v>17828.900000000001</v>
      </c>
      <c r="C510" s="13">
        <v>17795</v>
      </c>
      <c r="D510" s="5">
        <v>9.78857601517951</v>
      </c>
      <c r="E510" s="5">
        <v>9.7866727979442931</v>
      </c>
      <c r="F510" s="5">
        <v>3.7593923610614866E-3</v>
      </c>
      <c r="G510" s="5">
        <v>2.8137328636965719E-3</v>
      </c>
    </row>
    <row r="511" spans="1:7" x14ac:dyDescent="0.25">
      <c r="A511" s="12">
        <v>44910</v>
      </c>
      <c r="B511" s="13">
        <v>17399.63</v>
      </c>
      <c r="C511" s="13">
        <v>17395</v>
      </c>
      <c r="D511" s="5">
        <v>9.7642042206087147</v>
      </c>
      <c r="E511" s="5">
        <v>9.7639380875860429</v>
      </c>
      <c r="F511" s="5">
        <v>-2.4371794570795302E-2</v>
      </c>
      <c r="G511" s="5">
        <v>-2.2734710358250254E-2</v>
      </c>
    </row>
    <row r="512" spans="1:7" x14ac:dyDescent="0.25">
      <c r="A512" s="12">
        <v>44911</v>
      </c>
      <c r="B512" s="13">
        <v>16837.95</v>
      </c>
      <c r="C512" s="13">
        <v>16775</v>
      </c>
      <c r="D512" s="5">
        <v>9.7313905464193908</v>
      </c>
      <c r="E512" s="5">
        <v>9.7276449618398821</v>
      </c>
      <c r="F512" s="5">
        <v>-3.2813674189323905E-2</v>
      </c>
      <c r="G512" s="5">
        <v>-3.6293125746160726E-2</v>
      </c>
    </row>
    <row r="513" spans="1:7" x14ac:dyDescent="0.25">
      <c r="A513" s="12">
        <v>44914</v>
      </c>
      <c r="B513" s="13">
        <v>16586.82</v>
      </c>
      <c r="C513" s="13">
        <v>16495</v>
      </c>
      <c r="D513" s="5">
        <v>9.7163636830752136</v>
      </c>
      <c r="E513" s="5">
        <v>9.7108125836626815</v>
      </c>
      <c r="F513" s="5">
        <v>-1.5026863344177244E-2</v>
      </c>
      <c r="G513" s="5">
        <v>-1.6832378177200624E-2</v>
      </c>
    </row>
    <row r="514" spans="1:7" x14ac:dyDescent="0.25">
      <c r="A514" s="12">
        <v>44915</v>
      </c>
      <c r="B514" s="13">
        <v>16881.54</v>
      </c>
      <c r="C514" s="13">
        <v>16840</v>
      </c>
      <c r="D514" s="5">
        <v>9.7339759962160297</v>
      </c>
      <c r="E514" s="5">
        <v>9.7315122877963169</v>
      </c>
      <c r="F514" s="5">
        <v>1.7612313140816127E-2</v>
      </c>
      <c r="G514" s="5">
        <v>2.0699704133635421E-2</v>
      </c>
    </row>
    <row r="515" spans="1:7" x14ac:dyDescent="0.25">
      <c r="A515" s="12">
        <v>44916</v>
      </c>
      <c r="B515" s="13">
        <v>16793.099999999999</v>
      </c>
      <c r="C515" s="13">
        <v>16735</v>
      </c>
      <c r="D515" s="5">
        <v>9.7287233667394233</v>
      </c>
      <c r="E515" s="5">
        <v>9.725257613645427</v>
      </c>
      <c r="F515" s="5">
        <v>-5.2526294766064296E-3</v>
      </c>
      <c r="G515" s="5">
        <v>-6.2546741508899828E-3</v>
      </c>
    </row>
    <row r="516" spans="1:7" x14ac:dyDescent="0.25">
      <c r="A516" s="12">
        <v>44917</v>
      </c>
      <c r="B516" s="13">
        <v>16792.25</v>
      </c>
      <c r="C516" s="13">
        <v>16735</v>
      </c>
      <c r="D516" s="5">
        <v>9.728672749431567</v>
      </c>
      <c r="E516" s="5">
        <v>9.725257613645427</v>
      </c>
      <c r="F516" s="5">
        <v>-5.0617307856271054E-5</v>
      </c>
      <c r="G516" s="5">
        <v>0</v>
      </c>
    </row>
    <row r="517" spans="1:7" x14ac:dyDescent="0.25">
      <c r="A517" s="12">
        <v>44918</v>
      </c>
      <c r="B517" s="13">
        <v>16811.330000000002</v>
      </c>
      <c r="C517" s="13">
        <v>16780</v>
      </c>
      <c r="D517" s="5">
        <v>9.7298083428445565</v>
      </c>
      <c r="E517" s="5">
        <v>9.7279429800211972</v>
      </c>
      <c r="F517" s="5">
        <v>1.1355934129895218E-3</v>
      </c>
      <c r="G517" s="5">
        <v>2.6853663757702151E-3</v>
      </c>
    </row>
    <row r="518" spans="1:7" x14ac:dyDescent="0.25">
      <c r="A518" s="12">
        <v>44921</v>
      </c>
      <c r="B518" s="13">
        <v>16833.009999999998</v>
      </c>
      <c r="C518" s="17">
        <v>16780</v>
      </c>
      <c r="D518" s="5">
        <v>9.7310971184900747</v>
      </c>
      <c r="E518" s="5">
        <v>9.7279429800211972</v>
      </c>
      <c r="F518" s="5">
        <v>1.2887756455182142E-3</v>
      </c>
      <c r="G518" s="5">
        <v>0</v>
      </c>
    </row>
    <row r="519" spans="1:7" x14ac:dyDescent="0.25">
      <c r="A519" s="12">
        <v>44922</v>
      </c>
      <c r="B519" s="13">
        <v>16692.55</v>
      </c>
      <c r="C519" s="13">
        <v>16595</v>
      </c>
      <c r="D519" s="5">
        <v>9.7227177910847349</v>
      </c>
      <c r="E519" s="5">
        <v>9.7168567241540753</v>
      </c>
      <c r="F519" s="5">
        <v>-8.3793274053398648E-3</v>
      </c>
      <c r="G519" s="5">
        <v>-1.1086255867121864E-2</v>
      </c>
    </row>
    <row r="520" spans="1:7" x14ac:dyDescent="0.25">
      <c r="A520" s="12">
        <v>44923</v>
      </c>
      <c r="B520" s="13">
        <v>16517.32</v>
      </c>
      <c r="C520" s="13">
        <v>16570</v>
      </c>
      <c r="D520" s="5">
        <v>9.7121648063117423</v>
      </c>
      <c r="E520" s="5">
        <v>9.7153491104206093</v>
      </c>
      <c r="F520" s="5">
        <v>-1.0552984772992602E-2</v>
      </c>
      <c r="G520" s="5">
        <v>-1.5076137334659734E-3</v>
      </c>
    </row>
    <row r="521" spans="1:7" x14ac:dyDescent="0.25">
      <c r="A521" s="12">
        <v>44924</v>
      </c>
      <c r="B521" s="13">
        <v>16593.400000000001</v>
      </c>
      <c r="C521" s="13">
        <v>16585</v>
      </c>
      <c r="D521" s="5">
        <v>9.7167603049231843</v>
      </c>
      <c r="E521" s="5">
        <v>9.7162539513811534</v>
      </c>
      <c r="F521" s="5">
        <v>4.5954986114420393E-3</v>
      </c>
      <c r="G521" s="5">
        <v>9.0484096054410657E-4</v>
      </c>
    </row>
    <row r="522" spans="1:7" x14ac:dyDescent="0.25">
      <c r="A522" s="12">
        <v>44925</v>
      </c>
      <c r="B522" s="13">
        <v>16579.060000000001</v>
      </c>
      <c r="C522" s="13">
        <v>16498.080000000002</v>
      </c>
      <c r="D522" s="5">
        <v>9.7158957322690469</v>
      </c>
      <c r="E522" s="5">
        <v>9.7109992894815349</v>
      </c>
      <c r="F522" s="5">
        <v>-8.6457265413741879E-4</v>
      </c>
      <c r="G522" s="5">
        <v>-5.2546618996185401E-3</v>
      </c>
    </row>
    <row r="523" spans="1:7" x14ac:dyDescent="0.25">
      <c r="A523" s="12">
        <v>44928</v>
      </c>
      <c r="B523" s="13">
        <v>16750.939999999999</v>
      </c>
      <c r="C523" s="17">
        <v>16498.080000000002</v>
      </c>
      <c r="D523" s="5">
        <v>9.7262096550815631</v>
      </c>
      <c r="E523" s="5">
        <v>9.7109992894815349</v>
      </c>
      <c r="F523" s="5">
        <v>1.0313922812516196E-2</v>
      </c>
      <c r="G523" s="5">
        <v>0</v>
      </c>
    </row>
    <row r="524" spans="1:7" x14ac:dyDescent="0.25">
      <c r="A524" s="12">
        <v>44929</v>
      </c>
      <c r="B524" s="13">
        <v>16661.86</v>
      </c>
      <c r="C524" s="13">
        <v>16615</v>
      </c>
      <c r="D524" s="5">
        <v>9.7208775541468952</v>
      </c>
      <c r="E524" s="5">
        <v>9.7180611807886947</v>
      </c>
      <c r="F524" s="5">
        <v>-5.3321009346678494E-3</v>
      </c>
      <c r="G524" s="5">
        <v>7.0618913071598399E-3</v>
      </c>
    </row>
    <row r="525" spans="1:7" x14ac:dyDescent="0.25">
      <c r="A525" s="12">
        <v>44930</v>
      </c>
      <c r="B525" s="13">
        <v>16821.82</v>
      </c>
      <c r="C525" s="13">
        <v>16780</v>
      </c>
      <c r="D525" s="5">
        <v>9.730432132191682</v>
      </c>
      <c r="E525" s="5">
        <v>9.7279429800211972</v>
      </c>
      <c r="F525" s="5">
        <v>9.5545780447867656E-3</v>
      </c>
      <c r="G525" s="5">
        <v>9.8817992325024306E-3</v>
      </c>
    </row>
    <row r="526" spans="1:7" x14ac:dyDescent="0.25">
      <c r="A526" s="12">
        <v>44931</v>
      </c>
      <c r="B526" s="13">
        <v>16844.62</v>
      </c>
      <c r="C526" s="13">
        <v>16840</v>
      </c>
      <c r="D526" s="5">
        <v>9.7317865969634667</v>
      </c>
      <c r="E526" s="5">
        <v>9.7315122877963169</v>
      </c>
      <c r="F526" s="5">
        <v>1.3544647717846914E-3</v>
      </c>
      <c r="G526" s="5">
        <v>3.5693077751197677E-3</v>
      </c>
    </row>
    <row r="527" spans="1:7" x14ac:dyDescent="0.25">
      <c r="A527" s="12">
        <v>44932</v>
      </c>
      <c r="B527" s="13">
        <v>16927.86</v>
      </c>
      <c r="C527" s="13">
        <v>16895</v>
      </c>
      <c r="D527" s="5">
        <v>9.7367160643024651</v>
      </c>
      <c r="E527" s="5">
        <v>9.7347729991483902</v>
      </c>
      <c r="F527" s="5">
        <v>4.9294673389983501E-3</v>
      </c>
      <c r="G527" s="5">
        <v>3.2607113520732867E-3</v>
      </c>
    </row>
    <row r="528" spans="1:7" x14ac:dyDescent="0.25">
      <c r="A528" s="12">
        <v>44935</v>
      </c>
      <c r="B528" s="13">
        <v>17181.34</v>
      </c>
      <c r="C528" s="13">
        <v>17225</v>
      </c>
      <c r="D528" s="5">
        <v>9.7515791901682967</v>
      </c>
      <c r="E528" s="5">
        <v>9.7541170958818597</v>
      </c>
      <c r="F528" s="5">
        <v>1.4863125865831606E-2</v>
      </c>
      <c r="G528" s="5">
        <v>1.9344096733469485E-2</v>
      </c>
    </row>
    <row r="529" spans="1:7" x14ac:dyDescent="0.25">
      <c r="A529" s="12">
        <v>44936</v>
      </c>
      <c r="B529" s="13">
        <v>17466.71</v>
      </c>
      <c r="C529" s="13">
        <v>17535</v>
      </c>
      <c r="D529" s="5">
        <v>9.7680520625539771</v>
      </c>
      <c r="E529" s="5">
        <v>9.7719541625742785</v>
      </c>
      <c r="F529" s="5">
        <v>1.6472872385680404E-2</v>
      </c>
      <c r="G529" s="5">
        <v>1.7837066692418801E-2</v>
      </c>
    </row>
    <row r="530" spans="1:7" x14ac:dyDescent="0.25">
      <c r="A530" s="12">
        <v>44937</v>
      </c>
      <c r="B530" s="13">
        <v>17560.599999999999</v>
      </c>
      <c r="C530" s="13">
        <v>17615</v>
      </c>
      <c r="D530" s="5">
        <v>9.7734130351702966</v>
      </c>
      <c r="E530" s="5">
        <v>9.7765060907753387</v>
      </c>
      <c r="F530" s="5">
        <v>5.3609726163195148E-3</v>
      </c>
      <c r="G530" s="5">
        <v>4.5519282010602069E-3</v>
      </c>
    </row>
    <row r="531" spans="1:7" x14ac:dyDescent="0.25">
      <c r="A531" s="12">
        <v>44938</v>
      </c>
      <c r="B531" s="13">
        <v>18830.98</v>
      </c>
      <c r="C531" s="13">
        <v>19155</v>
      </c>
      <c r="D531" s="5">
        <v>9.843258664906589</v>
      </c>
      <c r="E531" s="5">
        <v>9.860319057134749</v>
      </c>
      <c r="F531" s="5">
        <v>6.9845629736292381E-2</v>
      </c>
      <c r="G531" s="5">
        <v>8.3812966359410268E-2</v>
      </c>
    </row>
    <row r="532" spans="1:7" x14ac:dyDescent="0.25">
      <c r="A532" s="12">
        <v>44939</v>
      </c>
      <c r="B532" s="13">
        <v>19813.55</v>
      </c>
      <c r="C532" s="13">
        <v>19550</v>
      </c>
      <c r="D532" s="5">
        <v>9.8941213260607785</v>
      </c>
      <c r="E532" s="5">
        <v>9.8807305654135114</v>
      </c>
      <c r="F532" s="5">
        <v>5.0862661154189581E-2</v>
      </c>
      <c r="G532" s="5">
        <v>2.0411508278762369E-2</v>
      </c>
    </row>
    <row r="533" spans="1:7" x14ac:dyDescent="0.25">
      <c r="A533" s="12">
        <v>44942</v>
      </c>
      <c r="B533" s="13">
        <v>21133.18</v>
      </c>
      <c r="C533" s="17">
        <v>19550</v>
      </c>
      <c r="D533" s="5">
        <v>9.9585995962103819</v>
      </c>
      <c r="E533" s="5">
        <v>9.8807305654135114</v>
      </c>
      <c r="F533" s="5">
        <v>6.4478270149603389E-2</v>
      </c>
      <c r="G533" s="5">
        <v>0</v>
      </c>
    </row>
    <row r="534" spans="1:7" x14ac:dyDescent="0.25">
      <c r="A534" s="12">
        <v>44943</v>
      </c>
      <c r="B534" s="13">
        <v>21316.080000000002</v>
      </c>
      <c r="C534" s="13">
        <v>21485</v>
      </c>
      <c r="D534" s="5">
        <v>9.9672169964589834</v>
      </c>
      <c r="E534" s="5">
        <v>9.9751102962090954</v>
      </c>
      <c r="F534" s="5">
        <v>8.61740024860147E-3</v>
      </c>
      <c r="G534" s="5">
        <v>9.4379730795584038E-2</v>
      </c>
    </row>
    <row r="535" spans="1:7" x14ac:dyDescent="0.25">
      <c r="A535" s="12">
        <v>44944</v>
      </c>
      <c r="B535" s="13">
        <v>20778.650000000001</v>
      </c>
      <c r="C535" s="13">
        <v>20800</v>
      </c>
      <c r="D535" s="5">
        <v>9.9416812962290528</v>
      </c>
      <c r="E535" s="5">
        <v>9.9427082656894097</v>
      </c>
      <c r="F535" s="5">
        <v>-2.5535700229930569E-2</v>
      </c>
      <c r="G535" s="5">
        <v>-3.2402030519685709E-2</v>
      </c>
    </row>
    <row r="536" spans="1:7" x14ac:dyDescent="0.25">
      <c r="A536" s="12">
        <v>44945</v>
      </c>
      <c r="B536" s="13">
        <v>20939.64</v>
      </c>
      <c r="C536" s="13">
        <v>21200</v>
      </c>
      <c r="D536" s="5">
        <v>9.9493992922996668</v>
      </c>
      <c r="E536" s="5">
        <v>9.9617564606601032</v>
      </c>
      <c r="F536" s="5">
        <v>7.7179960706139639E-3</v>
      </c>
      <c r="G536" s="5">
        <v>1.9048194970693544E-2</v>
      </c>
    </row>
    <row r="537" spans="1:7" x14ac:dyDescent="0.25">
      <c r="A537" s="12">
        <v>44946</v>
      </c>
      <c r="B537" s="13">
        <v>22318.240000000002</v>
      </c>
      <c r="C537" s="13">
        <v>22390</v>
      </c>
      <c r="D537" s="5">
        <v>10.013159560339588</v>
      </c>
      <c r="E537" s="5">
        <v>10.0163697095928</v>
      </c>
      <c r="F537" s="5">
        <v>6.3760268039921186E-2</v>
      </c>
      <c r="G537" s="5">
        <v>5.4613248932696479E-2</v>
      </c>
    </row>
    <row r="538" spans="1:7" x14ac:dyDescent="0.25">
      <c r="A538" s="12">
        <v>44949</v>
      </c>
      <c r="B538" s="13">
        <v>22998.16</v>
      </c>
      <c r="C538" s="13">
        <v>23090</v>
      </c>
      <c r="D538" s="5">
        <v>10.043169491711117</v>
      </c>
      <c r="E538" s="5">
        <v>10.047154902348542</v>
      </c>
      <c r="F538" s="5">
        <v>3.0009931371528964E-2</v>
      </c>
      <c r="G538" s="5">
        <v>3.0785192755741875E-2</v>
      </c>
    </row>
    <row r="539" spans="1:7" x14ac:dyDescent="0.25">
      <c r="A539" s="12">
        <v>44950</v>
      </c>
      <c r="B539" s="13">
        <v>22904.83</v>
      </c>
      <c r="C539" s="13">
        <v>23065</v>
      </c>
      <c r="D539" s="5">
        <v>10.039103084333028</v>
      </c>
      <c r="E539" s="5">
        <v>10.04607159599192</v>
      </c>
      <c r="F539" s="5">
        <v>-4.0664073780884991E-3</v>
      </c>
      <c r="G539" s="5">
        <v>-1.0833063566213497E-3</v>
      </c>
    </row>
    <row r="540" spans="1:7" x14ac:dyDescent="0.25">
      <c r="A540" s="12">
        <v>44951</v>
      </c>
      <c r="B540" s="13">
        <v>23598.240000000002</v>
      </c>
      <c r="C540" s="13">
        <v>22940</v>
      </c>
      <c r="D540" s="5">
        <v>10.068927411961567</v>
      </c>
      <c r="E540" s="5">
        <v>10.040637390683361</v>
      </c>
      <c r="F540" s="5">
        <v>2.9824327628539038E-2</v>
      </c>
      <c r="G540" s="5">
        <v>-5.4342053085587594E-3</v>
      </c>
    </row>
    <row r="541" spans="1:7" x14ac:dyDescent="0.25">
      <c r="A541" s="12">
        <v>44952</v>
      </c>
      <c r="B541" s="13">
        <v>23080.959999999999</v>
      </c>
      <c r="C541" s="13">
        <v>23075</v>
      </c>
      <c r="D541" s="5">
        <v>10.046763314211084</v>
      </c>
      <c r="E541" s="5">
        <v>10.046505059371054</v>
      </c>
      <c r="F541" s="5">
        <v>-2.2164097750483336E-2</v>
      </c>
      <c r="G541" s="5">
        <v>5.8676686876921735E-3</v>
      </c>
    </row>
    <row r="542" spans="1:7" x14ac:dyDescent="0.25">
      <c r="A542" s="12">
        <v>44953</v>
      </c>
      <c r="B542" s="13">
        <v>23092</v>
      </c>
      <c r="C542" s="13">
        <v>23052.73</v>
      </c>
      <c r="D542" s="5">
        <v>10.047241516180824</v>
      </c>
      <c r="E542" s="5">
        <v>10.045539479589422</v>
      </c>
      <c r="F542" s="5">
        <v>4.7820196973979989E-4</v>
      </c>
      <c r="G542" s="5">
        <v>-9.6557978163147595E-4</v>
      </c>
    </row>
    <row r="543" spans="1:7" x14ac:dyDescent="0.25">
      <c r="A543" s="12">
        <v>44956</v>
      </c>
      <c r="B543" s="13">
        <v>22747.14</v>
      </c>
      <c r="C543" s="13">
        <v>22825</v>
      </c>
      <c r="D543" s="5">
        <v>10.032194702190679</v>
      </c>
      <c r="E543" s="5">
        <v>10.03561170546317</v>
      </c>
      <c r="F543" s="5">
        <v>-1.5046813990144514E-2</v>
      </c>
      <c r="G543" s="5">
        <v>-9.9277741262522312E-3</v>
      </c>
    </row>
    <row r="544" spans="1:7" x14ac:dyDescent="0.25">
      <c r="A544" s="12">
        <v>44957</v>
      </c>
      <c r="B544" s="13">
        <v>22950.560000000001</v>
      </c>
      <c r="C544" s="13">
        <v>23250</v>
      </c>
      <c r="D544" s="5">
        <v>10.041097616062455</v>
      </c>
      <c r="E544" s="5">
        <v>10.054060411015502</v>
      </c>
      <c r="F544" s="5">
        <v>8.9029138717755529E-3</v>
      </c>
      <c r="G544" s="5">
        <v>1.8448705552332356E-2</v>
      </c>
    </row>
    <row r="545" spans="1:7" x14ac:dyDescent="0.25">
      <c r="A545" s="12">
        <v>44958</v>
      </c>
      <c r="B545" s="13">
        <v>23682.05</v>
      </c>
      <c r="C545" s="13">
        <v>23755</v>
      </c>
      <c r="D545" s="5">
        <v>10.07247265619684</v>
      </c>
      <c r="E545" s="5">
        <v>10.075548313621022</v>
      </c>
      <c r="F545" s="5">
        <v>3.1375040134385301E-2</v>
      </c>
      <c r="G545" s="5">
        <v>2.1487902605519693E-2</v>
      </c>
    </row>
    <row r="546" spans="1:7" x14ac:dyDescent="0.25">
      <c r="A546" s="12">
        <v>44959</v>
      </c>
      <c r="B546" s="13">
        <v>23460.05</v>
      </c>
      <c r="C546" s="13">
        <v>24005</v>
      </c>
      <c r="D546" s="5">
        <v>10.063054253492492</v>
      </c>
      <c r="E546" s="5">
        <v>10.086017420965041</v>
      </c>
      <c r="F546" s="5">
        <v>-9.4184027043482388E-3</v>
      </c>
      <c r="G546" s="5">
        <v>1.0469107344018624E-2</v>
      </c>
    </row>
    <row r="547" spans="1:7" x14ac:dyDescent="0.25">
      <c r="A547" s="12">
        <v>44960</v>
      </c>
      <c r="B547" s="13">
        <v>23383.51</v>
      </c>
      <c r="C547" s="13">
        <v>23485</v>
      </c>
      <c r="D547" s="5">
        <v>10.059786352072731</v>
      </c>
      <c r="E547" s="5">
        <v>10.064117198461096</v>
      </c>
      <c r="F547" s="5">
        <v>-3.2679014197611878E-3</v>
      </c>
      <c r="G547" s="5">
        <v>-2.1900222503944633E-2</v>
      </c>
    </row>
    <row r="548" spans="1:7" x14ac:dyDescent="0.25">
      <c r="A548" s="12">
        <v>44963</v>
      </c>
      <c r="B548" s="13">
        <v>22916.21</v>
      </c>
      <c r="C548" s="13">
        <v>23110</v>
      </c>
      <c r="D548" s="5">
        <v>10.03959979938943</v>
      </c>
      <c r="E548" s="5">
        <v>10.048020703268426</v>
      </c>
      <c r="F548" s="5">
        <v>-2.0186552683300718E-2</v>
      </c>
      <c r="G548" s="5">
        <v>-1.6096495192670091E-2</v>
      </c>
    </row>
    <row r="549" spans="1:7" x14ac:dyDescent="0.25">
      <c r="A549" s="12">
        <v>44964</v>
      </c>
      <c r="B549" s="13">
        <v>23199.48</v>
      </c>
      <c r="C549" s="13">
        <v>23300</v>
      </c>
      <c r="D549" s="5">
        <v>10.051885143610106</v>
      </c>
      <c r="E549" s="5">
        <v>10.056208639553791</v>
      </c>
      <c r="F549" s="5">
        <v>1.2285344220675398E-2</v>
      </c>
      <c r="G549" s="5">
        <v>8.1879362853651827E-3</v>
      </c>
    </row>
    <row r="550" spans="1:7" x14ac:dyDescent="0.25">
      <c r="A550" s="12">
        <v>44965</v>
      </c>
      <c r="B550" s="13">
        <v>22959.05</v>
      </c>
      <c r="C550" s="13">
        <v>22885</v>
      </c>
      <c r="D550" s="5">
        <v>10.04146747327086</v>
      </c>
      <c r="E550" s="5">
        <v>10.038236953087743</v>
      </c>
      <c r="F550" s="5">
        <v>-1.0417670339245788E-2</v>
      </c>
      <c r="G550" s="5">
        <v>-1.7971686466047743E-2</v>
      </c>
    </row>
    <row r="551" spans="1:7" x14ac:dyDescent="0.25">
      <c r="A551" s="12">
        <v>44966</v>
      </c>
      <c r="B551" s="13">
        <v>21857.43</v>
      </c>
      <c r="C551" s="13">
        <v>22010</v>
      </c>
      <c r="D551" s="5">
        <v>9.9922961884878685</v>
      </c>
      <c r="E551" s="5">
        <v>9.9992521745205067</v>
      </c>
      <c r="F551" s="5">
        <v>-4.9171284782991265E-2</v>
      </c>
      <c r="G551" s="5">
        <v>-3.8984778567236589E-2</v>
      </c>
    </row>
    <row r="552" spans="1:7" x14ac:dyDescent="0.25">
      <c r="A552" s="12">
        <v>44967</v>
      </c>
      <c r="B552" s="13">
        <v>21540.9</v>
      </c>
      <c r="C552" s="13">
        <v>21775</v>
      </c>
      <c r="D552" s="5">
        <v>9.9777087325673115</v>
      </c>
      <c r="E552" s="5">
        <v>9.9885178017207039</v>
      </c>
      <c r="F552" s="5">
        <v>-1.4587455920556991E-2</v>
      </c>
      <c r="G552" s="5">
        <v>-1.0734372799802827E-2</v>
      </c>
    </row>
    <row r="553" spans="1:7" x14ac:dyDescent="0.25">
      <c r="A553" s="12">
        <v>44970</v>
      </c>
      <c r="B553" s="13">
        <v>21630.92</v>
      </c>
      <c r="C553" s="13">
        <v>21710</v>
      </c>
      <c r="D553" s="5">
        <v>9.981879051560842</v>
      </c>
      <c r="E553" s="5">
        <v>9.9855282628723376</v>
      </c>
      <c r="F553" s="5">
        <v>4.1703189935304863E-3</v>
      </c>
      <c r="G553" s="5">
        <v>-2.9895388483662799E-3</v>
      </c>
    </row>
    <row r="554" spans="1:7" x14ac:dyDescent="0.25">
      <c r="A554" s="12">
        <v>44971</v>
      </c>
      <c r="B554" s="13">
        <v>22252.63</v>
      </c>
      <c r="C554" s="13">
        <v>22335</v>
      </c>
      <c r="D554" s="5">
        <v>10.010215482856243</v>
      </c>
      <c r="E554" s="5">
        <v>10.01391023378622</v>
      </c>
      <c r="F554" s="5">
        <v>2.8336431295400644E-2</v>
      </c>
      <c r="G554" s="5">
        <v>2.8381970913882171E-2</v>
      </c>
    </row>
    <row r="555" spans="1:7" x14ac:dyDescent="0.25">
      <c r="A555" s="12">
        <v>44972</v>
      </c>
      <c r="B555" s="13">
        <v>24179.13</v>
      </c>
      <c r="C555" s="13">
        <v>24250</v>
      </c>
      <c r="D555" s="5">
        <v>10.093245143372599</v>
      </c>
      <c r="E555" s="5">
        <v>10.096171896365629</v>
      </c>
      <c r="F555" s="5">
        <v>8.3029660516356074E-2</v>
      </c>
      <c r="G555" s="5">
        <v>8.2261662579409034E-2</v>
      </c>
    </row>
    <row r="556" spans="1:7" x14ac:dyDescent="0.25">
      <c r="A556" s="12">
        <v>44973</v>
      </c>
      <c r="B556" s="13">
        <v>24535.46</v>
      </c>
      <c r="C556" s="13">
        <v>24640</v>
      </c>
      <c r="D556" s="5">
        <v>10.107874697074559</v>
      </c>
      <c r="E556" s="5">
        <v>10.112126417647456</v>
      </c>
      <c r="F556" s="5">
        <v>1.4629553701960063E-2</v>
      </c>
      <c r="G556" s="5">
        <v>1.5954521281827283E-2</v>
      </c>
    </row>
    <row r="557" spans="1:7" x14ac:dyDescent="0.25">
      <c r="A557" s="12">
        <v>44974</v>
      </c>
      <c r="B557" s="13">
        <v>24487.25</v>
      </c>
      <c r="C557" s="13">
        <v>24870</v>
      </c>
      <c r="D557" s="5">
        <v>10.105907852910226</v>
      </c>
      <c r="E557" s="5">
        <v>10.12141753679745</v>
      </c>
      <c r="F557" s="5">
        <v>-1.9668441643325707E-3</v>
      </c>
      <c r="G557" s="5">
        <v>9.2911191499940315E-3</v>
      </c>
    </row>
    <row r="558" spans="1:7" x14ac:dyDescent="0.25">
      <c r="A558" s="12">
        <v>44977</v>
      </c>
      <c r="B558" s="13">
        <v>24769.17</v>
      </c>
      <c r="C558" s="17">
        <v>24870</v>
      </c>
      <c r="D558" s="5">
        <v>10.117355013645851</v>
      </c>
      <c r="E558" s="5">
        <v>10.12141753679745</v>
      </c>
      <c r="F558" s="5">
        <v>1.1447160735624351E-2</v>
      </c>
      <c r="G558" s="5">
        <v>0</v>
      </c>
    </row>
    <row r="559" spans="1:7" x14ac:dyDescent="0.25">
      <c r="A559" s="12">
        <v>44978</v>
      </c>
      <c r="B559" s="13">
        <v>24199.85</v>
      </c>
      <c r="C559" s="13">
        <v>24490</v>
      </c>
      <c r="D559" s="5">
        <v>10.094101713778461</v>
      </c>
      <c r="E559" s="5">
        <v>10.106020149946213</v>
      </c>
      <c r="F559" s="5">
        <v>-2.3253299867389998E-2</v>
      </c>
      <c r="G559" s="5">
        <v>-1.5397386851237371E-2</v>
      </c>
    </row>
    <row r="560" spans="1:7" x14ac:dyDescent="0.25">
      <c r="A560" s="12">
        <v>44979</v>
      </c>
      <c r="B560" s="13">
        <v>23805.88</v>
      </c>
      <c r="C560" s="13">
        <v>23800</v>
      </c>
      <c r="D560" s="5">
        <v>10.077687887969089</v>
      </c>
      <c r="E560" s="5">
        <v>10.077440859659566</v>
      </c>
      <c r="F560" s="5">
        <v>-1.6413825809371119E-2</v>
      </c>
      <c r="G560" s="5">
        <v>-2.8579290286646852E-2</v>
      </c>
    </row>
    <row r="561" spans="1:7" x14ac:dyDescent="0.25">
      <c r="A561" s="12">
        <v>44980</v>
      </c>
      <c r="B561" s="13">
        <v>23878.02</v>
      </c>
      <c r="C561" s="13">
        <v>23920</v>
      </c>
      <c r="D561" s="5">
        <v>10.080713649496071</v>
      </c>
      <c r="E561" s="5">
        <v>10.082470208064567</v>
      </c>
      <c r="F561" s="5">
        <v>3.0257615269810856E-3</v>
      </c>
      <c r="G561" s="5">
        <v>5.0293484050012438E-3</v>
      </c>
    </row>
    <row r="562" spans="1:7" x14ac:dyDescent="0.25">
      <c r="A562" s="12">
        <v>44981</v>
      </c>
      <c r="B562" s="13">
        <v>23101.79</v>
      </c>
      <c r="C562" s="13">
        <v>23576.05</v>
      </c>
      <c r="D562" s="5">
        <v>10.047665382685244</v>
      </c>
      <c r="E562" s="5">
        <v>10.067986645216097</v>
      </c>
      <c r="F562" s="5">
        <v>-3.3048266810826732E-2</v>
      </c>
      <c r="G562" s="5">
        <v>-1.4483562848470299E-2</v>
      </c>
    </row>
    <row r="563" spans="1:7" x14ac:dyDescent="0.25">
      <c r="A563" s="12">
        <v>44984</v>
      </c>
      <c r="B563" s="13">
        <v>23384.87</v>
      </c>
      <c r="C563" s="13">
        <v>23445</v>
      </c>
      <c r="D563" s="5">
        <v>10.059844511025441</v>
      </c>
      <c r="E563" s="5">
        <v>10.062412531523687</v>
      </c>
      <c r="F563" s="5">
        <v>1.2179128340196854E-2</v>
      </c>
      <c r="G563" s="5">
        <v>-5.5741136924094548E-3</v>
      </c>
    </row>
    <row r="564" spans="1:7" x14ac:dyDescent="0.25">
      <c r="A564" s="12">
        <v>44985</v>
      </c>
      <c r="B564" s="13">
        <v>23146.880000000001</v>
      </c>
      <c r="C564" s="13">
        <v>23410</v>
      </c>
      <c r="D564" s="5">
        <v>10.049615277213512</v>
      </c>
      <c r="E564" s="5">
        <v>10.060918560484957</v>
      </c>
      <c r="F564" s="5">
        <v>-1.0229233811928751E-2</v>
      </c>
      <c r="G564" s="5">
        <v>-1.4939710387302796E-3</v>
      </c>
    </row>
    <row r="565" spans="1:7" x14ac:dyDescent="0.25">
      <c r="A565" s="12">
        <v>44986</v>
      </c>
      <c r="B565" s="13">
        <v>23558.34</v>
      </c>
      <c r="C565" s="13">
        <v>23530</v>
      </c>
      <c r="D565" s="5">
        <v>10.067235176879139</v>
      </c>
      <c r="E565" s="5">
        <v>10.066031481721408</v>
      </c>
      <c r="F565" s="5">
        <v>1.7619899665627159E-2</v>
      </c>
      <c r="G565" s="5">
        <v>5.1129212364511289E-3</v>
      </c>
    </row>
    <row r="566" spans="1:7" x14ac:dyDescent="0.25">
      <c r="A566" s="12">
        <v>44987</v>
      </c>
      <c r="B566" s="13">
        <v>23415.5</v>
      </c>
      <c r="C566" s="13">
        <v>23590</v>
      </c>
      <c r="D566" s="5">
        <v>10.061153475222666</v>
      </c>
      <c r="E566" s="5">
        <v>10.06857817240172</v>
      </c>
      <c r="F566" s="5">
        <v>-6.0817016564733706E-3</v>
      </c>
      <c r="G566" s="5">
        <v>2.5466906803117695E-3</v>
      </c>
    </row>
    <row r="567" spans="1:7" x14ac:dyDescent="0.25">
      <c r="A567" s="12">
        <v>44988</v>
      </c>
      <c r="B567" s="13">
        <v>22242.639999999999</v>
      </c>
      <c r="C567" s="13">
        <v>22320</v>
      </c>
      <c r="D567" s="5">
        <v>10.009766446355604</v>
      </c>
      <c r="E567" s="5">
        <v>10.013238416495247</v>
      </c>
      <c r="F567" s="5">
        <v>-5.1387028867061701E-2</v>
      </c>
      <c r="G567" s="5">
        <v>-5.5339755906473442E-2</v>
      </c>
    </row>
    <row r="568" spans="1:7" x14ac:dyDescent="0.25">
      <c r="A568" s="12">
        <v>44991</v>
      </c>
      <c r="B568" s="13">
        <v>22408.87</v>
      </c>
      <c r="C568" s="13">
        <v>22390</v>
      </c>
      <c r="D568" s="5">
        <v>10.01721214160575</v>
      </c>
      <c r="E568" s="5">
        <v>10.0163697095928</v>
      </c>
      <c r="F568" s="5">
        <v>7.4456952501460449E-3</v>
      </c>
      <c r="G568" s="5">
        <v>3.1312930975531117E-3</v>
      </c>
    </row>
    <row r="569" spans="1:7" x14ac:dyDescent="0.25">
      <c r="A569" s="12">
        <v>44992</v>
      </c>
      <c r="B569" s="13">
        <v>22055.35</v>
      </c>
      <c r="C569" s="13">
        <v>22070</v>
      </c>
      <c r="D569" s="5">
        <v>10.001310481830489</v>
      </c>
      <c r="E569" s="5">
        <v>10.001974499250782</v>
      </c>
      <c r="F569" s="5">
        <v>-1.5901659775261479E-2</v>
      </c>
      <c r="G569" s="5">
        <v>-1.4395210342017961E-2</v>
      </c>
    </row>
    <row r="570" spans="1:7" x14ac:dyDescent="0.25">
      <c r="A570" s="12">
        <v>44993</v>
      </c>
      <c r="B570" s="13">
        <v>22006.5</v>
      </c>
      <c r="C570" s="13">
        <v>22115</v>
      </c>
      <c r="D570" s="5">
        <v>9.9990931432478085</v>
      </c>
      <c r="E570" s="5">
        <v>10.004011390302427</v>
      </c>
      <c r="F570" s="5">
        <v>-2.2173385826800285E-3</v>
      </c>
      <c r="G570" s="5">
        <v>2.0368910516452843E-3</v>
      </c>
    </row>
    <row r="571" spans="1:7" x14ac:dyDescent="0.25">
      <c r="A571" s="12">
        <v>44994</v>
      </c>
      <c r="B571" s="13">
        <v>20226.09</v>
      </c>
      <c r="C571" s="13">
        <v>20065</v>
      </c>
      <c r="D571" s="5">
        <v>9.9147286341704</v>
      </c>
      <c r="E571" s="5">
        <v>9.9067322827010162</v>
      </c>
      <c r="F571" s="5">
        <v>-8.4364509077408556E-2</v>
      </c>
      <c r="G571" s="5">
        <v>-9.7279107601410786E-2</v>
      </c>
    </row>
    <row r="572" spans="1:7" x14ac:dyDescent="0.25">
      <c r="A572" s="12">
        <v>44995</v>
      </c>
      <c r="B572" s="13">
        <v>20101.78</v>
      </c>
      <c r="C572" s="13">
        <v>19965</v>
      </c>
      <c r="D572" s="5">
        <v>9.9085636473401379</v>
      </c>
      <c r="E572" s="5">
        <v>9.9017360194973225</v>
      </c>
      <c r="F572" s="5">
        <v>-6.1649868302620092E-3</v>
      </c>
      <c r="G572" s="5">
        <v>-4.9962632036937293E-3</v>
      </c>
    </row>
    <row r="573" spans="1:7" x14ac:dyDescent="0.25">
      <c r="A573" s="12">
        <v>44998</v>
      </c>
      <c r="B573" s="13">
        <v>24234.19</v>
      </c>
      <c r="C573" s="13">
        <v>24405</v>
      </c>
      <c r="D573" s="5">
        <v>10.095519724985211</v>
      </c>
      <c r="E573" s="5">
        <v>10.102543308321248</v>
      </c>
      <c r="F573" s="5">
        <v>0.18695607764507294</v>
      </c>
      <c r="G573" s="5">
        <v>0.20080728882392584</v>
      </c>
    </row>
    <row r="574" spans="1:7" x14ac:dyDescent="0.25">
      <c r="A574" s="12">
        <v>44999</v>
      </c>
      <c r="B574" s="13">
        <v>24636.25</v>
      </c>
      <c r="C574" s="13">
        <v>25240</v>
      </c>
      <c r="D574" s="5">
        <v>10.111974214506704</v>
      </c>
      <c r="E574" s="5">
        <v>10.136185316655149</v>
      </c>
      <c r="F574" s="5">
        <v>1.6454489521493088E-2</v>
      </c>
      <c r="G574" s="5">
        <v>3.3642008333901074E-2</v>
      </c>
    </row>
    <row r="575" spans="1:7" x14ac:dyDescent="0.25">
      <c r="A575" s="12">
        <v>45000</v>
      </c>
      <c r="B575" s="13">
        <v>24391.4</v>
      </c>
      <c r="C575" s="13">
        <v>24490</v>
      </c>
      <c r="D575" s="5">
        <v>10.101985890136621</v>
      </c>
      <c r="E575" s="5">
        <v>10.106020149946213</v>
      </c>
      <c r="F575" s="5">
        <v>-9.9883243700826796E-3</v>
      </c>
      <c r="G575" s="5">
        <v>-3.0165166708936653E-2</v>
      </c>
    </row>
    <row r="576" spans="1:7" x14ac:dyDescent="0.25">
      <c r="A576" s="12">
        <v>45001</v>
      </c>
      <c r="B576" s="13">
        <v>24753.63</v>
      </c>
      <c r="C576" s="13">
        <v>25090</v>
      </c>
      <c r="D576" s="5">
        <v>10.116727423908999</v>
      </c>
      <c r="E576" s="5">
        <v>10.130224639360469</v>
      </c>
      <c r="F576" s="5">
        <v>1.474153377237819E-2</v>
      </c>
      <c r="G576" s="5">
        <v>2.4204489414255903E-2</v>
      </c>
    </row>
    <row r="577" spans="1:7" x14ac:dyDescent="0.25">
      <c r="A577" s="12">
        <v>45002</v>
      </c>
      <c r="B577" s="13">
        <v>26823.38</v>
      </c>
      <c r="C577" s="13">
        <v>27000</v>
      </c>
      <c r="D577" s="5">
        <v>10.197029174249355</v>
      </c>
      <c r="E577" s="5">
        <v>10.203592144986466</v>
      </c>
      <c r="F577" s="5">
        <v>8.0301750340355582E-2</v>
      </c>
      <c r="G577" s="5">
        <v>7.3367505625997254E-2</v>
      </c>
    </row>
    <row r="578" spans="1:7" x14ac:dyDescent="0.25">
      <c r="A578" s="12">
        <v>45005</v>
      </c>
      <c r="B578" s="13">
        <v>28082.46</v>
      </c>
      <c r="C578" s="13">
        <v>27945</v>
      </c>
      <c r="D578" s="5">
        <v>10.242900461140099</v>
      </c>
      <c r="E578" s="5">
        <v>10.237993571703798</v>
      </c>
      <c r="F578" s="5">
        <v>4.5871286890744045E-2</v>
      </c>
      <c r="G578" s="5">
        <v>3.4401426717332484E-2</v>
      </c>
    </row>
    <row r="579" spans="1:7" x14ac:dyDescent="0.25">
      <c r="A579" s="12">
        <v>45006</v>
      </c>
      <c r="B579" s="13">
        <v>28154.560000000001</v>
      </c>
      <c r="C579" s="13">
        <v>28310</v>
      </c>
      <c r="D579" s="5">
        <v>10.245464609791785</v>
      </c>
      <c r="E579" s="5">
        <v>10.250970378105945</v>
      </c>
      <c r="F579" s="5">
        <v>2.5641486516860823E-3</v>
      </c>
      <c r="G579" s="5">
        <v>1.2976806402146934E-2</v>
      </c>
    </row>
    <row r="580" spans="1:7" x14ac:dyDescent="0.25">
      <c r="A580" s="12">
        <v>45007</v>
      </c>
      <c r="B580" s="13">
        <v>27392.32</v>
      </c>
      <c r="C580" s="13">
        <v>26800</v>
      </c>
      <c r="D580" s="5">
        <v>10.218017961116223</v>
      </c>
      <c r="E580" s="5">
        <v>10.196157166498947</v>
      </c>
      <c r="F580" s="5">
        <v>-2.7446648675562457E-2</v>
      </c>
      <c r="G580" s="5">
        <v>-5.4813211606997925E-2</v>
      </c>
    </row>
    <row r="581" spans="1:7" x14ac:dyDescent="0.25">
      <c r="A581" s="12">
        <v>45008</v>
      </c>
      <c r="B581" s="13">
        <v>28333</v>
      </c>
      <c r="C581" s="13">
        <v>28550</v>
      </c>
      <c r="D581" s="5">
        <v>10.251782482029256</v>
      </c>
      <c r="E581" s="5">
        <v>10.259412215084156</v>
      </c>
      <c r="F581" s="5">
        <v>3.376452091303328E-2</v>
      </c>
      <c r="G581" s="5">
        <v>6.3255048585208584E-2</v>
      </c>
    </row>
    <row r="582" spans="1:7" x14ac:dyDescent="0.25">
      <c r="A582" s="12">
        <v>45009</v>
      </c>
      <c r="B582" s="13">
        <v>27618.28</v>
      </c>
      <c r="C582" s="13">
        <v>27915</v>
      </c>
      <c r="D582" s="5">
        <v>10.226233151309495</v>
      </c>
      <c r="E582" s="5">
        <v>10.236919457744461</v>
      </c>
      <c r="F582" s="5">
        <v>-2.5549330719760732E-2</v>
      </c>
      <c r="G582" s="5">
        <v>-2.2492757339694691E-2</v>
      </c>
    </row>
    <row r="583" spans="1:7" x14ac:dyDescent="0.25">
      <c r="A583" s="12">
        <v>45012</v>
      </c>
      <c r="B583" s="13">
        <v>27048.29</v>
      </c>
      <c r="C583" s="13">
        <v>26980</v>
      </c>
      <c r="D583" s="5">
        <v>10.205379066010222</v>
      </c>
      <c r="E583" s="5">
        <v>10.202851129761747</v>
      </c>
      <c r="F583" s="5">
        <v>-2.0854085299273351E-2</v>
      </c>
      <c r="G583" s="5">
        <v>-3.4068327982714308E-2</v>
      </c>
    </row>
    <row r="584" spans="1:7" x14ac:dyDescent="0.25">
      <c r="A584" s="12">
        <v>45013</v>
      </c>
      <c r="B584" s="13">
        <v>27313.73</v>
      </c>
      <c r="C584" s="13">
        <v>27455</v>
      </c>
      <c r="D584" s="5">
        <v>10.215144785148874</v>
      </c>
      <c r="E584" s="5">
        <v>10.220303579712972</v>
      </c>
      <c r="F584" s="5">
        <v>9.7657191386524289E-3</v>
      </c>
      <c r="G584" s="5">
        <v>1.7452449951225191E-2</v>
      </c>
    </row>
    <row r="585" spans="1:7" x14ac:dyDescent="0.25">
      <c r="A585" s="12">
        <v>45014</v>
      </c>
      <c r="B585" s="13">
        <v>28393</v>
      </c>
      <c r="C585" s="13">
        <v>28440</v>
      </c>
      <c r="D585" s="5">
        <v>10.253897914895148</v>
      </c>
      <c r="E585" s="5">
        <v>10.255551883917176</v>
      </c>
      <c r="F585" s="5">
        <v>3.8753129746273984E-2</v>
      </c>
      <c r="G585" s="5">
        <v>3.5248304204204217E-2</v>
      </c>
    </row>
    <row r="586" spans="1:7" x14ac:dyDescent="0.25">
      <c r="A586" s="12">
        <v>45015</v>
      </c>
      <c r="B586" s="13">
        <v>28152.28</v>
      </c>
      <c r="C586" s="13">
        <v>27965</v>
      </c>
      <c r="D586" s="5">
        <v>10.245383624959349</v>
      </c>
      <c r="E586" s="5">
        <v>10.238709007255688</v>
      </c>
      <c r="F586" s="5">
        <v>-8.5142899357997237E-3</v>
      </c>
      <c r="G586" s="5">
        <v>-1.6842876661488759E-2</v>
      </c>
    </row>
    <row r="587" spans="1:7" x14ac:dyDescent="0.25">
      <c r="A587" s="12">
        <v>45016</v>
      </c>
      <c r="B587" s="13">
        <v>28395.3</v>
      </c>
      <c r="C587" s="13">
        <v>28476.5</v>
      </c>
      <c r="D587" s="5">
        <v>10.253978917496081</v>
      </c>
      <c r="E587" s="5">
        <v>10.256834464715491</v>
      </c>
      <c r="F587" s="5">
        <v>8.5952925367323019E-3</v>
      </c>
      <c r="G587" s="5">
        <v>1.8125457459802874E-2</v>
      </c>
    </row>
    <row r="588" spans="1:7" x14ac:dyDescent="0.25">
      <c r="A588" s="12">
        <v>45019</v>
      </c>
      <c r="B588" s="13">
        <v>27588.080000000002</v>
      </c>
      <c r="C588" s="13">
        <v>28265</v>
      </c>
      <c r="D588" s="5">
        <v>10.22513907435849</v>
      </c>
      <c r="E588" s="5">
        <v>10.249379569109392</v>
      </c>
      <c r="F588" s="5">
        <v>-2.8839843137591359E-2</v>
      </c>
      <c r="G588" s="5">
        <v>-7.4548956060986882E-3</v>
      </c>
    </row>
    <row r="589" spans="1:7" x14ac:dyDescent="0.25">
      <c r="A589" s="12">
        <v>45020</v>
      </c>
      <c r="B589" s="13">
        <v>28257.1</v>
      </c>
      <c r="C589" s="13">
        <v>28375</v>
      </c>
      <c r="D589" s="5">
        <v>10.249100032430766</v>
      </c>
      <c r="E589" s="5">
        <v>10.253263754783704</v>
      </c>
      <c r="F589" s="5">
        <v>2.3960958072276384E-2</v>
      </c>
      <c r="G589" s="5">
        <v>3.8841856743125902E-3</v>
      </c>
    </row>
    <row r="590" spans="1:7" x14ac:dyDescent="0.25">
      <c r="A590" s="12">
        <v>45021</v>
      </c>
      <c r="B590" s="13">
        <v>28157.09</v>
      </c>
      <c r="C590" s="13">
        <v>28385</v>
      </c>
      <c r="D590" s="5">
        <v>10.245554466864052</v>
      </c>
      <c r="E590" s="5">
        <v>10.253616115604826</v>
      </c>
      <c r="F590" s="5">
        <v>-3.5455655667142594E-3</v>
      </c>
      <c r="G590" s="5">
        <v>3.5236082112177769E-4</v>
      </c>
    </row>
    <row r="591" spans="1:7" x14ac:dyDescent="0.25">
      <c r="A591" s="12">
        <v>45022</v>
      </c>
      <c r="B591" s="13">
        <v>27992.29</v>
      </c>
      <c r="C591" s="13">
        <v>28140</v>
      </c>
      <c r="D591" s="5">
        <v>10.239684394096745</v>
      </c>
      <c r="E591" s="5">
        <v>10.24494733066838</v>
      </c>
      <c r="F591" s="5">
        <v>-5.8700727673066666E-3</v>
      </c>
      <c r="G591" s="5">
        <v>-8.6687849364466274E-3</v>
      </c>
    </row>
    <row r="592" spans="1:7" x14ac:dyDescent="0.25">
      <c r="A592" s="12">
        <v>45023</v>
      </c>
      <c r="B592" s="13">
        <v>27890.37</v>
      </c>
      <c r="C592" s="13">
        <v>28045</v>
      </c>
      <c r="D592" s="5">
        <v>10.236036746937266</v>
      </c>
      <c r="E592" s="5">
        <v>10.241565641942437</v>
      </c>
      <c r="F592" s="5">
        <v>-3.6476471594788507E-3</v>
      </c>
      <c r="G592" s="5">
        <v>-3.3816887259430217E-3</v>
      </c>
    </row>
    <row r="593" spans="1:7" x14ac:dyDescent="0.25">
      <c r="A593" s="12">
        <v>45026</v>
      </c>
      <c r="B593" s="13">
        <v>29142.36</v>
      </c>
      <c r="C593" s="13">
        <v>29420</v>
      </c>
      <c r="D593" s="5">
        <v>10.279948064802007</v>
      </c>
      <c r="E593" s="5">
        <v>10.289429994155428</v>
      </c>
      <c r="F593" s="5">
        <v>4.391131786474034E-2</v>
      </c>
      <c r="G593" s="5">
        <v>4.786435221299179E-2</v>
      </c>
    </row>
    <row r="594" spans="1:7" x14ac:dyDescent="0.25">
      <c r="A594" s="12">
        <v>45027</v>
      </c>
      <c r="B594" s="13">
        <v>30192.1</v>
      </c>
      <c r="C594" s="13">
        <v>30325</v>
      </c>
      <c r="D594" s="5">
        <v>10.315335579738511</v>
      </c>
      <c r="E594" s="5">
        <v>10.31972773381225</v>
      </c>
      <c r="F594" s="5">
        <v>3.5387514936504161E-2</v>
      </c>
      <c r="G594" s="5">
        <v>3.0297739656822031E-2</v>
      </c>
    </row>
    <row r="595" spans="1:7" x14ac:dyDescent="0.25">
      <c r="A595" s="12">
        <v>45028</v>
      </c>
      <c r="B595" s="13">
        <v>29968.01</v>
      </c>
      <c r="C595" s="13">
        <v>29925</v>
      </c>
      <c r="D595" s="5">
        <v>10.307885758373082</v>
      </c>
      <c r="E595" s="5">
        <v>10.306449530426175</v>
      </c>
      <c r="F595" s="5">
        <v>-7.4498213654283774E-3</v>
      </c>
      <c r="G595" s="5">
        <v>-1.327820338607566E-2</v>
      </c>
    </row>
    <row r="596" spans="1:7" x14ac:dyDescent="0.25">
      <c r="A596" s="12">
        <v>45029</v>
      </c>
      <c r="B596" s="13">
        <v>30285.33</v>
      </c>
      <c r="C596" s="13">
        <v>30530</v>
      </c>
      <c r="D596" s="5">
        <v>10.318418715839089</v>
      </c>
      <c r="E596" s="5">
        <v>10.326465085728923</v>
      </c>
      <c r="F596" s="5">
        <v>1.0532957466006465E-2</v>
      </c>
      <c r="G596" s="5">
        <v>2.0015555302748567E-2</v>
      </c>
    </row>
    <row r="597" spans="1:7" x14ac:dyDescent="0.25">
      <c r="A597" s="12">
        <v>45030</v>
      </c>
      <c r="B597" s="13">
        <v>30470.31</v>
      </c>
      <c r="C597" s="13">
        <v>30470</v>
      </c>
      <c r="D597" s="5">
        <v>10.324508045869582</v>
      </c>
      <c r="E597" s="5">
        <v>10.324497871979755</v>
      </c>
      <c r="F597" s="5">
        <v>6.0893300304929454E-3</v>
      </c>
      <c r="G597" s="5">
        <v>-1.9672137491681951E-3</v>
      </c>
    </row>
    <row r="598" spans="1:7" x14ac:dyDescent="0.25">
      <c r="A598" s="12">
        <v>45033</v>
      </c>
      <c r="B598" s="13">
        <v>29459.360000000001</v>
      </c>
      <c r="C598" s="13">
        <v>29550</v>
      </c>
      <c r="D598" s="5">
        <v>10.290766965408613</v>
      </c>
      <c r="E598" s="5">
        <v>10.293839022834245</v>
      </c>
      <c r="F598" s="5">
        <v>-3.3741080460968575E-2</v>
      </c>
      <c r="G598" s="5">
        <v>-3.0658849145510203E-2</v>
      </c>
    </row>
    <row r="599" spans="1:7" x14ac:dyDescent="0.25">
      <c r="A599" s="12">
        <v>45034</v>
      </c>
      <c r="B599" s="13">
        <v>30422</v>
      </c>
      <c r="C599" s="13">
        <v>30325</v>
      </c>
      <c r="D599" s="5">
        <v>10.322921309871688</v>
      </c>
      <c r="E599" s="5">
        <v>10.31972773381225</v>
      </c>
      <c r="F599" s="5">
        <v>3.2154344463075191E-2</v>
      </c>
      <c r="G599" s="5">
        <v>2.5888710978005491E-2</v>
      </c>
    </row>
    <row r="600" spans="1:7" x14ac:dyDescent="0.25">
      <c r="A600" s="12">
        <v>45035</v>
      </c>
      <c r="B600" s="13">
        <v>29249.26</v>
      </c>
      <c r="C600" s="13">
        <v>29265</v>
      </c>
      <c r="D600" s="5">
        <v>10.283609553194674</v>
      </c>
      <c r="E600" s="5">
        <v>10.284147541725321</v>
      </c>
      <c r="F600" s="5">
        <v>-3.9311756677014031E-2</v>
      </c>
      <c r="G600" s="5">
        <v>-3.5580192086928975E-2</v>
      </c>
    </row>
    <row r="601" spans="1:7" x14ac:dyDescent="0.25">
      <c r="A601" s="12">
        <v>45036</v>
      </c>
      <c r="B601" s="13">
        <v>28203.91</v>
      </c>
      <c r="C601" s="13">
        <v>28095</v>
      </c>
      <c r="D601" s="5">
        <v>10.247215899797107</v>
      </c>
      <c r="E601" s="5">
        <v>10.243346903546298</v>
      </c>
      <c r="F601" s="5">
        <v>-3.6393653397567505E-2</v>
      </c>
      <c r="G601" s="5">
        <v>-4.0800638179023352E-2</v>
      </c>
    </row>
    <row r="602" spans="1:7" x14ac:dyDescent="0.25">
      <c r="A602" s="12">
        <v>45037</v>
      </c>
      <c r="B602" s="13">
        <v>27272.1</v>
      </c>
      <c r="C602" s="13">
        <v>27310</v>
      </c>
      <c r="D602" s="5">
        <v>10.213619480575463</v>
      </c>
      <c r="E602" s="5">
        <v>10.215008214467751</v>
      </c>
      <c r="F602" s="5">
        <v>-3.3596419221643359E-2</v>
      </c>
      <c r="G602" s="5">
        <v>-2.8338689078546864E-2</v>
      </c>
    </row>
    <row r="603" spans="1:7" x14ac:dyDescent="0.25">
      <c r="A603" s="12">
        <v>45040</v>
      </c>
      <c r="B603" s="13">
        <v>27460.55</v>
      </c>
      <c r="C603" s="13">
        <v>27400</v>
      </c>
      <c r="D603" s="5">
        <v>10.220505708254667</v>
      </c>
      <c r="E603" s="5">
        <v>10.218298292376161</v>
      </c>
      <c r="F603" s="5">
        <v>6.8862276792032162E-3</v>
      </c>
      <c r="G603" s="5">
        <v>3.2900779084101828E-3</v>
      </c>
    </row>
    <row r="604" spans="1:7" x14ac:dyDescent="0.25">
      <c r="A604" s="12">
        <v>45041</v>
      </c>
      <c r="B604" s="13">
        <v>27979.599999999999</v>
      </c>
      <c r="C604" s="13">
        <v>27605</v>
      </c>
      <c r="D604" s="5">
        <v>10.239230952191622</v>
      </c>
      <c r="E604" s="5">
        <v>10.225752194718146</v>
      </c>
      <c r="F604" s="5">
        <v>1.8725243936955849E-2</v>
      </c>
      <c r="G604" s="5">
        <v>7.4539023419841755E-3</v>
      </c>
    </row>
    <row r="605" spans="1:7" x14ac:dyDescent="0.25">
      <c r="A605" s="12">
        <v>45042</v>
      </c>
      <c r="B605" s="13">
        <v>28417.5</v>
      </c>
      <c r="C605" s="13">
        <v>27900</v>
      </c>
      <c r="D605" s="5">
        <v>10.254760431560866</v>
      </c>
      <c r="E605" s="5">
        <v>10.236381967809457</v>
      </c>
      <c r="F605" s="5">
        <v>1.5529479369243759E-2</v>
      </c>
      <c r="G605" s="5">
        <v>1.0629773091311634E-2</v>
      </c>
    </row>
    <row r="606" spans="1:7" x14ac:dyDescent="0.25">
      <c r="A606" s="12">
        <v>45043</v>
      </c>
      <c r="B606" s="13">
        <v>29633.43</v>
      </c>
      <c r="C606" s="13">
        <v>29690</v>
      </c>
      <c r="D606" s="5">
        <v>10.296658394920804</v>
      </c>
      <c r="E606" s="5">
        <v>10.298565567757805</v>
      </c>
      <c r="F606" s="5">
        <v>4.1897963359938117E-2</v>
      </c>
      <c r="G606" s="5">
        <v>6.218359994834799E-2</v>
      </c>
    </row>
    <row r="607" spans="1:7" x14ac:dyDescent="0.25">
      <c r="A607" s="12">
        <v>45044</v>
      </c>
      <c r="B607" s="13">
        <v>29354.75</v>
      </c>
      <c r="C607" s="13">
        <v>29177.47</v>
      </c>
      <c r="D607" s="5">
        <v>10.287209652025298</v>
      </c>
      <c r="E607" s="5">
        <v>10.28115211509645</v>
      </c>
      <c r="F607" s="5">
        <v>-9.4487428955059016E-3</v>
      </c>
      <c r="G607" s="5">
        <v>-1.7413452661354967E-2</v>
      </c>
    </row>
    <row r="608" spans="1:7" x14ac:dyDescent="0.25">
      <c r="A608" s="12">
        <v>45047</v>
      </c>
      <c r="B608" s="13">
        <v>27683.13</v>
      </c>
      <c r="C608" s="13">
        <v>27915</v>
      </c>
      <c r="D608" s="5">
        <v>10.228578481373448</v>
      </c>
      <c r="E608" s="5">
        <v>10.236919457744461</v>
      </c>
      <c r="F608" s="5">
        <v>-5.8631170651850084E-2</v>
      </c>
      <c r="G608" s="5">
        <v>-4.4232657351988891E-2</v>
      </c>
    </row>
    <row r="609" spans="1:7" x14ac:dyDescent="0.25">
      <c r="A609" s="12">
        <v>45048</v>
      </c>
      <c r="B609" s="13">
        <v>28695.82</v>
      </c>
      <c r="C609" s="13">
        <v>28850</v>
      </c>
      <c r="D609" s="5">
        <v>10.264506746541205</v>
      </c>
      <c r="E609" s="5">
        <v>10.269865271936245</v>
      </c>
      <c r="F609" s="5">
        <v>3.5928265167756379E-2</v>
      </c>
      <c r="G609" s="5">
        <v>3.2945814191783995E-2</v>
      </c>
    </row>
    <row r="610" spans="1:7" x14ac:dyDescent="0.25">
      <c r="A610" s="12">
        <v>45049</v>
      </c>
      <c r="B610" s="13">
        <v>28528.95</v>
      </c>
      <c r="C610" s="13">
        <v>28415</v>
      </c>
      <c r="D610" s="5">
        <v>10.258674640165406</v>
      </c>
      <c r="E610" s="5">
        <v>10.254672453731223</v>
      </c>
      <c r="F610" s="5">
        <v>-5.8321063757986735E-3</v>
      </c>
      <c r="G610" s="5">
        <v>-1.5192818205022718E-2</v>
      </c>
    </row>
    <row r="611" spans="1:7" x14ac:dyDescent="0.25">
      <c r="A611" s="12">
        <v>45050</v>
      </c>
      <c r="B611" s="13">
        <v>28884.06</v>
      </c>
      <c r="C611" s="13">
        <v>29015</v>
      </c>
      <c r="D611" s="5">
        <v>10.27104516484353</v>
      </c>
      <c r="E611" s="5">
        <v>10.275568216624709</v>
      </c>
      <c r="F611" s="5">
        <v>1.2370524678123829E-2</v>
      </c>
      <c r="G611" s="5">
        <v>2.0895762893486491E-2</v>
      </c>
    </row>
    <row r="612" spans="1:7" x14ac:dyDescent="0.25">
      <c r="A612" s="12">
        <v>45051</v>
      </c>
      <c r="B612" s="13">
        <v>29524.75</v>
      </c>
      <c r="C612" s="13">
        <v>29765</v>
      </c>
      <c r="D612" s="5">
        <v>10.292984173629206</v>
      </c>
      <c r="E612" s="5">
        <v>10.30108848558749</v>
      </c>
      <c r="F612" s="5">
        <v>2.1939008785675895E-2</v>
      </c>
      <c r="G612" s="5">
        <v>2.5520268962781145E-2</v>
      </c>
    </row>
    <row r="613" spans="1:7" x14ac:dyDescent="0.25">
      <c r="A613" s="12">
        <v>45054</v>
      </c>
      <c r="B613" s="13">
        <v>27562.71</v>
      </c>
      <c r="C613" s="13">
        <v>27365</v>
      </c>
      <c r="D613" s="5">
        <v>10.224219051207797</v>
      </c>
      <c r="E613" s="5">
        <v>10.217020103578019</v>
      </c>
      <c r="F613" s="5">
        <v>-6.8765122421408975E-2</v>
      </c>
      <c r="G613" s="5">
        <v>-8.4068382009471421E-2</v>
      </c>
    </row>
    <row r="614" spans="1:7" x14ac:dyDescent="0.25">
      <c r="A614" s="12">
        <v>45055</v>
      </c>
      <c r="B614" s="13">
        <v>27659.74</v>
      </c>
      <c r="C614" s="13">
        <v>27770</v>
      </c>
      <c r="D614" s="5">
        <v>10.227733205319183</v>
      </c>
      <c r="E614" s="5">
        <v>10.231711580300844</v>
      </c>
      <c r="F614" s="5">
        <v>3.5141541113858921E-3</v>
      </c>
      <c r="G614" s="5">
        <v>1.4691476722825669E-2</v>
      </c>
    </row>
    <row r="615" spans="1:7" x14ac:dyDescent="0.25">
      <c r="A615" s="12">
        <v>45056</v>
      </c>
      <c r="B615" s="13">
        <v>27875.64</v>
      </c>
      <c r="C615" s="13">
        <v>27775</v>
      </c>
      <c r="D615" s="5">
        <v>10.235508468140107</v>
      </c>
      <c r="E615" s="5">
        <v>10.23189161450783</v>
      </c>
      <c r="F615" s="5">
        <v>7.7752628209246666E-3</v>
      </c>
      <c r="G615" s="5">
        <v>1.8003420698597949E-4</v>
      </c>
    </row>
    <row r="616" spans="1:7" x14ac:dyDescent="0.25">
      <c r="A616" s="12">
        <v>45057</v>
      </c>
      <c r="B616" s="13">
        <v>27009.45</v>
      </c>
      <c r="C616" s="13">
        <v>26845</v>
      </c>
      <c r="D616" s="5">
        <v>10.203942083750754</v>
      </c>
      <c r="E616" s="5">
        <v>10.19783486285667</v>
      </c>
      <c r="F616" s="5">
        <v>-3.1566384389353885E-2</v>
      </c>
      <c r="G616" s="5">
        <v>-3.4056751651160511E-2</v>
      </c>
    </row>
    <row r="617" spans="1:7" x14ac:dyDescent="0.25">
      <c r="A617" s="12">
        <v>45058</v>
      </c>
      <c r="B617" s="13">
        <v>26447.7</v>
      </c>
      <c r="C617" s="13">
        <v>26485</v>
      </c>
      <c r="D617" s="5">
        <v>10.18292447698377</v>
      </c>
      <c r="E617" s="5">
        <v>10.184333813978627</v>
      </c>
      <c r="F617" s="5">
        <v>-2.1017606766983832E-2</v>
      </c>
      <c r="G617" s="5">
        <v>-1.350104887804271E-2</v>
      </c>
    </row>
    <row r="618" spans="1:7" x14ac:dyDescent="0.25">
      <c r="A618" s="12">
        <v>45061</v>
      </c>
      <c r="B618" s="13">
        <v>27354.85</v>
      </c>
      <c r="C618" s="13">
        <v>27475</v>
      </c>
      <c r="D618" s="5">
        <v>10.216649123024657</v>
      </c>
      <c r="E618" s="5">
        <v>10.221031779271822</v>
      </c>
      <c r="F618" s="5">
        <v>3.3724646040887762E-2</v>
      </c>
      <c r="G618" s="5">
        <v>3.6697965293194912E-2</v>
      </c>
    </row>
    <row r="619" spans="1:7" x14ac:dyDescent="0.25">
      <c r="A619" s="12">
        <v>45062</v>
      </c>
      <c r="B619" s="13">
        <v>26956.57</v>
      </c>
      <c r="C619" s="13">
        <v>26965</v>
      </c>
      <c r="D619" s="5">
        <v>10.201982331413102</v>
      </c>
      <c r="E619" s="5">
        <v>10.202295007771328</v>
      </c>
      <c r="F619" s="5">
        <v>-1.4666791611555041E-2</v>
      </c>
      <c r="G619" s="5">
        <v>-1.8736771500494243E-2</v>
      </c>
    </row>
    <row r="620" spans="1:7" x14ac:dyDescent="0.25">
      <c r="A620" s="12">
        <v>45063</v>
      </c>
      <c r="B620" s="13">
        <v>27337.78</v>
      </c>
      <c r="C620" s="13">
        <v>27430</v>
      </c>
      <c r="D620" s="5">
        <v>10.216024907273678</v>
      </c>
      <c r="E620" s="5">
        <v>10.219392583931649</v>
      </c>
      <c r="F620" s="5">
        <v>1.4042575860575113E-2</v>
      </c>
      <c r="G620" s="5">
        <v>1.7097576160320926E-2</v>
      </c>
    </row>
    <row r="621" spans="1:7" x14ac:dyDescent="0.25">
      <c r="A621" s="12">
        <v>45064</v>
      </c>
      <c r="B621" s="13">
        <v>26726.05</v>
      </c>
      <c r="C621" s="13">
        <v>26780</v>
      </c>
      <c r="D621" s="5">
        <v>10.193394024176643</v>
      </c>
      <c r="E621" s="5">
        <v>10.195410619245164</v>
      </c>
      <c r="F621" s="5">
        <v>-2.2630883097034982E-2</v>
      </c>
      <c r="G621" s="5">
        <v>-2.3981964686484503E-2</v>
      </c>
    </row>
    <row r="622" spans="1:7" x14ac:dyDescent="0.25">
      <c r="A622" s="12">
        <v>45065</v>
      </c>
      <c r="B622" s="13">
        <v>26839.54</v>
      </c>
      <c r="C622" s="13">
        <v>26885</v>
      </c>
      <c r="D622" s="5">
        <v>10.197631452339644</v>
      </c>
      <c r="E622" s="5">
        <v>10.199323789243778</v>
      </c>
      <c r="F622" s="5">
        <v>4.2374281630017663E-3</v>
      </c>
      <c r="G622" s="5">
        <v>3.9131699986132418E-3</v>
      </c>
    </row>
    <row r="623" spans="1:7" x14ac:dyDescent="0.25">
      <c r="A623" s="12">
        <v>45068</v>
      </c>
      <c r="B623" s="13">
        <v>26899.279999999999</v>
      </c>
      <c r="C623" s="13">
        <v>26865</v>
      </c>
      <c r="D623" s="5">
        <v>10.199854799432464</v>
      </c>
      <c r="E623" s="5">
        <v>10.198579603162921</v>
      </c>
      <c r="F623" s="5">
        <v>2.2233470928192389E-3</v>
      </c>
      <c r="G623" s="5">
        <v>-7.4418608085657922E-4</v>
      </c>
    </row>
    <row r="624" spans="1:7" x14ac:dyDescent="0.25">
      <c r="A624" s="12">
        <v>45069</v>
      </c>
      <c r="B624" s="13">
        <v>27223.3</v>
      </c>
      <c r="C624" s="13">
        <v>27200</v>
      </c>
      <c r="D624" s="5">
        <v>10.211828503243643</v>
      </c>
      <c r="E624" s="5">
        <v>10.210972252284089</v>
      </c>
      <c r="F624" s="5">
        <v>1.1973703811179348E-2</v>
      </c>
      <c r="G624" s="5">
        <v>1.2392649121167665E-2</v>
      </c>
    </row>
    <row r="625" spans="1:7" x14ac:dyDescent="0.25">
      <c r="A625" s="12">
        <v>45070</v>
      </c>
      <c r="B625" s="13">
        <v>26401.81</v>
      </c>
      <c r="C625" s="13">
        <v>26225</v>
      </c>
      <c r="D625" s="5">
        <v>10.181187847390298</v>
      </c>
      <c r="E625" s="5">
        <v>10.174468433264497</v>
      </c>
      <c r="F625" s="5">
        <v>-3.0640655853344967E-2</v>
      </c>
      <c r="G625" s="5">
        <v>-3.6503819019591432E-2</v>
      </c>
    </row>
    <row r="626" spans="1:7" x14ac:dyDescent="0.25">
      <c r="A626" s="12">
        <v>45071</v>
      </c>
      <c r="B626" s="13">
        <v>26490.2</v>
      </c>
      <c r="C626" s="13">
        <v>26470</v>
      </c>
      <c r="D626" s="5">
        <v>10.184530132256489</v>
      </c>
      <c r="E626" s="5">
        <v>10.183767295221147</v>
      </c>
      <c r="F626" s="5">
        <v>3.3422848661910365E-3</v>
      </c>
      <c r="G626" s="5">
        <v>9.2988619566494179E-3</v>
      </c>
    </row>
    <row r="627" spans="1:7" x14ac:dyDescent="0.25">
      <c r="A627" s="12">
        <v>45072</v>
      </c>
      <c r="B627" s="13">
        <v>26759.279999999999</v>
      </c>
      <c r="C627" s="13">
        <v>26750.93</v>
      </c>
      <c r="D627" s="5">
        <v>10.194636608050599</v>
      </c>
      <c r="E627" s="5">
        <v>10.194324518074957</v>
      </c>
      <c r="F627" s="5">
        <v>1.0106475794110281E-2</v>
      </c>
      <c r="G627" s="5">
        <v>1.0557222853810444E-2</v>
      </c>
    </row>
    <row r="628" spans="1:7" x14ac:dyDescent="0.25">
      <c r="A628" s="12">
        <v>45075</v>
      </c>
      <c r="B628" s="13">
        <v>27693.13</v>
      </c>
      <c r="C628" s="17">
        <v>26750.93</v>
      </c>
      <c r="D628" s="5">
        <v>10.228939646974329</v>
      </c>
      <c r="E628" s="5">
        <v>10.194324518074957</v>
      </c>
      <c r="F628" s="5">
        <v>3.4303038923729545E-2</v>
      </c>
      <c r="G628" s="5">
        <v>0</v>
      </c>
    </row>
    <row r="629" spans="1:7" x14ac:dyDescent="0.25">
      <c r="A629" s="12">
        <v>45076</v>
      </c>
      <c r="B629" s="13">
        <v>27772.51</v>
      </c>
      <c r="C629" s="13">
        <v>28070</v>
      </c>
      <c r="D629" s="5">
        <v>10.231801961524226</v>
      </c>
      <c r="E629" s="5">
        <v>10.242456669355928</v>
      </c>
      <c r="F629" s="5">
        <v>2.8623145498976044E-3</v>
      </c>
      <c r="G629" s="5">
        <v>4.8132151280970703E-2</v>
      </c>
    </row>
    <row r="630" spans="1:7" x14ac:dyDescent="0.25">
      <c r="A630" s="12">
        <v>45077</v>
      </c>
      <c r="B630" s="13">
        <v>27117.1</v>
      </c>
      <c r="C630" s="13">
        <v>27075</v>
      </c>
      <c r="D630" s="5">
        <v>10.207919804183289</v>
      </c>
      <c r="E630" s="5">
        <v>10.206366071869191</v>
      </c>
      <c r="F630" s="5">
        <v>-2.3882157340937127E-2</v>
      </c>
      <c r="G630" s="5">
        <v>-3.6090597486737153E-2</v>
      </c>
    </row>
    <row r="631" spans="1:7" x14ac:dyDescent="0.25">
      <c r="A631" s="12">
        <v>45078</v>
      </c>
      <c r="B631" s="13">
        <v>26868.32</v>
      </c>
      <c r="C631" s="13">
        <v>26925</v>
      </c>
      <c r="D631" s="5">
        <v>10.198703176394735</v>
      </c>
      <c r="E631" s="5">
        <v>10.20081050202459</v>
      </c>
      <c r="F631" s="5">
        <v>-9.2166277885539216E-3</v>
      </c>
      <c r="G631" s="5">
        <v>-5.5555698446010382E-3</v>
      </c>
    </row>
    <row r="632" spans="1:7" x14ac:dyDescent="0.25">
      <c r="A632" s="12">
        <v>45079</v>
      </c>
      <c r="B632" s="13">
        <v>27183.62</v>
      </c>
      <c r="C632" s="13">
        <v>27385</v>
      </c>
      <c r="D632" s="5">
        <v>10.210369865002944</v>
      </c>
      <c r="E632" s="5">
        <v>10.217750697217822</v>
      </c>
      <c r="F632" s="5">
        <v>1.1666688608208631E-2</v>
      </c>
      <c r="G632" s="5">
        <v>1.6940195193232199E-2</v>
      </c>
    </row>
    <row r="633" spans="1:7" x14ac:dyDescent="0.25">
      <c r="A633" s="12">
        <v>45082</v>
      </c>
      <c r="B633" s="13">
        <v>25641.7</v>
      </c>
      <c r="C633" s="13">
        <v>25640</v>
      </c>
      <c r="D633" s="5">
        <v>10.151975211488789</v>
      </c>
      <c r="E633" s="5">
        <v>10.151908911034607</v>
      </c>
      <c r="F633" s="5">
        <v>-5.8394653514154626E-2</v>
      </c>
      <c r="G633" s="5">
        <v>-6.5841786183215234E-2</v>
      </c>
    </row>
    <row r="634" spans="1:7" x14ac:dyDescent="0.25">
      <c r="A634" s="12">
        <v>45083</v>
      </c>
      <c r="B634" s="13">
        <v>26945.16</v>
      </c>
      <c r="C634" s="13">
        <v>27265</v>
      </c>
      <c r="D634" s="5">
        <v>10.201558968371863</v>
      </c>
      <c r="E634" s="5">
        <v>10.213359107360162</v>
      </c>
      <c r="F634" s="5">
        <v>4.9583756883073704E-2</v>
      </c>
      <c r="G634" s="5">
        <v>6.1450196325555595E-2</v>
      </c>
    </row>
    <row r="635" spans="1:7" x14ac:dyDescent="0.25">
      <c r="A635" s="12">
        <v>45084</v>
      </c>
      <c r="B635" s="13">
        <v>26363.47</v>
      </c>
      <c r="C635" s="13">
        <v>26610</v>
      </c>
      <c r="D635" s="5">
        <v>10.179734618799548</v>
      </c>
      <c r="E635" s="5">
        <v>10.189042363971735</v>
      </c>
      <c r="F635" s="5">
        <v>-2.1824349572314716E-2</v>
      </c>
      <c r="G635" s="5">
        <v>-2.4316743388427042E-2</v>
      </c>
    </row>
    <row r="636" spans="1:7" x14ac:dyDescent="0.25">
      <c r="A636" s="12">
        <v>45085</v>
      </c>
      <c r="B636" s="13">
        <v>26645.5</v>
      </c>
      <c r="C636" s="13">
        <v>26650</v>
      </c>
      <c r="D636" s="5">
        <v>10.190375559801581</v>
      </c>
      <c r="E636" s="5">
        <v>10.19054442959399</v>
      </c>
      <c r="F636" s="5">
        <v>1.0640941002032278E-2</v>
      </c>
      <c r="G636" s="5">
        <v>1.5020656222546336E-3</v>
      </c>
    </row>
    <row r="637" spans="1:7" x14ac:dyDescent="0.25">
      <c r="A637" s="12">
        <v>45086</v>
      </c>
      <c r="B637" s="13">
        <v>26444.43</v>
      </c>
      <c r="C637" s="13">
        <v>26475</v>
      </c>
      <c r="D637" s="5">
        <v>10.182800829098756</v>
      </c>
      <c r="E637" s="5">
        <v>10.183956170469607</v>
      </c>
      <c r="F637" s="5">
        <v>-7.5747307028244393E-3</v>
      </c>
      <c r="G637" s="5">
        <v>-6.5882591243831001E-3</v>
      </c>
    </row>
    <row r="638" spans="1:7" x14ac:dyDescent="0.25">
      <c r="A638" s="12">
        <v>45089</v>
      </c>
      <c r="B638" s="13">
        <v>25895</v>
      </c>
      <c r="C638" s="13">
        <v>25890</v>
      </c>
      <c r="D638" s="5">
        <v>10.161805178857993</v>
      </c>
      <c r="E638" s="5">
        <v>10.161612072745584</v>
      </c>
      <c r="F638" s="5">
        <v>-2.0995650240763553E-2</v>
      </c>
      <c r="G638" s="5">
        <v>-2.2344097724023015E-2</v>
      </c>
    </row>
    <row r="639" spans="1:7" x14ac:dyDescent="0.25">
      <c r="A639" s="12">
        <v>45090</v>
      </c>
      <c r="B639" s="13">
        <v>25849.13</v>
      </c>
      <c r="C639" s="13">
        <v>25930</v>
      </c>
      <c r="D639" s="5">
        <v>10.160032223664214</v>
      </c>
      <c r="E639" s="5">
        <v>10.163155878532709</v>
      </c>
      <c r="F639" s="5">
        <v>-1.7729551937790688E-3</v>
      </c>
      <c r="G639" s="5">
        <v>1.5438057871257627E-3</v>
      </c>
    </row>
    <row r="640" spans="1:7" x14ac:dyDescent="0.25">
      <c r="A640" s="12">
        <v>45091</v>
      </c>
      <c r="B640" s="13">
        <v>24928.57</v>
      </c>
      <c r="C640" s="13">
        <v>25900</v>
      </c>
      <c r="D640" s="5">
        <v>10.123769814262713</v>
      </c>
      <c r="E640" s="5">
        <v>10.161998247687629</v>
      </c>
      <c r="F640" s="5">
        <v>-3.6262409401500051E-2</v>
      </c>
      <c r="G640" s="5">
        <v>-1.1576308450802486E-3</v>
      </c>
    </row>
    <row r="641" spans="1:7" x14ac:dyDescent="0.25">
      <c r="A641" s="12">
        <v>45092</v>
      </c>
      <c r="B641" s="13">
        <v>25547.99</v>
      </c>
      <c r="C641" s="13">
        <v>25470</v>
      </c>
      <c r="D641" s="5">
        <v>10.14831392326133</v>
      </c>
      <c r="E641" s="5">
        <v>10.145256567973503</v>
      </c>
      <c r="F641" s="5">
        <v>2.454410899861692E-2</v>
      </c>
      <c r="G641" s="5">
        <v>-1.6741679714126434E-2</v>
      </c>
    </row>
    <row r="642" spans="1:7" x14ac:dyDescent="0.25">
      <c r="A642" s="12">
        <v>45093</v>
      </c>
      <c r="B642" s="13">
        <v>26394.71</v>
      </c>
      <c r="C642" s="13">
        <v>26445</v>
      </c>
      <c r="D642" s="5">
        <v>10.180918890268018</v>
      </c>
      <c r="E642" s="5">
        <v>10.18282238350008</v>
      </c>
      <c r="F642" s="5">
        <v>3.2604967006687247E-2</v>
      </c>
      <c r="G642" s="5">
        <v>3.7565815526576785E-2</v>
      </c>
    </row>
    <row r="643" spans="1:7" x14ac:dyDescent="0.25">
      <c r="A643" s="12">
        <v>45096</v>
      </c>
      <c r="B643" s="13">
        <v>26718.39</v>
      </c>
      <c r="C643" s="17">
        <v>26445</v>
      </c>
      <c r="D643" s="5">
        <v>10.193107371344189</v>
      </c>
      <c r="E643" s="5">
        <v>10.18282238350008</v>
      </c>
      <c r="F643" s="5">
        <v>1.2188481076170987E-2</v>
      </c>
      <c r="G643" s="5">
        <v>0</v>
      </c>
    </row>
    <row r="644" spans="1:7" x14ac:dyDescent="0.25">
      <c r="A644" s="12">
        <v>45097</v>
      </c>
      <c r="B644" s="13">
        <v>28169.64</v>
      </c>
      <c r="C644" s="13">
        <v>28180</v>
      </c>
      <c r="D644" s="5">
        <v>10.246000081236044</v>
      </c>
      <c r="E644" s="5">
        <v>10.246367785452671</v>
      </c>
      <c r="F644" s="5">
        <v>5.2892709891855461E-2</v>
      </c>
      <c r="G644" s="5">
        <v>6.3545401952591618E-2</v>
      </c>
    </row>
    <row r="645" spans="1:7" x14ac:dyDescent="0.25">
      <c r="A645" s="12">
        <v>45098</v>
      </c>
      <c r="B645" s="13">
        <v>29985.4</v>
      </c>
      <c r="C645" s="13">
        <v>30260</v>
      </c>
      <c r="D645" s="5">
        <v>10.308465875516967</v>
      </c>
      <c r="E645" s="5">
        <v>10.317581987342347</v>
      </c>
      <c r="F645" s="5">
        <v>6.2465794280923248E-2</v>
      </c>
      <c r="G645" s="5">
        <v>7.1214201889675977E-2</v>
      </c>
    </row>
    <row r="646" spans="1:7" x14ac:dyDescent="0.25">
      <c r="A646" s="12">
        <v>45099</v>
      </c>
      <c r="B646" s="13">
        <v>30157.31</v>
      </c>
      <c r="C646" s="13">
        <v>30370</v>
      </c>
      <c r="D646" s="5">
        <v>10.314182627162708</v>
      </c>
      <c r="E646" s="5">
        <v>10.321210558039795</v>
      </c>
      <c r="F646" s="5">
        <v>5.7167516457408141E-3</v>
      </c>
      <c r="G646" s="5">
        <v>3.6285706974474863E-3</v>
      </c>
    </row>
    <row r="647" spans="1:7" x14ac:dyDescent="0.25">
      <c r="A647" s="12">
        <v>45100</v>
      </c>
      <c r="B647" s="13">
        <v>30928.74</v>
      </c>
      <c r="C647" s="13">
        <v>31120</v>
      </c>
      <c r="D647" s="5">
        <v>10.339441127700935</v>
      </c>
      <c r="E647" s="5">
        <v>10.345605978292328</v>
      </c>
      <c r="F647" s="5">
        <v>2.5258500538226869E-2</v>
      </c>
      <c r="G647" s="5">
        <v>2.4395420252533384E-2</v>
      </c>
    </row>
    <row r="648" spans="1:7" x14ac:dyDescent="0.25">
      <c r="A648" s="12">
        <v>45103</v>
      </c>
      <c r="B648" s="13">
        <v>30163.13</v>
      </c>
      <c r="C648" s="13">
        <v>30315</v>
      </c>
      <c r="D648" s="5">
        <v>10.314375596577985</v>
      </c>
      <c r="E648" s="5">
        <v>10.319397918505832</v>
      </c>
      <c r="F648" s="5">
        <v>-2.5065531122949736E-2</v>
      </c>
      <c r="G648" s="5">
        <v>-2.6208059786496207E-2</v>
      </c>
    </row>
    <row r="649" spans="1:7" x14ac:dyDescent="0.25">
      <c r="A649" s="12">
        <v>45104</v>
      </c>
      <c r="B649" s="13">
        <v>30655.23</v>
      </c>
      <c r="C649" s="13">
        <v>30705</v>
      </c>
      <c r="D649" s="5">
        <v>10.330558563022988</v>
      </c>
      <c r="E649" s="5">
        <v>10.3321807867635</v>
      </c>
      <c r="F649" s="5">
        <v>1.6182966445002833E-2</v>
      </c>
      <c r="G649" s="5">
        <v>1.2782868257668056E-2</v>
      </c>
    </row>
    <row r="650" spans="1:7" x14ac:dyDescent="0.25">
      <c r="A650" s="12">
        <v>45105</v>
      </c>
      <c r="B650" s="13">
        <v>30104.080000000002</v>
      </c>
      <c r="C650" s="13">
        <v>30110</v>
      </c>
      <c r="D650" s="5">
        <v>10.312415989723901</v>
      </c>
      <c r="E650" s="5">
        <v>10.312612621475779</v>
      </c>
      <c r="F650" s="5">
        <v>-1.8142573299087417E-2</v>
      </c>
      <c r="G650" s="5">
        <v>-1.9568165287720873E-2</v>
      </c>
    </row>
    <row r="651" spans="1:7" x14ac:dyDescent="0.25">
      <c r="A651" s="12">
        <v>45106</v>
      </c>
      <c r="B651" s="13">
        <v>30400.46</v>
      </c>
      <c r="C651" s="13">
        <v>30550</v>
      </c>
      <c r="D651" s="5">
        <v>10.322213018858779</v>
      </c>
      <c r="E651" s="5">
        <v>10.327119964599742</v>
      </c>
      <c r="F651" s="5">
        <v>9.7970291348783434E-3</v>
      </c>
      <c r="G651" s="5">
        <v>1.4507343123963068E-2</v>
      </c>
    </row>
    <row r="652" spans="1:7" x14ac:dyDescent="0.25">
      <c r="A652" s="12">
        <v>45107</v>
      </c>
      <c r="B652" s="13">
        <v>30390.91</v>
      </c>
      <c r="C652" s="13">
        <v>30128.51</v>
      </c>
      <c r="D652" s="5">
        <v>10.32189882952307</v>
      </c>
      <c r="E652" s="5">
        <v>10.313227178528487</v>
      </c>
      <c r="F652" s="5">
        <v>-3.1418933570925844E-4</v>
      </c>
      <c r="G652" s="5">
        <v>-1.3892786071254548E-2</v>
      </c>
    </row>
    <row r="653" spans="1:7" x14ac:dyDescent="0.25">
      <c r="A653" s="12">
        <v>45110</v>
      </c>
      <c r="B653" s="13">
        <v>31128.76</v>
      </c>
      <c r="C653" s="13">
        <v>31700</v>
      </c>
      <c r="D653" s="5">
        <v>10.34588742968374</v>
      </c>
      <c r="E653" s="5">
        <v>10.364071959865372</v>
      </c>
      <c r="F653" s="5">
        <v>2.3988600160670615E-2</v>
      </c>
      <c r="G653" s="5">
        <v>5.0844781336884637E-2</v>
      </c>
    </row>
    <row r="654" spans="1:7" x14ac:dyDescent="0.25">
      <c r="A654" s="12">
        <v>45111</v>
      </c>
      <c r="B654" s="13">
        <v>30807.48</v>
      </c>
      <c r="C654" s="17">
        <v>31700</v>
      </c>
      <c r="D654" s="5">
        <v>10.335512796619501</v>
      </c>
      <c r="E654" s="5">
        <v>10.364071959865372</v>
      </c>
      <c r="F654" s="5">
        <v>-1.0374633064239802E-2</v>
      </c>
      <c r="G654" s="5">
        <v>0</v>
      </c>
    </row>
    <row r="655" spans="1:7" x14ac:dyDescent="0.25">
      <c r="A655" s="12">
        <v>45112</v>
      </c>
      <c r="B655" s="13">
        <v>30470.54</v>
      </c>
      <c r="C655" s="13">
        <v>30675</v>
      </c>
      <c r="D655" s="5">
        <v>10.324515594172569</v>
      </c>
      <c r="E655" s="5">
        <v>10.331203269579111</v>
      </c>
      <c r="F655" s="5">
        <v>-1.0997202446931809E-2</v>
      </c>
      <c r="G655" s="5">
        <v>-3.2868690286260716E-2</v>
      </c>
    </row>
    <row r="656" spans="1:7" x14ac:dyDescent="0.25">
      <c r="A656" s="12">
        <v>45113</v>
      </c>
      <c r="B656" s="13">
        <v>30315.91</v>
      </c>
      <c r="C656" s="13">
        <v>30510</v>
      </c>
      <c r="D656" s="5">
        <v>10.31942793619813</v>
      </c>
      <c r="E656" s="5">
        <v>10.325809777710715</v>
      </c>
      <c r="F656" s="5">
        <v>-5.0876579744389971E-3</v>
      </c>
      <c r="G656" s="5">
        <v>-5.3934918683964383E-3</v>
      </c>
    </row>
    <row r="657" spans="1:7" x14ac:dyDescent="0.25">
      <c r="A657" s="12">
        <v>45114</v>
      </c>
      <c r="B657" s="13">
        <v>30272.41</v>
      </c>
      <c r="C657" s="13">
        <v>30370</v>
      </c>
      <c r="D657" s="5">
        <v>10.317992015628809</v>
      </c>
      <c r="E657" s="5">
        <v>10.321210558039795</v>
      </c>
      <c r="F657" s="5">
        <v>-1.4359205693210697E-3</v>
      </c>
      <c r="G657" s="5">
        <v>-4.5992196709203625E-3</v>
      </c>
    </row>
    <row r="658" spans="1:7" x14ac:dyDescent="0.25">
      <c r="A658" s="12">
        <v>45117</v>
      </c>
      <c r="B658" s="13">
        <v>30785.96</v>
      </c>
      <c r="C658" s="13">
        <v>31055</v>
      </c>
      <c r="D658" s="5">
        <v>10.334814020877289</v>
      </c>
      <c r="E658" s="5">
        <v>10.343515104993404</v>
      </c>
      <c r="F658" s="5">
        <v>1.682200524848021E-2</v>
      </c>
      <c r="G658" s="5">
        <v>2.2304546953609616E-2</v>
      </c>
    </row>
    <row r="659" spans="1:7" x14ac:dyDescent="0.25">
      <c r="A659" s="12">
        <v>45118</v>
      </c>
      <c r="B659" s="13">
        <v>30578.75</v>
      </c>
      <c r="C659" s="13">
        <v>30755</v>
      </c>
      <c r="D659" s="5">
        <v>10.328060602257793</v>
      </c>
      <c r="E659" s="5">
        <v>10.333807861642468</v>
      </c>
      <c r="F659" s="5">
        <v>-6.7534186194961876E-3</v>
      </c>
      <c r="G659" s="5">
        <v>-9.7072433509364231E-3</v>
      </c>
    </row>
    <row r="660" spans="1:7" x14ac:dyDescent="0.25">
      <c r="A660" s="12">
        <v>45119</v>
      </c>
      <c r="B660" s="13">
        <v>30351.84</v>
      </c>
      <c r="C660" s="13">
        <v>30395</v>
      </c>
      <c r="D660" s="5">
        <v>10.320612420679614</v>
      </c>
      <c r="E660" s="5">
        <v>10.322033400182823</v>
      </c>
      <c r="F660" s="5">
        <v>-7.4481815781783922E-3</v>
      </c>
      <c r="G660" s="5">
        <v>-1.177446145964467E-2</v>
      </c>
    </row>
    <row r="661" spans="1:7" x14ac:dyDescent="0.25">
      <c r="A661" s="12">
        <v>45120</v>
      </c>
      <c r="B661" s="13">
        <v>31386</v>
      </c>
      <c r="C661" s="13">
        <v>31925</v>
      </c>
      <c r="D661" s="5">
        <v>10.354117212598666</v>
      </c>
      <c r="E661" s="5">
        <v>10.371144680900739</v>
      </c>
      <c r="F661" s="5">
        <v>3.3504791919051868E-2</v>
      </c>
      <c r="G661" s="5">
        <v>4.9111280717916372E-2</v>
      </c>
    </row>
    <row r="662" spans="1:7" x14ac:dyDescent="0.25">
      <c r="A662" s="12">
        <v>45121</v>
      </c>
      <c r="B662" s="13">
        <v>30206</v>
      </c>
      <c r="C662" s="13">
        <v>30235</v>
      </c>
      <c r="D662" s="5">
        <v>10.315795859126286</v>
      </c>
      <c r="E662" s="5">
        <v>10.316755472707314</v>
      </c>
      <c r="F662" s="5">
        <v>-3.8321353472380082E-2</v>
      </c>
      <c r="G662" s="5">
        <v>-5.4389208193425631E-2</v>
      </c>
    </row>
    <row r="663" spans="1:7" x14ac:dyDescent="0.25">
      <c r="A663" s="12">
        <v>45124</v>
      </c>
      <c r="B663" s="13">
        <v>29931.93</v>
      </c>
      <c r="C663" s="13">
        <v>29990</v>
      </c>
      <c r="D663" s="5">
        <v>10.306681082563276</v>
      </c>
      <c r="E663" s="5">
        <v>10.308619271743055</v>
      </c>
      <c r="F663" s="5">
        <v>-9.114776563009741E-3</v>
      </c>
      <c r="G663" s="5">
        <v>-8.1362009642589328E-3</v>
      </c>
    </row>
    <row r="664" spans="1:7" x14ac:dyDescent="0.25">
      <c r="A664" s="12">
        <v>45125</v>
      </c>
      <c r="B664" s="13">
        <v>29784.080000000002</v>
      </c>
      <c r="C664" s="13">
        <v>29785</v>
      </c>
      <c r="D664" s="5">
        <v>10.301729301554856</v>
      </c>
      <c r="E664" s="5">
        <v>10.301760190062788</v>
      </c>
      <c r="F664" s="5">
        <v>-4.9517810084207525E-3</v>
      </c>
      <c r="G664" s="5">
        <v>-6.8590816802664989E-3</v>
      </c>
    </row>
    <row r="665" spans="1:7" x14ac:dyDescent="0.25">
      <c r="A665" s="12">
        <v>45126</v>
      </c>
      <c r="B665" s="13">
        <v>29966.89</v>
      </c>
      <c r="C665" s="13">
        <v>30105</v>
      </c>
      <c r="D665" s="5">
        <v>10.30784838448908</v>
      </c>
      <c r="E665" s="5">
        <v>10.312446549898548</v>
      </c>
      <c r="F665" s="5">
        <v>6.1190829342248065E-3</v>
      </c>
      <c r="G665" s="5">
        <v>1.0686359835759163E-2</v>
      </c>
    </row>
    <row r="666" spans="1:7" x14ac:dyDescent="0.25">
      <c r="A666" s="12">
        <v>45127</v>
      </c>
      <c r="B666" s="13">
        <v>29737.02</v>
      </c>
      <c r="C666" s="13">
        <v>29765</v>
      </c>
      <c r="D666" s="5">
        <v>10.300148013245128</v>
      </c>
      <c r="E666" s="5">
        <v>10.30108848558749</v>
      </c>
      <c r="F666" s="5">
        <v>-7.7003712439527305E-3</v>
      </c>
      <c r="G666" s="5">
        <v>-1.1358064311057348E-2</v>
      </c>
    </row>
    <row r="667" spans="1:7" x14ac:dyDescent="0.25">
      <c r="A667" s="12">
        <v>45128</v>
      </c>
      <c r="B667" s="13">
        <v>29883.66</v>
      </c>
      <c r="C667" s="13">
        <v>29885</v>
      </c>
      <c r="D667" s="5">
        <v>10.30506712170531</v>
      </c>
      <c r="E667" s="5">
        <v>10.305111961258355</v>
      </c>
      <c r="F667" s="5">
        <v>4.9191084601822865E-3</v>
      </c>
      <c r="G667" s="5">
        <v>4.0234756708645847E-3</v>
      </c>
    </row>
    <row r="668" spans="1:7" x14ac:dyDescent="0.25">
      <c r="A668" s="12">
        <v>45131</v>
      </c>
      <c r="B668" s="13">
        <v>29145.13</v>
      </c>
      <c r="C668" s="13">
        <v>29105</v>
      </c>
      <c r="D668" s="5">
        <v>10.280043110926041</v>
      </c>
      <c r="E668" s="5">
        <v>10.278665259705836</v>
      </c>
      <c r="F668" s="5">
        <v>-2.502401077926919E-2</v>
      </c>
      <c r="G668" s="5">
        <v>-2.6446701552519158E-2</v>
      </c>
    </row>
    <row r="669" spans="1:7" x14ac:dyDescent="0.25">
      <c r="A669" s="12">
        <v>45132</v>
      </c>
      <c r="B669" s="13">
        <v>29229.74</v>
      </c>
      <c r="C669" s="13">
        <v>29180</v>
      </c>
      <c r="D669" s="5">
        <v>10.28294196309481</v>
      </c>
      <c r="E669" s="5">
        <v>10.281238822076777</v>
      </c>
      <c r="F669" s="5">
        <v>2.8988521687693947E-3</v>
      </c>
      <c r="G669" s="5">
        <v>2.5735623709408628E-3</v>
      </c>
    </row>
    <row r="670" spans="1:7" x14ac:dyDescent="0.25">
      <c r="A670" s="12">
        <v>45133</v>
      </c>
      <c r="B670" s="13">
        <v>29589.43</v>
      </c>
      <c r="C670" s="13">
        <v>29395</v>
      </c>
      <c r="D670" s="5">
        <v>10.2951724819441</v>
      </c>
      <c r="E670" s="5">
        <v>10.288579870836355</v>
      </c>
      <c r="F670" s="5">
        <v>1.2230518849289496E-2</v>
      </c>
      <c r="G670" s="5">
        <v>7.3410487595779728E-3</v>
      </c>
    </row>
    <row r="671" spans="1:7" x14ac:dyDescent="0.25">
      <c r="A671" s="12">
        <v>45134</v>
      </c>
      <c r="B671" s="13">
        <v>29143.93</v>
      </c>
      <c r="C671" s="13">
        <v>29115</v>
      </c>
      <c r="D671" s="5">
        <v>10.280001936818921</v>
      </c>
      <c r="E671" s="5">
        <v>10.27900878427122</v>
      </c>
      <c r="F671" s="5">
        <v>-1.5170545125178236E-2</v>
      </c>
      <c r="G671" s="5">
        <v>-9.5710865651348342E-3</v>
      </c>
    </row>
    <row r="672" spans="1:7" x14ac:dyDescent="0.25">
      <c r="A672" s="12">
        <v>45135</v>
      </c>
      <c r="B672" s="13">
        <v>29342.44</v>
      </c>
      <c r="C672" s="13">
        <v>29397.08</v>
      </c>
      <c r="D672" s="5">
        <v>10.286790211156648</v>
      </c>
      <c r="E672" s="5">
        <v>10.288650628666351</v>
      </c>
      <c r="F672" s="5">
        <v>6.7882743377261079E-3</v>
      </c>
      <c r="G672" s="5">
        <v>9.6418443951318267E-3</v>
      </c>
    </row>
    <row r="673" spans="1:7" x14ac:dyDescent="0.25">
      <c r="A673" s="12">
        <v>45138</v>
      </c>
      <c r="B673" s="13">
        <v>29206.799999999999</v>
      </c>
      <c r="C673" s="13">
        <v>29285</v>
      </c>
      <c r="D673" s="5">
        <v>10.28215683785713</v>
      </c>
      <c r="E673" s="5">
        <v>10.284830718523883</v>
      </c>
      <c r="F673" s="5">
        <v>-4.6333732995176291E-3</v>
      </c>
      <c r="G673" s="5">
        <v>-3.8199101424680748E-3</v>
      </c>
    </row>
    <row r="674" spans="1:7" x14ac:dyDescent="0.25">
      <c r="A674" s="12">
        <v>45139</v>
      </c>
      <c r="B674" s="13">
        <v>29212.880000000001</v>
      </c>
      <c r="C674" s="13">
        <v>29440</v>
      </c>
      <c r="D674" s="5">
        <v>10.28236498689259</v>
      </c>
      <c r="E674" s="5">
        <v>10.290109572842812</v>
      </c>
      <c r="F674" s="5">
        <v>2.0814903546018115E-4</v>
      </c>
      <c r="G674" s="5">
        <v>5.2788543189290493E-3</v>
      </c>
    </row>
    <row r="675" spans="1:7" x14ac:dyDescent="0.25">
      <c r="A675" s="12">
        <v>45140</v>
      </c>
      <c r="B675" s="13">
        <v>29119.79</v>
      </c>
      <c r="C675" s="13">
        <v>29280</v>
      </c>
      <c r="D675" s="5">
        <v>10.279173290746158</v>
      </c>
      <c r="E675" s="5">
        <v>10.284659968075248</v>
      </c>
      <c r="F675" s="5">
        <v>-3.1916961464322213E-3</v>
      </c>
      <c r="G675" s="5">
        <v>-5.4496047675645087E-3</v>
      </c>
    </row>
    <row r="676" spans="1:7" x14ac:dyDescent="0.25">
      <c r="A676" s="12">
        <v>45141</v>
      </c>
      <c r="B676" s="13">
        <v>29284.99</v>
      </c>
      <c r="C676" s="13">
        <v>29410</v>
      </c>
      <c r="D676" s="5">
        <v>10.284830377052081</v>
      </c>
      <c r="E676" s="5">
        <v>10.28909003154804</v>
      </c>
      <c r="F676" s="5">
        <v>5.6570863059235421E-3</v>
      </c>
      <c r="G676" s="5">
        <v>4.4300634727925114E-3</v>
      </c>
    </row>
    <row r="677" spans="1:7" x14ac:dyDescent="0.25">
      <c r="A677" s="12">
        <v>45142</v>
      </c>
      <c r="B677" s="13">
        <v>28937.67</v>
      </c>
      <c r="C677" s="13">
        <v>29090</v>
      </c>
      <c r="D677" s="5">
        <v>10.272899485541355</v>
      </c>
      <c r="E677" s="5">
        <v>10.278149751489247</v>
      </c>
      <c r="F677" s="5">
        <v>-1.1930891510726127E-2</v>
      </c>
      <c r="G677" s="5">
        <v>-1.0940280058793661E-2</v>
      </c>
    </row>
    <row r="678" spans="1:7" x14ac:dyDescent="0.25">
      <c r="A678" s="12">
        <v>45145</v>
      </c>
      <c r="B678" s="13">
        <v>29159.17</v>
      </c>
      <c r="C678" s="13">
        <v>29255</v>
      </c>
      <c r="D678" s="5">
        <v>10.280524722068662</v>
      </c>
      <c r="E678" s="5">
        <v>10.283805778222337</v>
      </c>
      <c r="F678" s="5">
        <v>7.6252365273070666E-3</v>
      </c>
      <c r="G678" s="5">
        <v>5.6560267330905134E-3</v>
      </c>
    </row>
    <row r="679" spans="1:7" x14ac:dyDescent="0.25">
      <c r="A679" s="12">
        <v>45146</v>
      </c>
      <c r="B679" s="13">
        <v>29984.240000000002</v>
      </c>
      <c r="C679" s="13">
        <v>30075</v>
      </c>
      <c r="D679" s="5">
        <v>10.308427189275058</v>
      </c>
      <c r="E679" s="5">
        <v>10.311449540842879</v>
      </c>
      <c r="F679" s="5">
        <v>2.7902467206395443E-2</v>
      </c>
      <c r="G679" s="5">
        <v>2.7643762620542134E-2</v>
      </c>
    </row>
    <row r="680" spans="1:7" x14ac:dyDescent="0.25">
      <c r="A680" s="12">
        <v>45147</v>
      </c>
      <c r="B680" s="13">
        <v>29483.38</v>
      </c>
      <c r="C680" s="13">
        <v>29510</v>
      </c>
      <c r="D680" s="5">
        <v>10.291581993733718</v>
      </c>
      <c r="E680" s="5">
        <v>10.292484467936985</v>
      </c>
      <c r="F680" s="5">
        <v>-1.6845195541339564E-2</v>
      </c>
      <c r="G680" s="5">
        <v>-1.8965072905894331E-2</v>
      </c>
    </row>
    <row r="681" spans="1:7" x14ac:dyDescent="0.25">
      <c r="A681" s="12">
        <v>45148</v>
      </c>
      <c r="B681" s="13">
        <v>29421.05</v>
      </c>
      <c r="C681" s="13">
        <v>29495</v>
      </c>
      <c r="D681" s="5">
        <v>10.289465683525354</v>
      </c>
      <c r="E681" s="5">
        <v>10.291976036437175</v>
      </c>
      <c r="F681" s="5">
        <v>-2.11631020836478E-3</v>
      </c>
      <c r="G681" s="5">
        <v>-5.0843149981005809E-4</v>
      </c>
    </row>
    <row r="682" spans="1:7" x14ac:dyDescent="0.25">
      <c r="A682" s="12">
        <v>45149</v>
      </c>
      <c r="B682" s="13">
        <v>29387.01</v>
      </c>
      <c r="C682" s="13">
        <v>29465</v>
      </c>
      <c r="D682" s="5">
        <v>10.288308018953467</v>
      </c>
      <c r="E682" s="5">
        <v>10.290958397272014</v>
      </c>
      <c r="F682" s="5">
        <v>-1.1576645718864853E-3</v>
      </c>
      <c r="G682" s="5">
        <v>-1.0176391651608441E-3</v>
      </c>
    </row>
    <row r="683" spans="1:7" x14ac:dyDescent="0.25">
      <c r="A683" s="12">
        <v>45152</v>
      </c>
      <c r="B683" s="13">
        <v>29366.799999999999</v>
      </c>
      <c r="C683" s="13">
        <v>29395</v>
      </c>
      <c r="D683" s="5">
        <v>10.287620063540974</v>
      </c>
      <c r="E683" s="5">
        <v>10.288579870836355</v>
      </c>
      <c r="F683" s="5">
        <v>-6.8795541249322412E-4</v>
      </c>
      <c r="G683" s="5">
        <v>-2.3785264356597224E-3</v>
      </c>
    </row>
    <row r="684" spans="1:7" x14ac:dyDescent="0.25">
      <c r="A684" s="12">
        <v>45153</v>
      </c>
      <c r="B684" s="13">
        <v>29171.58</v>
      </c>
      <c r="C684" s="13">
        <v>29225</v>
      </c>
      <c r="D684" s="5">
        <v>10.280950226633141</v>
      </c>
      <c r="E684" s="5">
        <v>10.282779786340269</v>
      </c>
      <c r="F684" s="5">
        <v>-6.6698369078324049E-3</v>
      </c>
      <c r="G684" s="5">
        <v>-5.8000844960854891E-3</v>
      </c>
    </row>
    <row r="685" spans="1:7" x14ac:dyDescent="0.25">
      <c r="A685" s="12">
        <v>45154</v>
      </c>
      <c r="B685" s="13">
        <v>28940.39</v>
      </c>
      <c r="C685" s="13">
        <v>29130</v>
      </c>
      <c r="D685" s="5">
        <v>10.272993476252239</v>
      </c>
      <c r="E685" s="5">
        <v>10.279523849953481</v>
      </c>
      <c r="F685" s="5">
        <v>-7.9567503809023776E-3</v>
      </c>
      <c r="G685" s="5">
        <v>-3.2559363867878943E-3</v>
      </c>
    </row>
    <row r="686" spans="1:7" x14ac:dyDescent="0.25">
      <c r="A686" s="12">
        <v>45155</v>
      </c>
      <c r="B686" s="13">
        <v>27642</v>
      </c>
      <c r="C686" s="13">
        <v>27850</v>
      </c>
      <c r="D686" s="5">
        <v>10.227091634163973</v>
      </c>
      <c r="E686" s="5">
        <v>10.234588245355431</v>
      </c>
      <c r="F686" s="5">
        <v>-4.590184208826642E-2</v>
      </c>
      <c r="G686" s="5">
        <v>-4.493560459805046E-2</v>
      </c>
    </row>
    <row r="687" spans="1:7" x14ac:dyDescent="0.25">
      <c r="A687" s="12">
        <v>45156</v>
      </c>
      <c r="B687" s="13">
        <v>26071.78</v>
      </c>
      <c r="C687" s="13">
        <v>26020</v>
      </c>
      <c r="D687" s="5">
        <v>10.168608782310578</v>
      </c>
      <c r="E687" s="5">
        <v>10.166620752066496</v>
      </c>
      <c r="F687" s="5">
        <v>-5.8482851853394635E-2</v>
      </c>
      <c r="G687" s="5">
        <v>-6.7967493288934477E-2</v>
      </c>
    </row>
    <row r="688" spans="1:7" x14ac:dyDescent="0.25">
      <c r="A688" s="12">
        <v>45159</v>
      </c>
      <c r="B688" s="13">
        <v>26109.71</v>
      </c>
      <c r="C688" s="13">
        <v>26065</v>
      </c>
      <c r="D688" s="5">
        <v>10.170062554775882</v>
      </c>
      <c r="E688" s="5">
        <v>10.168348697202207</v>
      </c>
      <c r="F688" s="5">
        <v>1.4537724653038708E-3</v>
      </c>
      <c r="G688" s="5">
        <v>1.72794513571084E-3</v>
      </c>
    </row>
    <row r="689" spans="1:7" x14ac:dyDescent="0.25">
      <c r="A689" s="12">
        <v>45160</v>
      </c>
      <c r="B689" s="13">
        <v>25856.99</v>
      </c>
      <c r="C689" s="13">
        <v>25730</v>
      </c>
      <c r="D689" s="5">
        <v>10.160336249572966</v>
      </c>
      <c r="E689" s="5">
        <v>10.15541290527579</v>
      </c>
      <c r="F689" s="5">
        <v>-9.7263052029159525E-3</v>
      </c>
      <c r="G689" s="5">
        <v>-1.2935791926416584E-2</v>
      </c>
    </row>
    <row r="690" spans="1:7" x14ac:dyDescent="0.25">
      <c r="A690" s="12">
        <v>45161</v>
      </c>
      <c r="B690" s="13">
        <v>26591.759999999998</v>
      </c>
      <c r="C690" s="13">
        <v>26640</v>
      </c>
      <c r="D690" s="5">
        <v>10.188356672343689</v>
      </c>
      <c r="E690" s="5">
        <v>10.190169124654325</v>
      </c>
      <c r="F690" s="5">
        <v>2.802042277072303E-2</v>
      </c>
      <c r="G690" s="5">
        <v>3.4756219378534681E-2</v>
      </c>
    </row>
    <row r="691" spans="1:7" x14ac:dyDescent="0.25">
      <c r="A691" s="12">
        <v>45162</v>
      </c>
      <c r="B691" s="13">
        <v>26016.62</v>
      </c>
      <c r="C691" s="13">
        <v>25995</v>
      </c>
      <c r="D691" s="5">
        <v>10.166490843551886</v>
      </c>
      <c r="E691" s="5">
        <v>10.165659490817816</v>
      </c>
      <c r="F691" s="5">
        <v>-2.186582879180321E-2</v>
      </c>
      <c r="G691" s="5">
        <v>-2.4509633836508726E-2</v>
      </c>
    </row>
    <row r="692" spans="1:7" x14ac:dyDescent="0.25">
      <c r="A692" s="12">
        <v>45163</v>
      </c>
      <c r="B692" s="13">
        <v>26048.87</v>
      </c>
      <c r="C692" s="13">
        <v>26003.360000000001</v>
      </c>
      <c r="D692" s="5">
        <v>10.167729668121654</v>
      </c>
      <c r="E692" s="5">
        <v>10.165981039423274</v>
      </c>
      <c r="F692" s="5">
        <v>1.2388245697678713E-3</v>
      </c>
      <c r="G692" s="5">
        <v>3.2154860545752229E-4</v>
      </c>
    </row>
    <row r="693" spans="1:7" x14ac:dyDescent="0.25">
      <c r="A693" s="12">
        <v>45166</v>
      </c>
      <c r="B693" s="13">
        <v>25981.81</v>
      </c>
      <c r="C693" s="13">
        <v>26090</v>
      </c>
      <c r="D693" s="5">
        <v>10.165151956773956</v>
      </c>
      <c r="E693" s="5">
        <v>10.169307378130775</v>
      </c>
      <c r="F693" s="5">
        <v>-2.5777113476976865E-3</v>
      </c>
      <c r="G693" s="5">
        <v>3.3263387075006534E-3</v>
      </c>
    </row>
    <row r="694" spans="1:7" x14ac:dyDescent="0.25">
      <c r="A694" s="12">
        <v>45167</v>
      </c>
      <c r="B694" s="13">
        <v>27579.74</v>
      </c>
      <c r="C694" s="13">
        <v>28010</v>
      </c>
      <c r="D694" s="5">
        <v>10.224836724181754</v>
      </c>
      <c r="E694" s="5">
        <v>10.240316868254155</v>
      </c>
      <c r="F694" s="5">
        <v>5.9684767407798489E-2</v>
      </c>
      <c r="G694" s="5">
        <v>7.1009490123380203E-2</v>
      </c>
    </row>
    <row r="695" spans="1:7" x14ac:dyDescent="0.25">
      <c r="A695" s="12">
        <v>45168</v>
      </c>
      <c r="B695" s="13">
        <v>27253.38</v>
      </c>
      <c r="C695" s="13">
        <v>27260</v>
      </c>
      <c r="D695" s="5">
        <v>10.212932829096722</v>
      </c>
      <c r="E695" s="5">
        <v>10.213175705250524</v>
      </c>
      <c r="F695" s="5">
        <v>-1.190389508503209E-2</v>
      </c>
      <c r="G695" s="5">
        <v>-2.7141163003630453E-2</v>
      </c>
    </row>
    <row r="696" spans="1:7" x14ac:dyDescent="0.25">
      <c r="A696" s="12">
        <v>45169</v>
      </c>
      <c r="B696" s="13">
        <v>26013.119999999999</v>
      </c>
      <c r="C696" s="13">
        <v>26240</v>
      </c>
      <c r="D696" s="5">
        <v>10.166356305112707</v>
      </c>
      <c r="E696" s="5">
        <v>10.175040243058024</v>
      </c>
      <c r="F696" s="5">
        <v>-4.6576523984015239E-2</v>
      </c>
      <c r="G696" s="5">
        <v>-3.8135462192499858E-2</v>
      </c>
    </row>
    <row r="697" spans="1:7" x14ac:dyDescent="0.25">
      <c r="A697" s="12">
        <v>45170</v>
      </c>
      <c r="B697" s="13">
        <v>25759.54</v>
      </c>
      <c r="C697" s="13">
        <v>25700</v>
      </c>
      <c r="D697" s="5">
        <v>10.156560322915992</v>
      </c>
      <c r="E697" s="5">
        <v>10.154246270883311</v>
      </c>
      <c r="F697" s="5">
        <v>-9.7959821967155136E-3</v>
      </c>
      <c r="G697" s="5">
        <v>-2.079397217471346E-2</v>
      </c>
    </row>
    <row r="698" spans="1:7" x14ac:dyDescent="0.25">
      <c r="A698" s="12">
        <v>45173</v>
      </c>
      <c r="B698" s="13">
        <v>25828.28</v>
      </c>
      <c r="C698" s="17">
        <v>25700</v>
      </c>
      <c r="D698" s="5">
        <v>10.159225294635403</v>
      </c>
      <c r="E698" s="5">
        <v>10.154246270883311</v>
      </c>
      <c r="F698" s="5">
        <v>2.6649717194118239E-3</v>
      </c>
      <c r="G698" s="5">
        <v>0</v>
      </c>
    </row>
    <row r="699" spans="1:7" x14ac:dyDescent="0.25">
      <c r="A699" s="12">
        <v>45174</v>
      </c>
      <c r="B699" s="13">
        <v>25705.85</v>
      </c>
      <c r="C699" s="13">
        <v>25735</v>
      </c>
      <c r="D699" s="5">
        <v>10.154473871439484</v>
      </c>
      <c r="E699" s="5">
        <v>10.155607212086855</v>
      </c>
      <c r="F699" s="5">
        <v>-4.7514231959198128E-3</v>
      </c>
      <c r="G699" s="5">
        <v>1.3609412035435753E-3</v>
      </c>
    </row>
    <row r="700" spans="1:7" x14ac:dyDescent="0.25">
      <c r="A700" s="12">
        <v>45175</v>
      </c>
      <c r="B700" s="13">
        <v>25669.79</v>
      </c>
      <c r="C700" s="13">
        <v>25705</v>
      </c>
      <c r="D700" s="5">
        <v>10.153070093075977</v>
      </c>
      <c r="E700" s="5">
        <v>10.154440804489605</v>
      </c>
      <c r="F700" s="5">
        <v>-1.4037783635068024E-3</v>
      </c>
      <c r="G700" s="5">
        <v>-1.1664075972497301E-3</v>
      </c>
    </row>
    <row r="701" spans="1:7" x14ac:dyDescent="0.25">
      <c r="A701" s="12">
        <v>45176</v>
      </c>
      <c r="B701" s="13">
        <v>26002</v>
      </c>
      <c r="C701" s="13">
        <v>25980</v>
      </c>
      <c r="D701" s="5">
        <v>10.165928737122114</v>
      </c>
      <c r="E701" s="5">
        <v>10.165082290224591</v>
      </c>
      <c r="F701" s="5">
        <v>1.2858644046136902E-2</v>
      </c>
      <c r="G701" s="5">
        <v>1.0641485734986134E-2</v>
      </c>
    </row>
    <row r="702" spans="1:7" x14ac:dyDescent="0.25">
      <c r="A702" s="12">
        <v>45177</v>
      </c>
      <c r="B702" s="13">
        <v>25902</v>
      </c>
      <c r="C702" s="13">
        <v>26005</v>
      </c>
      <c r="D702" s="5">
        <v>10.162075464783532</v>
      </c>
      <c r="E702" s="5">
        <v>10.166044106207172</v>
      </c>
      <c r="F702" s="5">
        <v>-3.8532723385813483E-3</v>
      </c>
      <c r="G702" s="5">
        <v>9.618159825812711E-4</v>
      </c>
    </row>
    <row r="703" spans="1:7" x14ac:dyDescent="0.25">
      <c r="A703" s="12">
        <v>45180</v>
      </c>
      <c r="B703" s="13">
        <v>25087.360000000001</v>
      </c>
      <c r="C703" s="13">
        <v>25030</v>
      </c>
      <c r="D703" s="5">
        <v>10.130119412620662</v>
      </c>
      <c r="E703" s="5">
        <v>10.12783038442582</v>
      </c>
      <c r="F703" s="5">
        <v>-3.1956052162870563E-2</v>
      </c>
      <c r="G703" s="5">
        <v>-3.821372178135185E-2</v>
      </c>
    </row>
    <row r="704" spans="1:7" x14ac:dyDescent="0.25">
      <c r="A704" s="12">
        <v>45181</v>
      </c>
      <c r="B704" s="13">
        <v>26074.38</v>
      </c>
      <c r="C704" s="13">
        <v>26125</v>
      </c>
      <c r="D704" s="5">
        <v>10.168708502021566</v>
      </c>
      <c r="E704" s="5">
        <v>10.170647989267112</v>
      </c>
      <c r="F704" s="5">
        <v>3.8589089400904442E-2</v>
      </c>
      <c r="G704" s="5">
        <v>4.2817604841291157E-2</v>
      </c>
    </row>
    <row r="705" spans="1:7" x14ac:dyDescent="0.25">
      <c r="A705" s="12">
        <v>45182</v>
      </c>
      <c r="B705" s="13">
        <v>26225.8</v>
      </c>
      <c r="C705" s="13">
        <v>26205</v>
      </c>
      <c r="D705" s="5">
        <v>10.17449893804231</v>
      </c>
      <c r="E705" s="5">
        <v>10.173705511236266</v>
      </c>
      <c r="F705" s="5">
        <v>5.7904360207441385E-3</v>
      </c>
      <c r="G705" s="5">
        <v>3.0575219691542088E-3</v>
      </c>
    </row>
    <row r="706" spans="1:7" x14ac:dyDescent="0.25">
      <c r="A706" s="12">
        <v>45183</v>
      </c>
      <c r="B706" s="13">
        <v>26578.75</v>
      </c>
      <c r="C706" s="13">
        <v>26765</v>
      </c>
      <c r="D706" s="5">
        <v>10.18786730332091</v>
      </c>
      <c r="E706" s="5">
        <v>10.194850342827481</v>
      </c>
      <c r="F706" s="5">
        <v>1.3368365278600081E-2</v>
      </c>
      <c r="G706" s="5">
        <v>2.1144831591215052E-2</v>
      </c>
    </row>
    <row r="707" spans="1:7" x14ac:dyDescent="0.25">
      <c r="A707" s="12">
        <v>45184</v>
      </c>
      <c r="B707" s="13">
        <v>26418.35</v>
      </c>
      <c r="C707" s="13">
        <v>26475</v>
      </c>
      <c r="D707" s="5">
        <v>10.181814123438707</v>
      </c>
      <c r="E707" s="5">
        <v>10.183956170469607</v>
      </c>
      <c r="F707" s="5">
        <v>-6.053179882202997E-3</v>
      </c>
      <c r="G707" s="5">
        <v>-1.0894172357874154E-2</v>
      </c>
    </row>
    <row r="708" spans="1:7" x14ac:dyDescent="0.25">
      <c r="A708" s="12">
        <v>45187</v>
      </c>
      <c r="B708" s="13">
        <v>26774.69</v>
      </c>
      <c r="C708" s="13">
        <v>26885</v>
      </c>
      <c r="D708" s="5">
        <v>10.195212317284405</v>
      </c>
      <c r="E708" s="5">
        <v>10.199323789243778</v>
      </c>
      <c r="F708" s="5">
        <v>1.3398193845697293E-2</v>
      </c>
      <c r="G708" s="5">
        <v>1.5367618774170921E-2</v>
      </c>
    </row>
    <row r="709" spans="1:7" x14ac:dyDescent="0.25">
      <c r="A709" s="12">
        <v>45188</v>
      </c>
      <c r="B709" s="13">
        <v>27192</v>
      </c>
      <c r="C709" s="13">
        <v>27270</v>
      </c>
      <c r="D709" s="5">
        <v>10.210678091375952</v>
      </c>
      <c r="E709" s="5">
        <v>10.213542475839635</v>
      </c>
      <c r="F709" s="5">
        <v>1.5465774091547146E-2</v>
      </c>
      <c r="G709" s="5">
        <v>1.4218686595857122E-2</v>
      </c>
    </row>
    <row r="710" spans="1:7" x14ac:dyDescent="0.25">
      <c r="A710" s="12">
        <v>45189</v>
      </c>
      <c r="B710" s="13">
        <v>27094.68</v>
      </c>
      <c r="C710" s="13">
        <v>26990</v>
      </c>
      <c r="D710" s="5">
        <v>10.207092677633369</v>
      </c>
      <c r="E710" s="5">
        <v>10.20322170601205</v>
      </c>
      <c r="F710" s="5">
        <v>-3.5854137425825883E-3</v>
      </c>
      <c r="G710" s="5">
        <v>-1.0320769827584897E-2</v>
      </c>
    </row>
    <row r="711" spans="1:7" x14ac:dyDescent="0.25">
      <c r="A711" s="12">
        <v>45190</v>
      </c>
      <c r="B711" s="13">
        <v>26601.66</v>
      </c>
      <c r="C711" s="13">
        <v>26635</v>
      </c>
      <c r="D711" s="5">
        <v>10.188728898837654</v>
      </c>
      <c r="E711" s="5">
        <v>10.189981419351099</v>
      </c>
      <c r="F711" s="5">
        <v>-1.8363778795714936E-2</v>
      </c>
      <c r="G711" s="5">
        <v>-1.3240286660950673E-2</v>
      </c>
    </row>
    <row r="712" spans="1:7" x14ac:dyDescent="0.25">
      <c r="A712" s="12">
        <v>45191</v>
      </c>
      <c r="B712" s="13">
        <v>26537.68</v>
      </c>
      <c r="C712" s="13">
        <v>26545</v>
      </c>
      <c r="D712" s="5">
        <v>10.186320888842959</v>
      </c>
      <c r="E712" s="5">
        <v>10.186596685017772</v>
      </c>
      <c r="F712" s="5">
        <v>-2.4080099946957034E-3</v>
      </c>
      <c r="G712" s="5">
        <v>-3.3847343333270885E-3</v>
      </c>
    </row>
    <row r="713" spans="1:7" x14ac:dyDescent="0.25">
      <c r="A713" s="12">
        <v>45194</v>
      </c>
      <c r="B713" s="13">
        <v>26289.25</v>
      </c>
      <c r="C713" s="13">
        <v>26355</v>
      </c>
      <c r="D713" s="5">
        <v>10.176915389359598</v>
      </c>
      <c r="E713" s="5">
        <v>10.179413289289307</v>
      </c>
      <c r="F713" s="5">
        <v>-9.4054994833605576E-3</v>
      </c>
      <c r="G713" s="5">
        <v>-7.1833957284646033E-3</v>
      </c>
    </row>
    <row r="714" spans="1:7" x14ac:dyDescent="0.25">
      <c r="A714" s="12">
        <v>45195</v>
      </c>
      <c r="B714" s="13">
        <v>26148.13</v>
      </c>
      <c r="C714" s="13">
        <v>26245</v>
      </c>
      <c r="D714" s="5">
        <v>10.171532956419817</v>
      </c>
      <c r="E714" s="5">
        <v>10.175230773686399</v>
      </c>
      <c r="F714" s="5">
        <v>-5.3824329397809123E-3</v>
      </c>
      <c r="G714" s="5">
        <v>-4.1825156029080546E-3</v>
      </c>
    </row>
    <row r="715" spans="1:7" x14ac:dyDescent="0.25">
      <c r="A715" s="12">
        <v>45196</v>
      </c>
      <c r="B715" s="13">
        <v>26238.720000000001</v>
      </c>
      <c r="C715" s="13">
        <v>26250</v>
      </c>
      <c r="D715" s="5">
        <v>10.174991461380413</v>
      </c>
      <c r="E715" s="5">
        <v>10.17542126801977</v>
      </c>
      <c r="F715" s="5">
        <v>3.4585049605961871E-3</v>
      </c>
      <c r="G715" s="5">
        <v>1.904943333705944E-4</v>
      </c>
    </row>
    <row r="716" spans="1:7" x14ac:dyDescent="0.25">
      <c r="A716" s="12">
        <v>45197</v>
      </c>
      <c r="B716" s="13">
        <v>27089.32</v>
      </c>
      <c r="C716" s="13">
        <v>27120</v>
      </c>
      <c r="D716" s="5">
        <v>10.206894833250619</v>
      </c>
      <c r="E716" s="5">
        <v>10.208026742054331</v>
      </c>
      <c r="F716" s="5">
        <v>3.1903371870205532E-2</v>
      </c>
      <c r="G716" s="5">
        <v>3.2605474034561155E-2</v>
      </c>
    </row>
    <row r="717" spans="1:7" x14ac:dyDescent="0.25">
      <c r="A717" s="12">
        <v>45198</v>
      </c>
      <c r="B717" s="13">
        <v>26903.18</v>
      </c>
      <c r="C717" s="13">
        <v>26869.69</v>
      </c>
      <c r="D717" s="5">
        <v>10.199999774216398</v>
      </c>
      <c r="E717" s="5">
        <v>10.19875416451284</v>
      </c>
      <c r="F717" s="5">
        <v>-6.8950590342211626E-3</v>
      </c>
      <c r="G717" s="5">
        <v>-9.2725775414912448E-3</v>
      </c>
    </row>
    <row r="718" spans="1:7" x14ac:dyDescent="0.25">
      <c r="A718" s="12">
        <v>45201</v>
      </c>
      <c r="B718" s="13">
        <v>27842.16</v>
      </c>
      <c r="C718" s="13">
        <v>28150</v>
      </c>
      <c r="D718" s="5">
        <v>10.234306697645598</v>
      </c>
      <c r="E718" s="5">
        <v>10.245302633567837</v>
      </c>
      <c r="F718" s="5">
        <v>3.4306923429200609E-2</v>
      </c>
      <c r="G718" s="5">
        <v>4.6548469054997099E-2</v>
      </c>
    </row>
    <row r="719" spans="1:7" x14ac:dyDescent="0.25">
      <c r="A719" s="12">
        <v>45202</v>
      </c>
      <c r="B719" s="13">
        <v>27396.6</v>
      </c>
      <c r="C719" s="13">
        <v>27385</v>
      </c>
      <c r="D719" s="5">
        <v>10.218174197085419</v>
      </c>
      <c r="E719" s="5">
        <v>10.217750697217822</v>
      </c>
      <c r="F719" s="5">
        <v>-1.6132500560178897E-2</v>
      </c>
      <c r="G719" s="5">
        <v>-2.7551936350015183E-2</v>
      </c>
    </row>
    <row r="720" spans="1:7" x14ac:dyDescent="0.25">
      <c r="A720" s="12">
        <v>45203</v>
      </c>
      <c r="B720" s="13">
        <v>27659.68</v>
      </c>
      <c r="C720" s="13">
        <v>27775</v>
      </c>
      <c r="D720" s="5">
        <v>10.227731036099044</v>
      </c>
      <c r="E720" s="5">
        <v>10.23189161450783</v>
      </c>
      <c r="F720" s="5">
        <v>9.5568390136246961E-3</v>
      </c>
      <c r="G720" s="5">
        <v>1.4140917290008659E-2</v>
      </c>
    </row>
    <row r="721" spans="1:7" x14ac:dyDescent="0.25">
      <c r="A721" s="12">
        <v>45204</v>
      </c>
      <c r="B721" s="13">
        <v>27479</v>
      </c>
      <c r="C721" s="13">
        <v>27605</v>
      </c>
      <c r="D721" s="5">
        <v>10.221177355572257</v>
      </c>
      <c r="E721" s="5">
        <v>10.225752194718146</v>
      </c>
      <c r="F721" s="5">
        <v>-6.5536805267871756E-3</v>
      </c>
      <c r="G721" s="5">
        <v>-6.1394197896849079E-3</v>
      </c>
    </row>
    <row r="722" spans="1:7" x14ac:dyDescent="0.25">
      <c r="A722" s="12">
        <v>45205</v>
      </c>
      <c r="B722" s="13">
        <v>27995.25</v>
      </c>
      <c r="C722" s="13">
        <v>28145</v>
      </c>
      <c r="D722" s="5">
        <v>10.239790131909221</v>
      </c>
      <c r="E722" s="5">
        <v>10.245124997898127</v>
      </c>
      <c r="F722" s="5">
        <v>1.8612776336963677E-2</v>
      </c>
      <c r="G722" s="5">
        <v>1.9372803179981801E-2</v>
      </c>
    </row>
    <row r="723" spans="1:7" x14ac:dyDescent="0.25">
      <c r="A723" s="12">
        <v>45208</v>
      </c>
      <c r="B723" s="13">
        <v>27576.46</v>
      </c>
      <c r="C723" s="13">
        <v>27735</v>
      </c>
      <c r="D723" s="5">
        <v>10.224717789229606</v>
      </c>
      <c r="E723" s="5">
        <v>10.230450432489334</v>
      </c>
      <c r="F723" s="5">
        <v>-1.5072342679614437E-2</v>
      </c>
      <c r="G723" s="5">
        <v>-1.4674565408792972E-2</v>
      </c>
    </row>
    <row r="724" spans="1:7" x14ac:dyDescent="0.25">
      <c r="A724" s="12">
        <v>45209</v>
      </c>
      <c r="B724" s="13">
        <v>27405.48</v>
      </c>
      <c r="C724" s="13">
        <v>27490</v>
      </c>
      <c r="D724" s="5">
        <v>10.218498272378827</v>
      </c>
      <c r="E724" s="5">
        <v>10.221577581159291</v>
      </c>
      <c r="F724" s="5">
        <v>-6.2195168507788168E-3</v>
      </c>
      <c r="G724" s="5">
        <v>-8.8728513300431189E-3</v>
      </c>
    </row>
    <row r="725" spans="1:7" x14ac:dyDescent="0.25">
      <c r="A725" s="12">
        <v>45210</v>
      </c>
      <c r="B725" s="13">
        <v>26717.11</v>
      </c>
      <c r="C725" s="13">
        <v>26800</v>
      </c>
      <c r="D725" s="5">
        <v>10.193059463118376</v>
      </c>
      <c r="E725" s="5">
        <v>10.196157166498947</v>
      </c>
      <c r="F725" s="5">
        <v>-2.5438809260451833E-2</v>
      </c>
      <c r="G725" s="5">
        <v>-2.5420414660343837E-2</v>
      </c>
    </row>
    <row r="726" spans="1:7" x14ac:dyDescent="0.25">
      <c r="A726" s="12">
        <v>45211</v>
      </c>
      <c r="B726" s="13">
        <v>26737.69</v>
      </c>
      <c r="C726" s="13">
        <v>26755</v>
      </c>
      <c r="D726" s="5">
        <v>10.19382945948977</v>
      </c>
      <c r="E726" s="5">
        <v>10.194476650745406</v>
      </c>
      <c r="F726" s="5">
        <v>7.6999637139429922E-4</v>
      </c>
      <c r="G726" s="5">
        <v>-1.680515753541556E-3</v>
      </c>
    </row>
    <row r="727" spans="1:7" x14ac:dyDescent="0.25">
      <c r="A727" s="12">
        <v>45212</v>
      </c>
      <c r="B727" s="13">
        <v>26976.51</v>
      </c>
      <c r="C727" s="13">
        <v>26840</v>
      </c>
      <c r="D727" s="5">
        <v>10.202721766316822</v>
      </c>
      <c r="E727" s="5">
        <v>10.197648591085619</v>
      </c>
      <c r="F727" s="5">
        <v>8.89230682705211E-3</v>
      </c>
      <c r="G727" s="5">
        <v>3.1719403402128421E-3</v>
      </c>
    </row>
    <row r="728" spans="1:7" x14ac:dyDescent="0.25">
      <c r="A728" s="12">
        <v>45215</v>
      </c>
      <c r="B728" s="13">
        <v>28405.38</v>
      </c>
      <c r="C728" s="13">
        <v>28575</v>
      </c>
      <c r="D728" s="5">
        <v>10.254333842828165</v>
      </c>
      <c r="E728" s="5">
        <v>10.260287488663012</v>
      </c>
      <c r="F728" s="5">
        <v>5.1612076511343474E-2</v>
      </c>
      <c r="G728" s="5">
        <v>6.2638897577393493E-2</v>
      </c>
    </row>
    <row r="729" spans="1:7" x14ac:dyDescent="0.25">
      <c r="A729" s="12">
        <v>45216</v>
      </c>
      <c r="B729" s="13">
        <v>28459.42</v>
      </c>
      <c r="C729" s="13">
        <v>28620</v>
      </c>
      <c r="D729" s="5">
        <v>10.256234491956207</v>
      </c>
      <c r="E729" s="5">
        <v>10.261861053110442</v>
      </c>
      <c r="F729" s="5">
        <v>1.9006491280411097E-3</v>
      </c>
      <c r="G729" s="5">
        <v>1.5735644474297317E-3</v>
      </c>
    </row>
    <row r="730" spans="1:7" x14ac:dyDescent="0.25">
      <c r="A730" s="12">
        <v>45217</v>
      </c>
      <c r="B730" s="13">
        <v>28260</v>
      </c>
      <c r="C730" s="13">
        <v>28320</v>
      </c>
      <c r="D730" s="5">
        <v>10.249202656238518</v>
      </c>
      <c r="E730" s="5">
        <v>10.251323547807656</v>
      </c>
      <c r="F730" s="5">
        <v>-7.031835717688395E-3</v>
      </c>
      <c r="G730" s="5">
        <v>-1.0537505302785632E-2</v>
      </c>
    </row>
    <row r="731" spans="1:7" x14ac:dyDescent="0.25">
      <c r="A731" s="12">
        <v>45218</v>
      </c>
      <c r="B731" s="13">
        <v>28728.04</v>
      </c>
      <c r="C731" s="13">
        <v>28900</v>
      </c>
      <c r="D731" s="5">
        <v>10.265628928274763</v>
      </c>
      <c r="E731" s="5">
        <v>10.271596874100524</v>
      </c>
      <c r="F731" s="5">
        <v>1.6426272036245138E-2</v>
      </c>
      <c r="G731" s="5">
        <v>2.0273326292867822E-2</v>
      </c>
    </row>
    <row r="732" spans="1:7" x14ac:dyDescent="0.25">
      <c r="A732" s="12">
        <v>45219</v>
      </c>
      <c r="B732" s="13">
        <v>29601</v>
      </c>
      <c r="C732" s="13">
        <v>29685</v>
      </c>
      <c r="D732" s="5">
        <v>10.295563423525277</v>
      </c>
      <c r="E732" s="5">
        <v>10.298397146704776</v>
      </c>
      <c r="F732" s="5">
        <v>2.9934495250513393E-2</v>
      </c>
      <c r="G732" s="5">
        <v>2.6800272604251774E-2</v>
      </c>
    </row>
    <row r="733" spans="1:7" x14ac:dyDescent="0.25">
      <c r="A733" s="12">
        <v>45222</v>
      </c>
      <c r="B733" s="13">
        <v>31537.58</v>
      </c>
      <c r="C733" s="13">
        <v>31485</v>
      </c>
      <c r="D733" s="5">
        <v>10.358935129608799</v>
      </c>
      <c r="E733" s="5">
        <v>10.357266520922844</v>
      </c>
      <c r="F733" s="5">
        <v>6.3371706083522383E-2</v>
      </c>
      <c r="G733" s="5">
        <v>5.8869374218067705E-2</v>
      </c>
    </row>
    <row r="734" spans="1:7" x14ac:dyDescent="0.25">
      <c r="A734" s="12">
        <v>45223</v>
      </c>
      <c r="B734" s="13">
        <v>33651.379999999997</v>
      </c>
      <c r="C734" s="13">
        <v>33845</v>
      </c>
      <c r="D734" s="5">
        <v>10.42380934463316</v>
      </c>
      <c r="E734" s="5">
        <v>10.429546556942707</v>
      </c>
      <c r="F734" s="5">
        <v>6.4874215024360637E-2</v>
      </c>
      <c r="G734" s="5">
        <v>7.2280036019863658E-2</v>
      </c>
    </row>
    <row r="735" spans="1:7" x14ac:dyDescent="0.25">
      <c r="A735" s="12">
        <v>45224</v>
      </c>
      <c r="B735" s="13">
        <v>34680.57</v>
      </c>
      <c r="C735" s="13">
        <v>34840</v>
      </c>
      <c r="D735" s="5">
        <v>10.453934866745568</v>
      </c>
      <c r="E735" s="5">
        <v>10.458521430966439</v>
      </c>
      <c r="F735" s="5">
        <v>3.0125522112408376E-2</v>
      </c>
      <c r="G735" s="5">
        <v>2.8974874023731445E-2</v>
      </c>
    </row>
    <row r="736" spans="1:7" x14ac:dyDescent="0.25">
      <c r="A736" s="12">
        <v>45225</v>
      </c>
      <c r="B736" s="13">
        <v>34191.550000000003</v>
      </c>
      <c r="C736" s="13">
        <v>34065</v>
      </c>
      <c r="D736" s="5">
        <v>10.439733816498995</v>
      </c>
      <c r="E736" s="5">
        <v>10.436025743207768</v>
      </c>
      <c r="F736" s="5">
        <v>-1.4201050246573033E-2</v>
      </c>
      <c r="G736" s="5">
        <v>-2.2495687758670613E-2</v>
      </c>
    </row>
    <row r="737" spans="1:7" x14ac:dyDescent="0.25">
      <c r="A737" s="12">
        <v>45226</v>
      </c>
      <c r="B737" s="13">
        <v>33836.54</v>
      </c>
      <c r="C737" s="13">
        <v>33980.050000000003</v>
      </c>
      <c r="D737" s="5">
        <v>10.42929656262981</v>
      </c>
      <c r="E737" s="5">
        <v>10.433528866678637</v>
      </c>
      <c r="F737" s="5">
        <v>-1.0437253869184815E-2</v>
      </c>
      <c r="G737" s="5">
        <v>-2.496876529130887E-3</v>
      </c>
    </row>
    <row r="738" spans="1:7" x14ac:dyDescent="0.25">
      <c r="A738" s="12">
        <v>45229</v>
      </c>
      <c r="B738" s="13">
        <v>34439.910000000003</v>
      </c>
      <c r="C738" s="13">
        <v>34765</v>
      </c>
      <c r="D738" s="5">
        <v>10.446971345297834</v>
      </c>
      <c r="E738" s="5">
        <v>10.456366412533118</v>
      </c>
      <c r="F738" s="5">
        <v>1.7674782668024136E-2</v>
      </c>
      <c r="G738" s="5">
        <v>2.2837545854480723E-2</v>
      </c>
    </row>
    <row r="739" spans="1:7" x14ac:dyDescent="0.25">
      <c r="A739" s="12">
        <v>45230</v>
      </c>
      <c r="B739" s="13">
        <v>34650.559999999998</v>
      </c>
      <c r="C739" s="13">
        <v>34905</v>
      </c>
      <c r="D739" s="5">
        <v>10.453069166103614</v>
      </c>
      <c r="E739" s="5">
        <v>10.460385364404502</v>
      </c>
      <c r="F739" s="5">
        <v>6.0978208057793637E-3</v>
      </c>
      <c r="G739" s="5">
        <v>4.0189518713837913E-3</v>
      </c>
    </row>
    <row r="740" spans="1:7" x14ac:dyDescent="0.25">
      <c r="A740" s="12">
        <v>45231</v>
      </c>
      <c r="B740" s="13">
        <v>35455.730000000003</v>
      </c>
      <c r="C740" s="13">
        <v>34965</v>
      </c>
      <c r="D740" s="5">
        <v>10.476040155005759</v>
      </c>
      <c r="E740" s="5">
        <v>10.462102840137968</v>
      </c>
      <c r="F740" s="5">
        <v>2.2970988902144995E-2</v>
      </c>
      <c r="G740" s="5">
        <v>1.717475733466145E-3</v>
      </c>
    </row>
    <row r="741" spans="1:7" x14ac:dyDescent="0.25">
      <c r="A741" s="12">
        <v>45232</v>
      </c>
      <c r="B741" s="13">
        <v>34917.449999999997</v>
      </c>
      <c r="C741" s="13">
        <v>35300</v>
      </c>
      <c r="D741" s="5">
        <v>10.46074198323217</v>
      </c>
      <c r="E741" s="5">
        <v>10.471638242921388</v>
      </c>
      <c r="F741" s="5">
        <v>-1.529817177358872E-2</v>
      </c>
      <c r="G741" s="5">
        <v>9.5354027834204658E-3</v>
      </c>
    </row>
    <row r="742" spans="1:7" x14ac:dyDescent="0.25">
      <c r="A742" s="12">
        <v>45233</v>
      </c>
      <c r="B742" s="13">
        <v>34621.06</v>
      </c>
      <c r="C742" s="13">
        <v>34805</v>
      </c>
      <c r="D742" s="5">
        <v>10.452217446401278</v>
      </c>
      <c r="E742" s="5">
        <v>10.457516333602767</v>
      </c>
      <c r="F742" s="5">
        <v>-8.5245368308921599E-3</v>
      </c>
      <c r="G742" s="5">
        <v>-1.4121909318621562E-2</v>
      </c>
    </row>
    <row r="743" spans="1:7" x14ac:dyDescent="0.25">
      <c r="A743" s="12">
        <v>45236</v>
      </c>
      <c r="B743" s="13">
        <v>35030.04</v>
      </c>
      <c r="C743" s="13">
        <v>35320</v>
      </c>
      <c r="D743" s="5">
        <v>10.46396125806927</v>
      </c>
      <c r="E743" s="5">
        <v>10.472204654717896</v>
      </c>
      <c r="F743" s="5">
        <v>1.1743811667992432E-2</v>
      </c>
      <c r="G743" s="5">
        <v>1.4688321115128744E-2</v>
      </c>
    </row>
    <row r="744" spans="1:7" x14ac:dyDescent="0.25">
      <c r="A744" s="12">
        <v>45237</v>
      </c>
      <c r="B744" s="13">
        <v>35501.519999999997</v>
      </c>
      <c r="C744" s="13">
        <v>36145</v>
      </c>
      <c r="D744" s="5">
        <v>10.477330791448297</v>
      </c>
      <c r="E744" s="5">
        <v>10.495293905434398</v>
      </c>
      <c r="F744" s="5">
        <v>1.3369533379027132E-2</v>
      </c>
      <c r="G744" s="5">
        <v>2.3089250716502363E-2</v>
      </c>
    </row>
    <row r="745" spans="1:7" x14ac:dyDescent="0.25">
      <c r="A745" s="12">
        <v>45238</v>
      </c>
      <c r="B745" s="13">
        <v>35593.56</v>
      </c>
      <c r="C745" s="13">
        <v>35895</v>
      </c>
      <c r="D745" s="5">
        <v>10.479920001599542</v>
      </c>
      <c r="E745" s="5">
        <v>10.488353289010583</v>
      </c>
      <c r="F745" s="5">
        <v>2.5892101512443588E-3</v>
      </c>
      <c r="G745" s="5">
        <v>-6.9406164238152712E-3</v>
      </c>
    </row>
    <row r="746" spans="1:7" x14ac:dyDescent="0.25">
      <c r="A746" s="12">
        <v>45239</v>
      </c>
      <c r="B746" s="13">
        <v>36541.56</v>
      </c>
      <c r="C746" s="13">
        <v>36805</v>
      </c>
      <c r="D746" s="5">
        <v>10.506205521959926</v>
      </c>
      <c r="E746" s="5">
        <v>10.513388984492806</v>
      </c>
      <c r="F746" s="5">
        <v>2.6285520360383785E-2</v>
      </c>
      <c r="G746" s="5">
        <v>2.503569548222373E-2</v>
      </c>
    </row>
    <row r="747" spans="1:7" x14ac:dyDescent="0.25">
      <c r="A747" s="12">
        <v>45240</v>
      </c>
      <c r="B747" s="13">
        <v>37292.81</v>
      </c>
      <c r="C747" s="13">
        <v>37555</v>
      </c>
      <c r="D747" s="5">
        <v>10.52655582565694</v>
      </c>
      <c r="E747" s="5">
        <v>10.533561804120112</v>
      </c>
      <c r="F747" s="5">
        <v>2.0350303697014738E-2</v>
      </c>
      <c r="G747" s="5">
        <v>2.0172819627305216E-2</v>
      </c>
    </row>
    <row r="748" spans="1:7" x14ac:dyDescent="0.25">
      <c r="A748" s="12">
        <v>45243</v>
      </c>
      <c r="B748" s="13">
        <v>36493.449999999997</v>
      </c>
      <c r="C748" s="13">
        <v>36915</v>
      </c>
      <c r="D748" s="5">
        <v>10.504888071412342</v>
      </c>
      <c r="E748" s="5">
        <v>10.516373251493265</v>
      </c>
      <c r="F748" s="5">
        <v>-2.1667754244598214E-2</v>
      </c>
      <c r="G748" s="5">
        <v>-1.7188552626846487E-2</v>
      </c>
    </row>
    <row r="749" spans="1:7" x14ac:dyDescent="0.25">
      <c r="A749" s="12">
        <v>45244</v>
      </c>
      <c r="B749" s="13">
        <v>35585.81</v>
      </c>
      <c r="C749" s="13">
        <v>35365</v>
      </c>
      <c r="D749" s="5">
        <v>10.4797022418742</v>
      </c>
      <c r="E749" s="5">
        <v>10.473477909470091</v>
      </c>
      <c r="F749" s="5">
        <v>-2.5185829538141746E-2</v>
      </c>
      <c r="G749" s="5">
        <v>-4.289534202317391E-2</v>
      </c>
    </row>
    <row r="750" spans="1:7" x14ac:dyDescent="0.25">
      <c r="A750" s="12">
        <v>45245</v>
      </c>
      <c r="B750" s="13">
        <v>37647.839999999997</v>
      </c>
      <c r="C750" s="13">
        <v>37820</v>
      </c>
      <c r="D750" s="5">
        <v>10.53603086106436</v>
      </c>
      <c r="E750" s="5">
        <v>10.540593342212448</v>
      </c>
      <c r="F750" s="5">
        <v>5.6328619190159301E-2</v>
      </c>
      <c r="G750" s="5">
        <v>6.7115432742356873E-2</v>
      </c>
    </row>
    <row r="751" spans="1:7" x14ac:dyDescent="0.25">
      <c r="A751" s="12">
        <v>45246</v>
      </c>
      <c r="B751" s="13">
        <v>35965.5</v>
      </c>
      <c r="C751" s="13">
        <v>36040</v>
      </c>
      <c r="D751" s="5">
        <v>10.490315424609935</v>
      </c>
      <c r="E751" s="5">
        <v>10.492384711722273</v>
      </c>
      <c r="F751" s="5">
        <v>-4.5715436454424108E-2</v>
      </c>
      <c r="G751" s="5">
        <v>-4.8208630490174542E-2</v>
      </c>
    </row>
    <row r="752" spans="1:7" x14ac:dyDescent="0.25">
      <c r="A752" s="12">
        <v>45247</v>
      </c>
      <c r="B752" s="13">
        <v>36418.61</v>
      </c>
      <c r="C752" s="13">
        <v>36565</v>
      </c>
      <c r="D752" s="5">
        <v>10.502835186710321</v>
      </c>
      <c r="E752" s="5">
        <v>10.506846777705052</v>
      </c>
      <c r="F752" s="5">
        <v>1.2519762100385634E-2</v>
      </c>
      <c r="G752" s="5">
        <v>1.4462065982778327E-2</v>
      </c>
    </row>
    <row r="753" spans="1:7" x14ac:dyDescent="0.25">
      <c r="A753" s="12">
        <v>45250</v>
      </c>
      <c r="B753" s="13">
        <v>37426.449999999997</v>
      </c>
      <c r="C753" s="13">
        <v>37615</v>
      </c>
      <c r="D753" s="5">
        <v>10.53013295269227</v>
      </c>
      <c r="E753" s="5">
        <v>10.535158185994321</v>
      </c>
      <c r="F753" s="5">
        <v>2.7297765981948885E-2</v>
      </c>
      <c r="G753" s="5">
        <v>2.831140828926948E-2</v>
      </c>
    </row>
    <row r="754" spans="1:7" x14ac:dyDescent="0.25">
      <c r="A754" s="12">
        <v>45251</v>
      </c>
      <c r="B754" s="13">
        <v>36841.040000000001</v>
      </c>
      <c r="C754" s="13">
        <v>36920</v>
      </c>
      <c r="D754" s="5">
        <v>10.514367720155361</v>
      </c>
      <c r="E754" s="5">
        <v>10.516508688616788</v>
      </c>
      <c r="F754" s="5">
        <v>-1.5765232536908869E-2</v>
      </c>
      <c r="G754" s="5">
        <v>-1.8649497377532853E-2</v>
      </c>
    </row>
    <row r="755" spans="1:7" x14ac:dyDescent="0.25">
      <c r="A755" s="12">
        <v>45252</v>
      </c>
      <c r="B755" s="13">
        <v>37625</v>
      </c>
      <c r="C755" s="13">
        <v>37655</v>
      </c>
      <c r="D755" s="5">
        <v>10.535424002051176</v>
      </c>
      <c r="E755" s="5">
        <v>10.536221026535452</v>
      </c>
      <c r="F755" s="5">
        <v>2.1056281895814877E-2</v>
      </c>
      <c r="G755" s="5">
        <v>1.9712337918663891E-2</v>
      </c>
    </row>
    <row r="756" spans="1:7" x14ac:dyDescent="0.25">
      <c r="A756" s="12">
        <v>45253</v>
      </c>
      <c r="B756" s="13">
        <v>37253.9</v>
      </c>
      <c r="C756" s="17">
        <v>37655</v>
      </c>
      <c r="D756" s="5">
        <v>10.525511916313832</v>
      </c>
      <c r="E756" s="5">
        <v>10.536221026535452</v>
      </c>
      <c r="F756" s="5">
        <v>-9.9120857373442561E-3</v>
      </c>
      <c r="G756" s="5">
        <v>0</v>
      </c>
    </row>
    <row r="757" spans="1:7" x14ac:dyDescent="0.25">
      <c r="A757" s="12">
        <v>45254</v>
      </c>
      <c r="B757" s="13">
        <v>37858.25</v>
      </c>
      <c r="C757" s="13">
        <v>38122.839999999997</v>
      </c>
      <c r="D757" s="5">
        <v>10.541604200768431</v>
      </c>
      <c r="E757" s="5">
        <v>10.548568856567011</v>
      </c>
      <c r="F757" s="5">
        <v>1.6092284454598982E-2</v>
      </c>
      <c r="G757" s="5">
        <v>1.234783003155826E-2</v>
      </c>
    </row>
    <row r="758" spans="1:7" x14ac:dyDescent="0.25">
      <c r="A758" s="12">
        <v>45257</v>
      </c>
      <c r="B758" s="13">
        <v>37032.559999999998</v>
      </c>
      <c r="C758" s="13">
        <v>37210</v>
      </c>
      <c r="D758" s="5">
        <v>10.519552804653369</v>
      </c>
      <c r="E758" s="5">
        <v>10.524332821340668</v>
      </c>
      <c r="F758" s="5">
        <v>-2.2051396115061905E-2</v>
      </c>
      <c r="G758" s="5">
        <v>-2.4236035226342878E-2</v>
      </c>
    </row>
    <row r="759" spans="1:7" x14ac:dyDescent="0.25">
      <c r="A759" s="12">
        <v>45258</v>
      </c>
      <c r="B759" s="13">
        <v>37967.5</v>
      </c>
      <c r="C759" s="13">
        <v>38885</v>
      </c>
      <c r="D759" s="5">
        <v>10.544485809604424</v>
      </c>
      <c r="E759" s="5">
        <v>10.568363851129044</v>
      </c>
      <c r="F759" s="5">
        <v>2.4933004951055437E-2</v>
      </c>
      <c r="G759" s="5">
        <v>4.4031029788376586E-2</v>
      </c>
    </row>
    <row r="760" spans="1:7" x14ac:dyDescent="0.25">
      <c r="A760" s="12">
        <v>45259</v>
      </c>
      <c r="B760" s="13">
        <v>37737</v>
      </c>
      <c r="C760" s="13">
        <v>38065</v>
      </c>
      <c r="D760" s="5">
        <v>10.538396324506982</v>
      </c>
      <c r="E760" s="5">
        <v>10.547050503740312</v>
      </c>
      <c r="F760" s="5">
        <v>-6.0894850974424486E-3</v>
      </c>
      <c r="G760" s="5">
        <v>-2.131334738873214E-2</v>
      </c>
    </row>
    <row r="761" spans="1:7" x14ac:dyDescent="0.25">
      <c r="A761" s="12">
        <v>45260</v>
      </c>
      <c r="B761" s="13">
        <v>37750.769999999997</v>
      </c>
      <c r="C761" s="13">
        <v>38190</v>
      </c>
      <c r="D761" s="5">
        <v>10.538761151820141</v>
      </c>
      <c r="E761" s="5">
        <v>10.550328980219563</v>
      </c>
      <c r="F761" s="5">
        <v>3.6482731315956585E-4</v>
      </c>
      <c r="G761" s="5">
        <v>3.2784764792506138E-3</v>
      </c>
    </row>
    <row r="762" spans="1:7" x14ac:dyDescent="0.25">
      <c r="A762" s="12">
        <v>45261</v>
      </c>
      <c r="B762" s="13">
        <v>38796.61</v>
      </c>
      <c r="C762" s="13">
        <v>39225</v>
      </c>
      <c r="D762" s="5">
        <v>10.566088150660264</v>
      </c>
      <c r="E762" s="5">
        <v>10.577069577601232</v>
      </c>
      <c r="F762" s="5">
        <v>2.732699884012213E-2</v>
      </c>
      <c r="G762" s="5">
        <v>2.6740597381669673E-2</v>
      </c>
    </row>
    <row r="763" spans="1:7" x14ac:dyDescent="0.25">
      <c r="A763" s="12">
        <v>45264</v>
      </c>
      <c r="B763" s="13">
        <v>42036.51</v>
      </c>
      <c r="C763" s="13">
        <v>42280</v>
      </c>
      <c r="D763" s="5">
        <v>10.646293805369783</v>
      </c>
      <c r="E763" s="5">
        <v>10.652069439984174</v>
      </c>
      <c r="F763" s="5">
        <v>8.0205654709519791E-2</v>
      </c>
      <c r="G763" s="5">
        <v>7.4999862382941984E-2</v>
      </c>
    </row>
    <row r="764" spans="1:7" x14ac:dyDescent="0.25">
      <c r="A764" s="12">
        <v>45265</v>
      </c>
      <c r="B764" s="13">
        <v>43900.51</v>
      </c>
      <c r="C764" s="13">
        <v>44290</v>
      </c>
      <c r="D764" s="5">
        <v>10.689681216307855</v>
      </c>
      <c r="E764" s="5">
        <v>10.698514196917245</v>
      </c>
      <c r="F764" s="5">
        <v>4.338741093807208E-2</v>
      </c>
      <c r="G764" s="5">
        <v>4.6444756933070153E-2</v>
      </c>
    </row>
    <row r="765" spans="1:7" x14ac:dyDescent="0.25">
      <c r="A765" s="12">
        <v>45266</v>
      </c>
      <c r="B765" s="13">
        <v>43822.33</v>
      </c>
      <c r="C765" s="13">
        <v>44215</v>
      </c>
      <c r="D765" s="5">
        <v>10.687898783803423</v>
      </c>
      <c r="E765" s="5">
        <v>10.696819377009836</v>
      </c>
      <c r="F765" s="5">
        <v>-1.7824325044326628E-3</v>
      </c>
      <c r="G765" s="5">
        <v>-1.6948199074082737E-3</v>
      </c>
    </row>
    <row r="766" spans="1:7" x14ac:dyDescent="0.25">
      <c r="A766" s="12">
        <v>45267</v>
      </c>
      <c r="B766" s="13">
        <v>43390.95</v>
      </c>
      <c r="C766" s="13">
        <v>43700</v>
      </c>
      <c r="D766" s="5">
        <v>10.678006172998442</v>
      </c>
      <c r="E766" s="5">
        <v>10.685103381083682</v>
      </c>
      <c r="F766" s="5">
        <v>-9.8926108049806061E-3</v>
      </c>
      <c r="G766" s="5">
        <v>-1.1715995926154577E-2</v>
      </c>
    </row>
    <row r="767" spans="1:7" x14ac:dyDescent="0.25">
      <c r="A767" s="12">
        <v>45268</v>
      </c>
      <c r="B767" s="13">
        <v>44554.76</v>
      </c>
      <c r="C767" s="13">
        <v>44910</v>
      </c>
      <c r="D767" s="5">
        <v>10.704474273431481</v>
      </c>
      <c r="E767" s="5">
        <v>10.712415766081783</v>
      </c>
      <c r="F767" s="5">
        <v>2.6468100433039154E-2</v>
      </c>
      <c r="G767" s="5">
        <v>2.731238499810118E-2</v>
      </c>
    </row>
    <row r="768" spans="1:7" x14ac:dyDescent="0.25">
      <c r="A768" s="12">
        <v>45271</v>
      </c>
      <c r="B768" s="13">
        <v>41182</v>
      </c>
      <c r="C768" s="13">
        <v>41035</v>
      </c>
      <c r="D768" s="5">
        <v>10.625756546668091</v>
      </c>
      <c r="E768" s="5">
        <v>10.622180640063812</v>
      </c>
      <c r="F768" s="5">
        <v>-7.8717726763390061E-2</v>
      </c>
      <c r="G768" s="5">
        <v>-9.0235126017971012E-2</v>
      </c>
    </row>
    <row r="769" spans="1:7" x14ac:dyDescent="0.25">
      <c r="A769" s="12">
        <v>45272</v>
      </c>
      <c r="B769" s="13">
        <v>41088.75</v>
      </c>
      <c r="C769" s="13">
        <v>41455</v>
      </c>
      <c r="D769" s="5">
        <v>10.623489640387712</v>
      </c>
      <c r="E769" s="5">
        <v>10.632363780550319</v>
      </c>
      <c r="F769" s="5">
        <v>-2.2669062803792883E-3</v>
      </c>
      <c r="G769" s="5">
        <v>1.0183140486507369E-2</v>
      </c>
    </row>
    <row r="770" spans="1:7" x14ac:dyDescent="0.25">
      <c r="A770" s="12">
        <v>45273</v>
      </c>
      <c r="B770" s="13">
        <v>42993.29</v>
      </c>
      <c r="C770" s="13">
        <v>43210</v>
      </c>
      <c r="D770" s="5">
        <v>10.668799335987549</v>
      </c>
      <c r="E770" s="5">
        <v>10.67382722892598</v>
      </c>
      <c r="F770" s="5">
        <v>4.5309695599836886E-2</v>
      </c>
      <c r="G770" s="5">
        <v>4.1463448375660406E-2</v>
      </c>
    </row>
    <row r="771" spans="1:7" x14ac:dyDescent="0.25">
      <c r="A771" s="12">
        <v>45274</v>
      </c>
      <c r="B771" s="13">
        <v>42994.83</v>
      </c>
      <c r="C771" s="13">
        <v>43140</v>
      </c>
      <c r="D771" s="5">
        <v>10.668835154889047</v>
      </c>
      <c r="E771" s="5">
        <v>10.672205919943147</v>
      </c>
      <c r="F771" s="5">
        <v>3.5818901498174682E-5</v>
      </c>
      <c r="G771" s="5">
        <v>-1.6213089828323035E-3</v>
      </c>
    </row>
    <row r="772" spans="1:7" x14ac:dyDescent="0.25">
      <c r="A772" s="12">
        <v>45275</v>
      </c>
      <c r="B772" s="13">
        <v>42240.95</v>
      </c>
      <c r="C772" s="13">
        <v>42440</v>
      </c>
      <c r="D772" s="5">
        <v>10.651145408657538</v>
      </c>
      <c r="E772" s="5">
        <v>10.655846592727919</v>
      </c>
      <c r="F772" s="5">
        <v>-1.7689746231509318E-2</v>
      </c>
      <c r="G772" s="5">
        <v>-1.6359327215228703E-2</v>
      </c>
    </row>
    <row r="773" spans="1:7" x14ac:dyDescent="0.25">
      <c r="A773" s="12">
        <v>45278</v>
      </c>
      <c r="B773" s="13">
        <v>42614.99</v>
      </c>
      <c r="C773" s="13">
        <v>42105</v>
      </c>
      <c r="D773" s="5">
        <v>10.659961348297212</v>
      </c>
      <c r="E773" s="5">
        <v>10.647921777464093</v>
      </c>
      <c r="F773" s="5">
        <v>8.8159396396747525E-3</v>
      </c>
      <c r="G773" s="5">
        <v>-7.9248152638253799E-3</v>
      </c>
    </row>
    <row r="774" spans="1:7" x14ac:dyDescent="0.25">
      <c r="A774" s="12">
        <v>45279</v>
      </c>
      <c r="B774" s="13">
        <v>42495.81</v>
      </c>
      <c r="C774" s="13">
        <v>42360</v>
      </c>
      <c r="D774" s="5">
        <v>10.657160761817075</v>
      </c>
      <c r="E774" s="5">
        <v>10.653959799715343</v>
      </c>
      <c r="F774" s="5">
        <v>-2.8005864801379232E-3</v>
      </c>
      <c r="G774" s="5">
        <v>6.0380222512499415E-3</v>
      </c>
    </row>
    <row r="775" spans="1:7" x14ac:dyDescent="0.25">
      <c r="A775" s="12">
        <v>45280</v>
      </c>
      <c r="B775" s="13">
        <v>43449.760000000002</v>
      </c>
      <c r="C775" s="13">
        <v>43630</v>
      </c>
      <c r="D775" s="5">
        <v>10.679360607087949</v>
      </c>
      <c r="E775" s="5">
        <v>10.683500266117655</v>
      </c>
      <c r="F775" s="5">
        <v>2.2199845270874263E-2</v>
      </c>
      <c r="G775" s="5">
        <v>2.9540466402311338E-2</v>
      </c>
    </row>
    <row r="776" spans="1:7" x14ac:dyDescent="0.25">
      <c r="A776" s="12">
        <v>45281</v>
      </c>
      <c r="B776" s="13">
        <v>44004.47</v>
      </c>
      <c r="C776" s="13">
        <v>43860</v>
      </c>
      <c r="D776" s="5">
        <v>10.692046498649482</v>
      </c>
      <c r="E776" s="5">
        <v>10.688758021971879</v>
      </c>
      <c r="F776" s="5">
        <v>1.2685891561533325E-2</v>
      </c>
      <c r="G776" s="5">
        <v>5.2577558542239444E-3</v>
      </c>
    </row>
    <row r="777" spans="1:7" x14ac:dyDescent="0.25">
      <c r="A777" s="12">
        <v>45282</v>
      </c>
      <c r="B777" s="13">
        <v>43747.1</v>
      </c>
      <c r="C777" s="13">
        <v>43765</v>
      </c>
      <c r="D777" s="5">
        <v>10.68618060387448</v>
      </c>
      <c r="E777" s="5">
        <v>10.686589690166539</v>
      </c>
      <c r="F777" s="5">
        <v>-5.8658947750025447E-3</v>
      </c>
      <c r="G777" s="5">
        <v>-2.1683318053398182E-3</v>
      </c>
    </row>
    <row r="778" spans="1:7" x14ac:dyDescent="0.25">
      <c r="A778" s="12">
        <v>45285</v>
      </c>
      <c r="B778" s="13">
        <v>43531.11</v>
      </c>
      <c r="C778" s="17">
        <v>43765</v>
      </c>
      <c r="D778" s="5">
        <v>10.681231133876643</v>
      </c>
      <c r="E778" s="5">
        <v>10.686589690166539</v>
      </c>
      <c r="F778" s="5">
        <v>-4.9494699978360757E-3</v>
      </c>
      <c r="G778" s="5">
        <v>0</v>
      </c>
    </row>
    <row r="779" spans="1:7" x14ac:dyDescent="0.25">
      <c r="A779" s="12">
        <v>45286</v>
      </c>
      <c r="B779" s="13">
        <v>42340.74</v>
      </c>
      <c r="C779" s="13">
        <v>42150</v>
      </c>
      <c r="D779" s="5">
        <v>10.653505022098713</v>
      </c>
      <c r="E779" s="5">
        <v>10.648989963430001</v>
      </c>
      <c r="F779" s="5">
        <v>-2.7726111777930385E-2</v>
      </c>
      <c r="G779" s="5">
        <v>-3.7599726736537775E-2</v>
      </c>
    </row>
    <row r="780" spans="1:7" x14ac:dyDescent="0.25">
      <c r="A780" s="12">
        <v>45287</v>
      </c>
      <c r="B780" s="13">
        <v>43395.74</v>
      </c>
      <c r="C780" s="13">
        <v>43565</v>
      </c>
      <c r="D780" s="5">
        <v>10.678116558588787</v>
      </c>
      <c r="E780" s="5">
        <v>10.682009354665388</v>
      </c>
      <c r="F780" s="5">
        <v>2.461153649007386E-2</v>
      </c>
      <c r="G780" s="5">
        <v>3.3019391235386664E-2</v>
      </c>
    </row>
    <row r="781" spans="1:7" x14ac:dyDescent="0.25">
      <c r="A781" s="12">
        <v>45288</v>
      </c>
      <c r="B781" s="13">
        <v>42472.51</v>
      </c>
      <c r="C781" s="13">
        <v>42515</v>
      </c>
      <c r="D781" s="5">
        <v>10.656612322102507</v>
      </c>
      <c r="E781" s="5">
        <v>10.657612233819894</v>
      </c>
      <c r="F781" s="5">
        <v>-2.1504236486279638E-2</v>
      </c>
      <c r="G781" s="5">
        <v>-2.4397120845494058E-2</v>
      </c>
    </row>
    <row r="782" spans="1:7" x14ac:dyDescent="0.25">
      <c r="A782" s="12">
        <v>45289</v>
      </c>
      <c r="B782" s="13">
        <v>41935.339999999997</v>
      </c>
      <c r="C782" s="13">
        <v>42679.74</v>
      </c>
      <c r="D782" s="5">
        <v>10.643884187171503</v>
      </c>
      <c r="E782" s="5">
        <v>10.661479613550837</v>
      </c>
      <c r="F782" s="5">
        <v>-1.272813493100422E-2</v>
      </c>
      <c r="G782" s="5">
        <v>3.867379730943199E-3</v>
      </c>
    </row>
    <row r="783" spans="1:7" x14ac:dyDescent="0.25">
      <c r="A783" s="12">
        <v>45292</v>
      </c>
      <c r="B783" s="13">
        <v>43628.4</v>
      </c>
      <c r="C783" s="17">
        <v>42679.74</v>
      </c>
      <c r="D783" s="5">
        <v>10.683463593430552</v>
      </c>
      <c r="E783" s="5">
        <v>10.661479613550837</v>
      </c>
      <c r="F783" s="5">
        <v>3.9579406259049321E-2</v>
      </c>
      <c r="G783" s="5">
        <v>0</v>
      </c>
    </row>
    <row r="784" spans="1:7" x14ac:dyDescent="0.25">
      <c r="A784" s="12">
        <v>45293</v>
      </c>
      <c r="B784" s="13">
        <v>45127.01</v>
      </c>
      <c r="C784" s="13">
        <v>45330</v>
      </c>
      <c r="D784" s="5">
        <v>10.717236237579463</v>
      </c>
      <c r="E784" s="5">
        <v>10.721724343934895</v>
      </c>
      <c r="F784" s="5">
        <v>3.3772644148911013E-2</v>
      </c>
      <c r="G784" s="5">
        <v>6.0244730384058087E-2</v>
      </c>
    </row>
    <row r="785" spans="1:7" x14ac:dyDescent="0.25">
      <c r="A785" s="12">
        <v>45294</v>
      </c>
      <c r="B785" s="13">
        <v>42938.06</v>
      </c>
      <c r="C785" s="13">
        <v>43080</v>
      </c>
      <c r="D785" s="5">
        <v>10.667513891092174</v>
      </c>
      <c r="E785" s="5">
        <v>10.670814131270324</v>
      </c>
      <c r="F785" s="5">
        <v>-4.972234648728957E-2</v>
      </c>
      <c r="G785" s="5">
        <v>-5.0910212664570409E-2</v>
      </c>
    </row>
    <row r="786" spans="1:7" x14ac:dyDescent="0.25">
      <c r="A786" s="12">
        <v>45295</v>
      </c>
      <c r="B786" s="13">
        <v>44488.33</v>
      </c>
      <c r="C786" s="13">
        <v>44630</v>
      </c>
      <c r="D786" s="5">
        <v>10.702982186570512</v>
      </c>
      <c r="E786" s="5">
        <v>10.706161557623316</v>
      </c>
      <c r="F786" s="5">
        <v>3.5468295478338518E-2</v>
      </c>
      <c r="G786" s="5">
        <v>3.5347426352991818E-2</v>
      </c>
    </row>
    <row r="787" spans="1:7" x14ac:dyDescent="0.25">
      <c r="A787" s="12">
        <v>45296</v>
      </c>
      <c r="B787" s="13">
        <v>43970.52</v>
      </c>
      <c r="C787" s="13">
        <v>44385</v>
      </c>
      <c r="D787" s="5">
        <v>10.691274688350093</v>
      </c>
      <c r="E787" s="5">
        <v>10.700656853502419</v>
      </c>
      <c r="F787" s="5">
        <v>-1.1707498220419055E-2</v>
      </c>
      <c r="G787" s="5">
        <v>-5.504704120896875E-3</v>
      </c>
    </row>
    <row r="788" spans="1:7" x14ac:dyDescent="0.25">
      <c r="A788" s="12">
        <v>45299</v>
      </c>
      <c r="B788" s="13">
        <v>47114.68</v>
      </c>
      <c r="C788" s="13">
        <v>47305</v>
      </c>
      <c r="D788" s="5">
        <v>10.760339908725612</v>
      </c>
      <c r="E788" s="5">
        <v>10.764371277138544</v>
      </c>
      <c r="F788" s="5">
        <v>6.9065220375518876E-2</v>
      </c>
      <c r="G788" s="5">
        <v>6.3714423636124451E-2</v>
      </c>
    </row>
    <row r="789" spans="1:7" x14ac:dyDescent="0.25">
      <c r="A789" s="12">
        <v>45300</v>
      </c>
      <c r="B789" s="13">
        <v>45427.01</v>
      </c>
      <c r="C789" s="13">
        <v>47045</v>
      </c>
      <c r="D789" s="5">
        <v>10.723862141047119</v>
      </c>
      <c r="E789" s="5">
        <v>10.758859869440865</v>
      </c>
      <c r="F789" s="5">
        <v>-3.6477767678492867E-2</v>
      </c>
      <c r="G789" s="5">
        <v>-5.5114076976785498E-3</v>
      </c>
    </row>
    <row r="790" spans="1:7" x14ac:dyDescent="0.25">
      <c r="A790" s="12">
        <v>45301</v>
      </c>
      <c r="B790" s="13">
        <v>45945.61</v>
      </c>
      <c r="C790" s="13">
        <v>46325</v>
      </c>
      <c r="D790" s="5">
        <v>10.735213584590783</v>
      </c>
      <c r="E790" s="5">
        <v>10.74343705115356</v>
      </c>
      <c r="F790" s="5">
        <v>1.1351443543663464E-2</v>
      </c>
      <c r="G790" s="5">
        <v>-1.5422818287305518E-2</v>
      </c>
    </row>
    <row r="791" spans="1:7" x14ac:dyDescent="0.25">
      <c r="A791" s="12">
        <v>45302</v>
      </c>
      <c r="B791" s="13">
        <v>46163.13</v>
      </c>
      <c r="C791" s="13">
        <v>46350</v>
      </c>
      <c r="D791" s="5">
        <v>10.739936706508798</v>
      </c>
      <c r="E791" s="5">
        <v>10.743976570994</v>
      </c>
      <c r="F791" s="5">
        <v>4.7231219180154937E-3</v>
      </c>
      <c r="G791" s="5">
        <v>5.3951984044076085E-4</v>
      </c>
    </row>
    <row r="792" spans="1:7" x14ac:dyDescent="0.25">
      <c r="A792" s="12">
        <v>45303</v>
      </c>
      <c r="B792" s="13">
        <v>43426.6</v>
      </c>
      <c r="C792" s="13">
        <v>43690</v>
      </c>
      <c r="D792" s="5">
        <v>10.678827435565831</v>
      </c>
      <c r="E792" s="5">
        <v>10.684874521945481</v>
      </c>
      <c r="F792" s="5">
        <v>-6.1109270942967697E-2</v>
      </c>
      <c r="G792" s="5">
        <v>-5.9102049048519234E-2</v>
      </c>
    </row>
    <row r="793" spans="1:7" x14ac:dyDescent="0.25">
      <c r="A793" s="12">
        <v>45306</v>
      </c>
      <c r="B793" s="13">
        <v>42687.31</v>
      </c>
      <c r="C793" s="17">
        <v>43690</v>
      </c>
      <c r="D793" s="5">
        <v>10.661656965351556</v>
      </c>
      <c r="E793" s="5">
        <v>10.684874521945481</v>
      </c>
      <c r="F793" s="5">
        <v>-1.7170470214274758E-2</v>
      </c>
      <c r="G793" s="5">
        <v>0</v>
      </c>
    </row>
    <row r="794" spans="1:7" x14ac:dyDescent="0.25">
      <c r="A794" s="12">
        <v>45307</v>
      </c>
      <c r="B794" s="13">
        <v>43434.42</v>
      </c>
      <c r="C794" s="13">
        <v>43295</v>
      </c>
      <c r="D794" s="5">
        <v>10.679007493318345</v>
      </c>
      <c r="E794" s="5">
        <v>10.675792433881902</v>
      </c>
      <c r="F794" s="5">
        <v>1.7350527966788931E-2</v>
      </c>
      <c r="G794" s="5">
        <v>-9.0820880635789081E-3</v>
      </c>
    </row>
    <row r="795" spans="1:7" x14ac:dyDescent="0.25">
      <c r="A795" s="12">
        <v>45308</v>
      </c>
      <c r="B795" s="13">
        <v>42637.06</v>
      </c>
      <c r="C795" s="13">
        <v>42810</v>
      </c>
      <c r="D795" s="5">
        <v>10.660479107119272</v>
      </c>
      <c r="E795" s="5">
        <v>10.664526999138992</v>
      </c>
      <c r="F795" s="5">
        <v>-1.85283861990726E-2</v>
      </c>
      <c r="G795" s="5">
        <v>-1.1265434742909974E-2</v>
      </c>
    </row>
    <row r="796" spans="1:7" x14ac:dyDescent="0.25">
      <c r="A796" s="12">
        <v>45309</v>
      </c>
      <c r="B796" s="13">
        <v>41069.919999999998</v>
      </c>
      <c r="C796" s="13">
        <v>40880</v>
      </c>
      <c r="D796" s="5">
        <v>10.623031259054867</v>
      </c>
      <c r="E796" s="5">
        <v>10.618396224877586</v>
      </c>
      <c r="F796" s="5">
        <v>-3.744784806440471E-2</v>
      </c>
      <c r="G796" s="5">
        <v>-4.6130774261406771E-2</v>
      </c>
    </row>
    <row r="797" spans="1:7" x14ac:dyDescent="0.25">
      <c r="A797" s="12">
        <v>45310</v>
      </c>
      <c r="B797" s="13">
        <v>41602.18</v>
      </c>
      <c r="C797" s="13">
        <v>41585</v>
      </c>
      <c r="D797" s="5">
        <v>10.635907848722475</v>
      </c>
      <c r="E797" s="5">
        <v>10.635494804302787</v>
      </c>
      <c r="F797" s="5">
        <v>1.2876589667607519E-2</v>
      </c>
      <c r="G797" s="5">
        <v>1.7098579425201876E-2</v>
      </c>
    </row>
    <row r="798" spans="1:7" x14ac:dyDescent="0.25">
      <c r="A798" s="12">
        <v>45313</v>
      </c>
      <c r="B798" s="13">
        <v>39815.449999999997</v>
      </c>
      <c r="C798" s="13">
        <v>40180</v>
      </c>
      <c r="D798" s="5">
        <v>10.592010306900688</v>
      </c>
      <c r="E798" s="5">
        <v>10.601124638368926</v>
      </c>
      <c r="F798" s="5">
        <v>-4.3897541821786845E-2</v>
      </c>
      <c r="G798" s="5">
        <v>-3.437016593386133E-2</v>
      </c>
    </row>
    <row r="799" spans="1:7" x14ac:dyDescent="0.25">
      <c r="A799" s="12">
        <v>45314</v>
      </c>
      <c r="B799" s="13">
        <v>39201.769999999997</v>
      </c>
      <c r="C799" s="13">
        <v>39235</v>
      </c>
      <c r="D799" s="5">
        <v>10.57647717782041</v>
      </c>
      <c r="E799" s="5">
        <v>10.577324484561574</v>
      </c>
      <c r="F799" s="5">
        <v>-1.5533129080278485E-2</v>
      </c>
      <c r="G799" s="5">
        <v>-2.3800153807352231E-2</v>
      </c>
    </row>
    <row r="800" spans="1:7" x14ac:dyDescent="0.25">
      <c r="A800" s="12">
        <v>45315</v>
      </c>
      <c r="B800" s="13">
        <v>39765.379999999997</v>
      </c>
      <c r="C800" s="13">
        <v>39700</v>
      </c>
      <c r="D800" s="5">
        <v>10.590751963487913</v>
      </c>
      <c r="E800" s="5">
        <v>10.589106466675283</v>
      </c>
      <c r="F800" s="5">
        <v>1.4274785667502954E-2</v>
      </c>
      <c r="G800" s="5">
        <v>1.1781982113708622E-2</v>
      </c>
    </row>
    <row r="801" spans="1:7" x14ac:dyDescent="0.25">
      <c r="A801" s="12">
        <v>45316</v>
      </c>
      <c r="B801" s="13">
        <v>39904.410000000003</v>
      </c>
      <c r="C801" s="13">
        <v>39750</v>
      </c>
      <c r="D801" s="5">
        <v>10.594242123086161</v>
      </c>
      <c r="E801" s="5">
        <v>10.590365120082478</v>
      </c>
      <c r="F801" s="5">
        <v>3.49015959824861E-3</v>
      </c>
      <c r="G801" s="5">
        <v>1.2586534071949984E-3</v>
      </c>
    </row>
    <row r="802" spans="1:7" x14ac:dyDescent="0.25">
      <c r="A802" s="12">
        <v>45317</v>
      </c>
      <c r="B802" s="13">
        <v>41994.36</v>
      </c>
      <c r="C802" s="13">
        <v>41327.19</v>
      </c>
      <c r="D802" s="5">
        <v>10.645290602534086</v>
      </c>
      <c r="E802" s="5">
        <v>10.629275915840417</v>
      </c>
      <c r="F802" s="5">
        <v>5.1048479447924677E-2</v>
      </c>
      <c r="G802" s="5">
        <v>3.8910795757939098E-2</v>
      </c>
    </row>
    <row r="803" spans="1:7" x14ac:dyDescent="0.25">
      <c r="A803" s="12">
        <v>45320</v>
      </c>
      <c r="B803" s="13">
        <v>43185.4</v>
      </c>
      <c r="C803" s="13">
        <v>43530</v>
      </c>
      <c r="D803" s="5">
        <v>10.673257754146887</v>
      </c>
      <c r="E803" s="5">
        <v>10.681205634546343</v>
      </c>
      <c r="F803" s="5">
        <v>2.7967151612800834E-2</v>
      </c>
      <c r="G803" s="5">
        <v>5.192971870592622E-2</v>
      </c>
    </row>
    <row r="804" spans="1:7" x14ac:dyDescent="0.25">
      <c r="A804" s="12">
        <v>45321</v>
      </c>
      <c r="B804" s="13">
        <v>43547.31</v>
      </c>
      <c r="C804" s="13">
        <v>43890</v>
      </c>
      <c r="D804" s="5">
        <v>10.681603212290259</v>
      </c>
      <c r="E804" s="5">
        <v>10.68944178268228</v>
      </c>
      <c r="F804" s="5">
        <v>8.3454581433723973E-3</v>
      </c>
      <c r="G804" s="5">
        <v>8.2361481359374267E-3</v>
      </c>
    </row>
    <row r="805" spans="1:7" x14ac:dyDescent="0.25">
      <c r="A805" s="12">
        <v>45322</v>
      </c>
      <c r="B805" s="13">
        <v>42458.43</v>
      </c>
      <c r="C805" s="13">
        <v>42815</v>
      </c>
      <c r="D805" s="5">
        <v>10.656280758596228</v>
      </c>
      <c r="E805" s="5">
        <v>10.664643787460292</v>
      </c>
      <c r="F805" s="5">
        <v>-2.5322453694030855E-2</v>
      </c>
      <c r="G805" s="5">
        <v>-2.479799522198789E-2</v>
      </c>
    </row>
    <row r="806" spans="1:7" x14ac:dyDescent="0.25">
      <c r="A806" s="12">
        <v>45323</v>
      </c>
      <c r="B806" s="13">
        <v>43085.26</v>
      </c>
      <c r="C806" s="13">
        <v>43275</v>
      </c>
      <c r="D806" s="5">
        <v>10.67093622223846</v>
      </c>
      <c r="E806" s="5">
        <v>10.675330380044411</v>
      </c>
      <c r="F806" s="5">
        <v>1.4655463642231581E-2</v>
      </c>
      <c r="G806" s="5">
        <v>1.0686592584118415E-2</v>
      </c>
    </row>
    <row r="807" spans="1:7" x14ac:dyDescent="0.25">
      <c r="A807" s="12">
        <v>45324</v>
      </c>
      <c r="B807" s="13">
        <v>42979.38</v>
      </c>
      <c r="C807" s="13">
        <v>43185</v>
      </c>
      <c r="D807" s="5">
        <v>10.668475744778355</v>
      </c>
      <c r="E807" s="5">
        <v>10.673248491714386</v>
      </c>
      <c r="F807" s="5">
        <v>-2.460477460104471E-3</v>
      </c>
      <c r="G807" s="5">
        <v>-2.0818883300250945E-3</v>
      </c>
    </row>
    <row r="808" spans="1:7" x14ac:dyDescent="0.25">
      <c r="A808" s="12">
        <v>45327</v>
      </c>
      <c r="B808" s="13">
        <v>42342.38</v>
      </c>
      <c r="C808" s="13">
        <v>42555</v>
      </c>
      <c r="D808" s="5">
        <v>10.65354375472926</v>
      </c>
      <c r="E808" s="5">
        <v>10.658552635911061</v>
      </c>
      <c r="F808" s="5">
        <v>-1.4931990049095845E-2</v>
      </c>
      <c r="G808" s="5">
        <v>-1.4695855803324775E-2</v>
      </c>
    </row>
    <row r="809" spans="1:7" x14ac:dyDescent="0.25">
      <c r="A809" s="12">
        <v>45328</v>
      </c>
      <c r="B809" s="13">
        <v>43163.65</v>
      </c>
      <c r="C809" s="13">
        <v>43305</v>
      </c>
      <c r="D809" s="5">
        <v>10.672753984841723</v>
      </c>
      <c r="E809" s="5">
        <v>10.676023380765145</v>
      </c>
      <c r="F809" s="5">
        <v>1.9210230112463478E-2</v>
      </c>
      <c r="G809" s="5">
        <v>1.747074485408362E-2</v>
      </c>
    </row>
    <row r="810" spans="1:7" x14ac:dyDescent="0.25">
      <c r="A810" s="12">
        <v>45329</v>
      </c>
      <c r="B810" s="13">
        <v>44188.33</v>
      </c>
      <c r="C810" s="13">
        <v>44410</v>
      </c>
      <c r="D810" s="5">
        <v>10.696216006055165</v>
      </c>
      <c r="E810" s="5">
        <v>10.701219948286148</v>
      </c>
      <c r="F810" s="5">
        <v>2.3462021213441986E-2</v>
      </c>
      <c r="G810" s="5">
        <v>2.5196567521003743E-2</v>
      </c>
    </row>
    <row r="811" spans="1:7" x14ac:dyDescent="0.25">
      <c r="A811" s="12">
        <v>45330</v>
      </c>
      <c r="B811" s="13">
        <v>45331.74</v>
      </c>
      <c r="C811" s="13">
        <v>45750</v>
      </c>
      <c r="D811" s="5">
        <v>10.721762728373584</v>
      </c>
      <c r="E811" s="5">
        <v>10.730947070703667</v>
      </c>
      <c r="F811" s="5">
        <v>2.5546722318418702E-2</v>
      </c>
      <c r="G811" s="5">
        <v>2.972712241751907E-2</v>
      </c>
    </row>
    <row r="812" spans="1:7" x14ac:dyDescent="0.25">
      <c r="A812" s="12">
        <v>45331</v>
      </c>
      <c r="B812" s="13">
        <v>47547.040000000001</v>
      </c>
      <c r="C812" s="13">
        <v>47770</v>
      </c>
      <c r="D812" s="5">
        <v>10.769474815773027</v>
      </c>
      <c r="E812" s="5">
        <v>10.774153106384007</v>
      </c>
      <c r="F812" s="5">
        <v>4.7712087399442993E-2</v>
      </c>
      <c r="G812" s="5">
        <v>4.3206035680340094E-2</v>
      </c>
    </row>
    <row r="813" spans="1:7" x14ac:dyDescent="0.25">
      <c r="A813" s="12">
        <v>45334</v>
      </c>
      <c r="B813" s="13">
        <v>49843.24</v>
      </c>
      <c r="C813" s="13">
        <v>50465</v>
      </c>
      <c r="D813" s="5">
        <v>10.816638159374087</v>
      </c>
      <c r="E813" s="5">
        <v>10.82903530567296</v>
      </c>
      <c r="F813" s="5">
        <v>4.7163343601059893E-2</v>
      </c>
      <c r="G813" s="5">
        <v>5.4882199288952549E-2</v>
      </c>
    </row>
    <row r="814" spans="1:7" x14ac:dyDescent="0.25">
      <c r="A814" s="12">
        <v>45335</v>
      </c>
      <c r="B814" s="13">
        <v>49563.06</v>
      </c>
      <c r="C814" s="13">
        <v>49640</v>
      </c>
      <c r="D814" s="5">
        <v>10.811001077178441</v>
      </c>
      <c r="E814" s="5">
        <v>10.812552239318544</v>
      </c>
      <c r="F814" s="5">
        <v>-5.6370821956459594E-3</v>
      </c>
      <c r="G814" s="5">
        <v>-1.6483066354416209E-2</v>
      </c>
    </row>
    <row r="815" spans="1:7" x14ac:dyDescent="0.25">
      <c r="A815" s="12">
        <v>45336</v>
      </c>
      <c r="B815" s="13">
        <v>51772.71</v>
      </c>
      <c r="C815" s="13">
        <v>51990</v>
      </c>
      <c r="D815" s="5">
        <v>10.85461845544496</v>
      </c>
      <c r="E815" s="5">
        <v>10.858806671377762</v>
      </c>
      <c r="F815" s="5">
        <v>4.361737826651968E-2</v>
      </c>
      <c r="G815" s="5">
        <v>4.6254432059217976E-2</v>
      </c>
    </row>
    <row r="816" spans="1:7" x14ac:dyDescent="0.25">
      <c r="A816" s="12">
        <v>45337</v>
      </c>
      <c r="B816" s="13">
        <v>51371.31</v>
      </c>
      <c r="C816" s="13">
        <v>51955</v>
      </c>
      <c r="D816" s="5">
        <v>10.846835124401492</v>
      </c>
      <c r="E816" s="5">
        <v>10.858133238286747</v>
      </c>
      <c r="F816" s="5">
        <v>-7.7833310434680669E-3</v>
      </c>
      <c r="G816" s="5">
        <v>-6.7343309101453031E-4</v>
      </c>
    </row>
    <row r="817" spans="1:7" x14ac:dyDescent="0.25">
      <c r="A817" s="12">
        <v>45338</v>
      </c>
      <c r="B817" s="13">
        <v>52016.4</v>
      </c>
      <c r="C817" s="13">
        <v>52025</v>
      </c>
      <c r="D817" s="5">
        <v>10.859314332455675</v>
      </c>
      <c r="E817" s="5">
        <v>10.859479651261836</v>
      </c>
      <c r="F817" s="5">
        <v>1.2479208054182678E-2</v>
      </c>
      <c r="G817" s="5">
        <v>1.34641297508864E-3</v>
      </c>
    </row>
    <row r="818" spans="1:7" x14ac:dyDescent="0.25">
      <c r="A818" s="12">
        <v>45341</v>
      </c>
      <c r="B818" s="13">
        <v>51906.55</v>
      </c>
      <c r="C818" s="17">
        <v>52025</v>
      </c>
      <c r="D818" s="5">
        <v>10.857200265429816</v>
      </c>
      <c r="E818" s="5">
        <v>10.859479651261836</v>
      </c>
      <c r="F818" s="5">
        <v>-2.1140670258592564E-3</v>
      </c>
      <c r="G818" s="5">
        <v>0</v>
      </c>
    </row>
    <row r="819" spans="1:7" x14ac:dyDescent="0.25">
      <c r="A819" s="12">
        <v>45342</v>
      </c>
      <c r="B819" s="13">
        <v>52037.65</v>
      </c>
      <c r="C819" s="13">
        <v>52090</v>
      </c>
      <c r="D819" s="5">
        <v>10.859722774035708</v>
      </c>
      <c r="E819" s="5">
        <v>10.860728270739237</v>
      </c>
      <c r="F819" s="5">
        <v>2.5225086058924262E-3</v>
      </c>
      <c r="G819" s="5">
        <v>1.2486194774012915E-3</v>
      </c>
    </row>
    <row r="820" spans="1:7" x14ac:dyDescent="0.25">
      <c r="A820" s="12">
        <v>45343</v>
      </c>
      <c r="B820" s="13">
        <v>51388.56</v>
      </c>
      <c r="C820" s="13">
        <v>50955</v>
      </c>
      <c r="D820" s="5">
        <v>10.847170858577918</v>
      </c>
      <c r="E820" s="5">
        <v>10.838698169262795</v>
      </c>
      <c r="F820" s="5">
        <v>-1.2551915457789775E-2</v>
      </c>
      <c r="G820" s="5">
        <v>-2.2030101476442354E-2</v>
      </c>
    </row>
    <row r="821" spans="1:7" x14ac:dyDescent="0.25">
      <c r="A821" s="12">
        <v>45344</v>
      </c>
      <c r="B821" s="13">
        <v>51650.63</v>
      </c>
      <c r="C821" s="13">
        <v>52040</v>
      </c>
      <c r="D821" s="5">
        <v>10.852257671956455</v>
      </c>
      <c r="E821" s="5">
        <v>10.859767932626442</v>
      </c>
      <c r="F821" s="5">
        <v>5.0868133785364478E-3</v>
      </c>
      <c r="G821" s="5">
        <v>2.1069763363646743E-2</v>
      </c>
    </row>
    <row r="822" spans="1:7" x14ac:dyDescent="0.25">
      <c r="A822" s="12">
        <v>45345</v>
      </c>
      <c r="B822" s="13">
        <v>50981.2</v>
      </c>
      <c r="C822" s="13">
        <v>50958.01</v>
      </c>
      <c r="D822" s="5">
        <v>10.839212216295682</v>
      </c>
      <c r="E822" s="5">
        <v>10.838757239248086</v>
      </c>
      <c r="F822" s="5">
        <v>-1.3045455660773086E-2</v>
      </c>
      <c r="G822" s="5">
        <v>-2.1010693378356038E-2</v>
      </c>
    </row>
    <row r="823" spans="1:7" x14ac:dyDescent="0.25">
      <c r="A823" s="12">
        <v>45348</v>
      </c>
      <c r="B823" s="13">
        <v>54656.39</v>
      </c>
      <c r="C823" s="13">
        <v>55290</v>
      </c>
      <c r="D823" s="5">
        <v>10.908821412661425</v>
      </c>
      <c r="E823" s="5">
        <v>10.920347339331979</v>
      </c>
      <c r="F823" s="5">
        <v>6.9609196365743031E-2</v>
      </c>
      <c r="G823" s="5">
        <v>8.1590100083893446E-2</v>
      </c>
    </row>
    <row r="824" spans="1:7" x14ac:dyDescent="0.25">
      <c r="A824" s="12">
        <v>45349</v>
      </c>
      <c r="B824" s="13">
        <v>56731.14</v>
      </c>
      <c r="C824" s="13">
        <v>57620</v>
      </c>
      <c r="D824" s="5">
        <v>10.946078545306438</v>
      </c>
      <c r="E824" s="5">
        <v>10.961625008638519</v>
      </c>
      <c r="F824" s="5">
        <v>3.7257132645013513E-2</v>
      </c>
      <c r="G824" s="5">
        <v>4.1277669306539977E-2</v>
      </c>
    </row>
    <row r="825" spans="1:7" x14ac:dyDescent="0.25">
      <c r="A825" s="12">
        <v>45350</v>
      </c>
      <c r="B825" s="13">
        <v>60550.68</v>
      </c>
      <c r="C825" s="13">
        <v>60870</v>
      </c>
      <c r="D825" s="5">
        <v>11.011235979306287</v>
      </c>
      <c r="E825" s="5">
        <v>11.016495721487971</v>
      </c>
      <c r="F825" s="5">
        <v>6.5157433999848635E-2</v>
      </c>
      <c r="G825" s="5">
        <v>5.4870712849451664E-2</v>
      </c>
    </row>
    <row r="826" spans="1:7" x14ac:dyDescent="0.25">
      <c r="A826" s="12">
        <v>45351</v>
      </c>
      <c r="B826" s="13">
        <v>61430.64</v>
      </c>
      <c r="C826" s="13">
        <v>62760</v>
      </c>
      <c r="D826" s="5">
        <v>11.025664012466066</v>
      </c>
      <c r="E826" s="5">
        <v>11.047073206846969</v>
      </c>
      <c r="F826" s="5">
        <v>1.4428033159779474E-2</v>
      </c>
      <c r="G826" s="5">
        <v>3.0577485358998402E-2</v>
      </c>
    </row>
    <row r="827" spans="1:7" x14ac:dyDescent="0.25">
      <c r="A827" s="12">
        <v>45352</v>
      </c>
      <c r="B827" s="13">
        <v>62589.24</v>
      </c>
      <c r="C827" s="13">
        <v>63825</v>
      </c>
      <c r="D827" s="5">
        <v>11.044348657330248</v>
      </c>
      <c r="E827" s="5">
        <v>11.063900242109684</v>
      </c>
      <c r="F827" s="5">
        <v>1.8684644864181976E-2</v>
      </c>
      <c r="G827" s="5">
        <v>1.6827035262714674E-2</v>
      </c>
    </row>
    <row r="828" spans="1:7" x14ac:dyDescent="0.25">
      <c r="A828" s="12">
        <v>45355</v>
      </c>
      <c r="B828" s="13">
        <v>67494.73</v>
      </c>
      <c r="C828" s="13">
        <v>68480</v>
      </c>
      <c r="D828" s="5">
        <v>11.119804799738608</v>
      </c>
      <c r="E828" s="5">
        <v>11.134297010815624</v>
      </c>
      <c r="F828" s="5">
        <v>7.5456142408359739E-2</v>
      </c>
      <c r="G828" s="5">
        <v>7.039676870594036E-2</v>
      </c>
    </row>
    <row r="829" spans="1:7" x14ac:dyDescent="0.25">
      <c r="A829" s="12">
        <v>45356</v>
      </c>
      <c r="B829" s="13">
        <v>63330.43</v>
      </c>
      <c r="C829" s="13">
        <v>62425</v>
      </c>
      <c r="D829" s="5">
        <v>11.056121219318468</v>
      </c>
      <c r="E829" s="5">
        <v>11.041721115147974</v>
      </c>
      <c r="F829" s="5">
        <v>-6.3683580420139663E-2</v>
      </c>
      <c r="G829" s="5">
        <v>-9.2575895667650343E-2</v>
      </c>
    </row>
    <row r="830" spans="1:7" x14ac:dyDescent="0.25">
      <c r="A830" s="12">
        <v>45357</v>
      </c>
      <c r="B830" s="13">
        <v>66481.259999999995</v>
      </c>
      <c r="C830" s="13">
        <v>67760</v>
      </c>
      <c r="D830" s="5">
        <v>11.104675382418314</v>
      </c>
      <c r="E830" s="5">
        <v>11.123727329325936</v>
      </c>
      <c r="F830" s="5">
        <v>4.8554163099845837E-2</v>
      </c>
      <c r="G830" s="5">
        <v>8.2006214177962278E-2</v>
      </c>
    </row>
    <row r="831" spans="1:7" x14ac:dyDescent="0.25">
      <c r="A831" s="12">
        <v>45358</v>
      </c>
      <c r="B831" s="13">
        <v>67332.89</v>
      </c>
      <c r="C831" s="13">
        <v>68365</v>
      </c>
      <c r="D831" s="5">
        <v>11.11740410353514</v>
      </c>
      <c r="E831" s="5">
        <v>11.132616276743182</v>
      </c>
      <c r="F831" s="5">
        <v>1.2728721116825881E-2</v>
      </c>
      <c r="G831" s="5">
        <v>8.8889474172457739E-3</v>
      </c>
    </row>
    <row r="832" spans="1:7" x14ac:dyDescent="0.25">
      <c r="A832" s="12">
        <v>45359</v>
      </c>
      <c r="B832" s="13">
        <v>68398.850000000006</v>
      </c>
      <c r="C832" s="13">
        <v>69805</v>
      </c>
      <c r="D832" s="5">
        <v>11.133111290603807</v>
      </c>
      <c r="E832" s="5">
        <v>11.153460919422749</v>
      </c>
      <c r="F832" s="5">
        <v>1.5707187068667139E-2</v>
      </c>
      <c r="G832" s="5">
        <v>2.0844642679566761E-2</v>
      </c>
    </row>
    <row r="833" spans="1:7" x14ac:dyDescent="0.25">
      <c r="A833" s="12">
        <v>45362</v>
      </c>
      <c r="B833" s="13">
        <v>72115.850000000006</v>
      </c>
      <c r="C833" s="13">
        <v>72660</v>
      </c>
      <c r="D833" s="5">
        <v>11.186029132677676</v>
      </c>
      <c r="E833" s="5">
        <v>11.193546305775193</v>
      </c>
      <c r="F833" s="5">
        <v>5.2917842073869181E-2</v>
      </c>
      <c r="G833" s="5">
        <v>4.008538635244463E-2</v>
      </c>
    </row>
    <row r="834" spans="1:7" x14ac:dyDescent="0.25">
      <c r="A834" s="12">
        <v>45363</v>
      </c>
      <c r="B834" s="13">
        <v>71063.39</v>
      </c>
      <c r="C834" s="13">
        <v>71800</v>
      </c>
      <c r="D834" s="5">
        <v>11.171327574600921</v>
      </c>
      <c r="E834" s="5">
        <v>11.181639755036315</v>
      </c>
      <c r="F834" s="5">
        <v>-1.4701558076755106E-2</v>
      </c>
      <c r="G834" s="5">
        <v>-1.1906550738878252E-2</v>
      </c>
    </row>
    <row r="835" spans="1:7" x14ac:dyDescent="0.25">
      <c r="A835" s="12">
        <v>45364</v>
      </c>
      <c r="B835" s="13">
        <v>73157.289999999994</v>
      </c>
      <c r="C835" s="13">
        <v>73915</v>
      </c>
      <c r="D835" s="5">
        <v>11.200367059719218</v>
      </c>
      <c r="E835" s="5">
        <v>11.210671063335191</v>
      </c>
      <c r="F835" s="5">
        <v>2.9039485118296682E-2</v>
      </c>
      <c r="G835" s="5">
        <v>2.9031308298876013E-2</v>
      </c>
    </row>
    <row r="836" spans="1:7" x14ac:dyDescent="0.25">
      <c r="A836" s="12">
        <v>45365</v>
      </c>
      <c r="B836" s="13">
        <v>70681.39</v>
      </c>
      <c r="C836" s="13">
        <v>69600</v>
      </c>
      <c r="D836" s="5">
        <v>11.165937592340994</v>
      </c>
      <c r="E836" s="5">
        <v>11.150519846322512</v>
      </c>
      <c r="F836" s="5">
        <v>-3.4429467378224388E-2</v>
      </c>
      <c r="G836" s="5">
        <v>-6.0151217012679226E-2</v>
      </c>
    </row>
    <row r="837" spans="1:7" x14ac:dyDescent="0.25">
      <c r="A837" s="12">
        <v>45366</v>
      </c>
      <c r="B837" s="13">
        <v>67859.14</v>
      </c>
      <c r="C837" s="13">
        <v>69165</v>
      </c>
      <c r="D837" s="5">
        <v>11.125189365107312</v>
      </c>
      <c r="E837" s="5">
        <v>11.144250233308915</v>
      </c>
      <c r="F837" s="5">
        <v>-4.0748227233681433E-2</v>
      </c>
      <c r="G837" s="5">
        <v>-6.2696130135968531E-3</v>
      </c>
    </row>
    <row r="838" spans="1:7" x14ac:dyDescent="0.25">
      <c r="A838" s="12">
        <v>45369</v>
      </c>
      <c r="B838" s="13">
        <v>67352.39</v>
      </c>
      <c r="C838" s="13">
        <v>67180</v>
      </c>
      <c r="D838" s="5">
        <v>11.117693667474663</v>
      </c>
      <c r="E838" s="5">
        <v>11.115130863166284</v>
      </c>
      <c r="F838" s="5">
        <v>-7.4956976326490121E-3</v>
      </c>
      <c r="G838" s="5">
        <v>-2.9119370142630885E-2</v>
      </c>
    </row>
    <row r="839" spans="1:7" x14ac:dyDescent="0.25">
      <c r="A839" s="12">
        <v>45370</v>
      </c>
      <c r="B839" s="13">
        <v>63749.51</v>
      </c>
      <c r="C839" s="13">
        <v>64595</v>
      </c>
      <c r="D839" s="5">
        <v>11.062716776716623</v>
      </c>
      <c r="E839" s="5">
        <v>11.075892287394401</v>
      </c>
      <c r="F839" s="5">
        <v>-5.4976890758039687E-2</v>
      </c>
      <c r="G839" s="5">
        <v>-3.9238575771882722E-2</v>
      </c>
    </row>
    <row r="840" spans="1:7" x14ac:dyDescent="0.25">
      <c r="A840" s="12">
        <v>45371</v>
      </c>
      <c r="B840" s="13">
        <v>67078.539999999994</v>
      </c>
      <c r="C840" s="13">
        <v>65990</v>
      </c>
      <c r="D840" s="5">
        <v>11.113619450643634</v>
      </c>
      <c r="E840" s="5">
        <v>11.097258494377467</v>
      </c>
      <c r="F840" s="5">
        <v>5.0902673927010866E-2</v>
      </c>
      <c r="G840" s="5">
        <v>2.1366206983065794E-2</v>
      </c>
    </row>
    <row r="841" spans="1:7" x14ac:dyDescent="0.25">
      <c r="A841" s="12">
        <v>45372</v>
      </c>
      <c r="B841" s="13">
        <v>65466.78</v>
      </c>
      <c r="C841" s="13">
        <v>65415</v>
      </c>
      <c r="D841" s="5">
        <v>11.08929811739379</v>
      </c>
      <c r="E841" s="5">
        <v>11.088506868944977</v>
      </c>
      <c r="F841" s="5">
        <v>-2.4321333249844201E-2</v>
      </c>
      <c r="G841" s="5">
        <v>-8.7516254324899734E-3</v>
      </c>
    </row>
    <row r="842" spans="1:7" x14ac:dyDescent="0.25">
      <c r="A842" s="12">
        <v>45373</v>
      </c>
      <c r="B842" s="13">
        <v>63509.03</v>
      </c>
      <c r="C842" s="13">
        <v>63975</v>
      </c>
      <c r="D842" s="5">
        <v>11.05893737949506</v>
      </c>
      <c r="E842" s="5">
        <v>11.06624766102799</v>
      </c>
      <c r="F842" s="5">
        <v>-3.0360737898730505E-2</v>
      </c>
      <c r="G842" s="5">
        <v>-2.2259207916986767E-2</v>
      </c>
    </row>
    <row r="843" spans="1:7" x14ac:dyDescent="0.25">
      <c r="A843" s="12">
        <v>45376</v>
      </c>
      <c r="B843" s="13">
        <v>70959.89</v>
      </c>
      <c r="C843" s="13">
        <v>71130</v>
      </c>
      <c r="D843" s="5">
        <v>11.16987006681315</v>
      </c>
      <c r="E843" s="5">
        <v>11.17226446772756</v>
      </c>
      <c r="F843" s="5">
        <v>0.11093268731809047</v>
      </c>
      <c r="G843" s="5">
        <v>0.1060168066995697</v>
      </c>
    </row>
    <row r="844" spans="1:7" x14ac:dyDescent="0.25">
      <c r="A844" s="12">
        <v>45377</v>
      </c>
      <c r="B844" s="13">
        <v>69825.009999999995</v>
      </c>
      <c r="C844" s="13">
        <v>69440</v>
      </c>
      <c r="D844" s="5">
        <v>11.153747534028549</v>
      </c>
      <c r="E844" s="5">
        <v>11.148218349334233</v>
      </c>
      <c r="F844" s="5">
        <v>-1.6122532784601518E-2</v>
      </c>
      <c r="G844" s="5">
        <v>-2.4046118393327376E-2</v>
      </c>
    </row>
    <row r="845" spans="1:7" x14ac:dyDescent="0.25">
      <c r="A845" s="12">
        <v>45378</v>
      </c>
      <c r="B845" s="13">
        <v>68862.16</v>
      </c>
      <c r="C845" s="13">
        <v>68635</v>
      </c>
      <c r="D845" s="5">
        <v>11.139862104393579</v>
      </c>
      <c r="E845" s="5">
        <v>11.136557887685759</v>
      </c>
      <c r="F845" s="5">
        <v>-1.3885429634969526E-2</v>
      </c>
      <c r="G845" s="5">
        <v>-1.166046164847323E-2</v>
      </c>
    </row>
    <row r="846" spans="1:7" x14ac:dyDescent="0.25">
      <c r="A846" s="12">
        <v>45379</v>
      </c>
      <c r="B846" s="13">
        <v>70712.89</v>
      </c>
      <c r="C846" s="13">
        <v>71296.17</v>
      </c>
      <c r="D846" s="5">
        <v>11.166383154926992</v>
      </c>
      <c r="E846" s="5">
        <v>11.174597888269552</v>
      </c>
      <c r="F846" s="5">
        <v>2.6521050533412804E-2</v>
      </c>
      <c r="G846" s="5">
        <v>3.8040000583793088E-2</v>
      </c>
    </row>
    <row r="847" spans="1:7" x14ac:dyDescent="0.25">
      <c r="A847" s="12">
        <v>45380</v>
      </c>
      <c r="B847" s="13">
        <v>69654.16</v>
      </c>
      <c r="C847" s="17">
        <v>71296.17</v>
      </c>
      <c r="D847" s="5">
        <v>11.151297704631819</v>
      </c>
      <c r="E847" s="5">
        <v>11.174597888269552</v>
      </c>
      <c r="F847" s="5">
        <v>-1.508545029517272E-2</v>
      </c>
      <c r="G847" s="5">
        <v>0</v>
      </c>
    </row>
    <row r="848" spans="1:7" x14ac:dyDescent="0.25">
      <c r="A848" s="12">
        <v>45383</v>
      </c>
      <c r="B848" s="13">
        <v>69767.89</v>
      </c>
      <c r="C848" s="13">
        <v>70380</v>
      </c>
      <c r="D848" s="5">
        <v>11.152929154251526</v>
      </c>
      <c r="E848" s="5">
        <v>11.161664410875575</v>
      </c>
      <c r="F848" s="5">
        <v>1.6314496197065154E-3</v>
      </c>
      <c r="G848" s="5">
        <v>-1.29334773939771E-2</v>
      </c>
    </row>
    <row r="849" spans="1:7" x14ac:dyDescent="0.25">
      <c r="A849" s="12">
        <v>45384</v>
      </c>
      <c r="B849" s="13">
        <v>65702.14</v>
      </c>
      <c r="C849" s="13">
        <v>66550</v>
      </c>
      <c r="D849" s="5">
        <v>11.092886776240562</v>
      </c>
      <c r="E849" s="5">
        <v>11.105708823823258</v>
      </c>
      <c r="F849" s="5">
        <v>-6.0042378010964015E-2</v>
      </c>
      <c r="G849" s="5">
        <v>-5.5955587052316957E-2</v>
      </c>
    </row>
    <row r="850" spans="1:7" x14ac:dyDescent="0.25">
      <c r="A850" s="12">
        <v>45385</v>
      </c>
      <c r="B850" s="13">
        <v>65742.2</v>
      </c>
      <c r="C850" s="13">
        <v>66305</v>
      </c>
      <c r="D850" s="5">
        <v>11.093496311824069</v>
      </c>
      <c r="E850" s="5">
        <v>11.102020588111699</v>
      </c>
      <c r="F850" s="5">
        <v>6.095355835071814E-4</v>
      </c>
      <c r="G850" s="5">
        <v>-3.6882357115590736E-3</v>
      </c>
    </row>
    <row r="851" spans="1:7" x14ac:dyDescent="0.25">
      <c r="A851" s="12">
        <v>45386</v>
      </c>
      <c r="B851" s="13">
        <v>67948.37</v>
      </c>
      <c r="C851" s="13">
        <v>68840</v>
      </c>
      <c r="D851" s="5">
        <v>11.126503431064931</v>
      </c>
      <c r="E851" s="5">
        <v>11.139540250325476</v>
      </c>
      <c r="F851" s="5">
        <v>3.3007119240862082E-2</v>
      </c>
      <c r="G851" s="5">
        <v>3.7519662213776783E-2</v>
      </c>
    </row>
    <row r="852" spans="1:7" x14ac:dyDescent="0.25">
      <c r="A852" s="12">
        <v>45387</v>
      </c>
      <c r="B852" s="13">
        <v>67660.41</v>
      </c>
      <c r="C852" s="13">
        <v>67755</v>
      </c>
      <c r="D852" s="5">
        <v>11.122256502026655</v>
      </c>
      <c r="E852" s="5">
        <v>11.123653536756814</v>
      </c>
      <c r="F852" s="5">
        <v>-4.2469290382758373E-3</v>
      </c>
      <c r="G852" s="5">
        <v>-1.5886713568662003E-2</v>
      </c>
    </row>
    <row r="853" spans="1:7" x14ac:dyDescent="0.25">
      <c r="A853" s="12">
        <v>45390</v>
      </c>
      <c r="B853" s="13">
        <v>71706.37</v>
      </c>
      <c r="C853" s="13">
        <v>72110</v>
      </c>
      <c r="D853" s="5">
        <v>11.180334865040344</v>
      </c>
      <c r="E853" s="5">
        <v>11.185948009910804</v>
      </c>
      <c r="F853" s="5">
        <v>5.8078363013688517E-2</v>
      </c>
      <c r="G853" s="5">
        <v>6.2294473153990282E-2</v>
      </c>
    </row>
    <row r="854" spans="1:7" x14ac:dyDescent="0.25">
      <c r="A854" s="12">
        <v>45391</v>
      </c>
      <c r="B854" s="13">
        <v>69127.199999999997</v>
      </c>
      <c r="C854" s="13">
        <v>69355</v>
      </c>
      <c r="D854" s="5">
        <v>11.143703564719633</v>
      </c>
      <c r="E854" s="5">
        <v>11.146993521197391</v>
      </c>
      <c r="F854" s="5">
        <v>-3.663130032071038E-2</v>
      </c>
      <c r="G854" s="5">
        <v>-3.8954488713413227E-2</v>
      </c>
    </row>
    <row r="855" spans="1:7" x14ac:dyDescent="0.25">
      <c r="A855" s="12">
        <v>45392</v>
      </c>
      <c r="B855" s="13">
        <v>69807.509999999995</v>
      </c>
      <c r="C855" s="13">
        <v>70410</v>
      </c>
      <c r="D855" s="5">
        <v>11.153496876085947</v>
      </c>
      <c r="E855" s="5">
        <v>11.16209057751318</v>
      </c>
      <c r="F855" s="5">
        <v>9.7933113663142279E-3</v>
      </c>
      <c r="G855" s="5">
        <v>1.5097056315788393E-2</v>
      </c>
    </row>
    <row r="856" spans="1:7" x14ac:dyDescent="0.25">
      <c r="A856" s="12">
        <v>45393</v>
      </c>
      <c r="B856" s="13">
        <v>70509.59</v>
      </c>
      <c r="C856" s="13">
        <v>70800</v>
      </c>
      <c r="D856" s="5">
        <v>11.163504007918135</v>
      </c>
      <c r="E856" s="5">
        <v>11.167614279681811</v>
      </c>
      <c r="F856" s="5">
        <v>1.000713183218771E-2</v>
      </c>
      <c r="G856" s="5">
        <v>5.5237021686309618E-3</v>
      </c>
    </row>
    <row r="857" spans="1:7" x14ac:dyDescent="0.25">
      <c r="A857" s="12">
        <v>45394</v>
      </c>
      <c r="B857" s="13">
        <v>67127.64</v>
      </c>
      <c r="C857" s="13">
        <v>67170</v>
      </c>
      <c r="D857" s="5">
        <v>11.114351160646715</v>
      </c>
      <c r="E857" s="5">
        <v>11.114981998260911</v>
      </c>
      <c r="F857" s="5">
        <v>-4.9152847271420441E-2</v>
      </c>
      <c r="G857" s="5">
        <v>-5.2632281420899929E-2</v>
      </c>
    </row>
    <row r="858" spans="1:7" x14ac:dyDescent="0.25">
      <c r="A858" s="12">
        <v>45397</v>
      </c>
      <c r="B858" s="13">
        <v>63152.49</v>
      </c>
      <c r="C858" s="13">
        <v>63560</v>
      </c>
      <c r="D858" s="5">
        <v>11.053307556930038</v>
      </c>
      <c r="E858" s="5">
        <v>11.059739620650653</v>
      </c>
      <c r="F858" s="5">
        <v>-6.1043603716676387E-2</v>
      </c>
      <c r="G858" s="5">
        <v>-5.524237761025752E-2</v>
      </c>
    </row>
    <row r="859" spans="1:7" x14ac:dyDescent="0.25">
      <c r="A859" s="12">
        <v>45398</v>
      </c>
      <c r="B859" s="13">
        <v>63039.97</v>
      </c>
      <c r="C859" s="13">
        <v>62920</v>
      </c>
      <c r="D859" s="5">
        <v>11.051524248643323</v>
      </c>
      <c r="E859" s="5">
        <v>11.049619357172213</v>
      </c>
      <c r="F859" s="5">
        <v>-1.783308286714913E-3</v>
      </c>
      <c r="G859" s="5">
        <v>-1.0120263478439639E-2</v>
      </c>
    </row>
    <row r="860" spans="1:7" x14ac:dyDescent="0.25">
      <c r="A860" s="12">
        <v>45399</v>
      </c>
      <c r="B860" s="13">
        <v>60855.27</v>
      </c>
      <c r="C860" s="13">
        <v>61130</v>
      </c>
      <c r="D860" s="5">
        <v>11.016253701074758</v>
      </c>
      <c r="E860" s="5">
        <v>11.020758023022772</v>
      </c>
      <c r="F860" s="5">
        <v>-3.5270547568565291E-2</v>
      </c>
      <c r="G860" s="5">
        <v>-2.8861334149441475E-2</v>
      </c>
    </row>
    <row r="861" spans="1:7" x14ac:dyDescent="0.25">
      <c r="A861" s="12">
        <v>45400</v>
      </c>
      <c r="B861" s="13">
        <v>63528.51</v>
      </c>
      <c r="C861" s="13">
        <v>63660</v>
      </c>
      <c r="D861" s="5">
        <v>11.059244060498999</v>
      </c>
      <c r="E861" s="5">
        <v>11.061311700836084</v>
      </c>
      <c r="F861" s="5">
        <v>4.299035942424112E-2</v>
      </c>
      <c r="G861" s="5">
        <v>4.0553677813312206E-2</v>
      </c>
    </row>
    <row r="862" spans="1:7" x14ac:dyDescent="0.25">
      <c r="A862" s="12">
        <v>45401</v>
      </c>
      <c r="B862" s="13">
        <v>64071.26</v>
      </c>
      <c r="C862" s="13">
        <v>64355</v>
      </c>
      <c r="D862" s="5">
        <v>11.067751180430017</v>
      </c>
      <c r="E862" s="5">
        <v>11.072169910083478</v>
      </c>
      <c r="F862" s="5">
        <v>8.5071199310178258E-3</v>
      </c>
      <c r="G862" s="5">
        <v>1.0858209247393447E-2</v>
      </c>
    </row>
    <row r="863" spans="1:7" x14ac:dyDescent="0.25">
      <c r="A863" s="12">
        <v>45404</v>
      </c>
      <c r="B863" s="13">
        <v>66538.41</v>
      </c>
      <c r="C863" s="13">
        <v>66610</v>
      </c>
      <c r="D863" s="5">
        <v>11.105534653885705</v>
      </c>
      <c r="E863" s="5">
        <v>11.106609995407226</v>
      </c>
      <c r="F863" s="5">
        <v>3.778347345568811E-2</v>
      </c>
      <c r="G863" s="5">
        <v>3.4440085323748093E-2</v>
      </c>
    </row>
    <row r="864" spans="1:7" x14ac:dyDescent="0.25">
      <c r="A864" s="12">
        <v>45405</v>
      </c>
      <c r="B864" s="13">
        <v>66353.7</v>
      </c>
      <c r="C864" s="13">
        <v>66435</v>
      </c>
      <c r="D864" s="5">
        <v>11.102754803088745</v>
      </c>
      <c r="E864" s="5">
        <v>11.103979305025408</v>
      </c>
      <c r="F864" s="5">
        <v>-2.7798507969603037E-3</v>
      </c>
      <c r="G864" s="5">
        <v>-2.6306903818174021E-3</v>
      </c>
    </row>
    <row r="865" spans="1:7" x14ac:dyDescent="0.25">
      <c r="A865" s="12">
        <v>45406</v>
      </c>
      <c r="B865" s="13">
        <v>64049.7</v>
      </c>
      <c r="C865" s="13">
        <v>63880</v>
      </c>
      <c r="D865" s="5">
        <v>11.067414623473162</v>
      </c>
      <c r="E865" s="5">
        <v>11.064761602328948</v>
      </c>
      <c r="F865" s="5">
        <v>-3.5340179615582556E-2</v>
      </c>
      <c r="G865" s="5">
        <v>-3.9217702696459966E-2</v>
      </c>
    </row>
    <row r="866" spans="1:7" x14ac:dyDescent="0.25">
      <c r="A866" s="12">
        <v>45407</v>
      </c>
      <c r="B866" s="13">
        <v>64796.69</v>
      </c>
      <c r="C866" s="13">
        <v>64700</v>
      </c>
      <c r="D866" s="5">
        <v>11.079009800788812</v>
      </c>
      <c r="E866" s="5">
        <v>11.077516480488992</v>
      </c>
      <c r="F866" s="5">
        <v>1.1595177315649963E-2</v>
      </c>
      <c r="G866" s="5">
        <v>1.2754878160043503E-2</v>
      </c>
    </row>
    <row r="867" spans="1:7" x14ac:dyDescent="0.25">
      <c r="A867" s="12">
        <v>45408</v>
      </c>
      <c r="B867" s="13">
        <v>63939.27</v>
      </c>
      <c r="C867" s="13">
        <v>64302.05</v>
      </c>
      <c r="D867" s="5">
        <v>11.065689005595265</v>
      </c>
      <c r="E867" s="5">
        <v>11.07134679152154</v>
      </c>
      <c r="F867" s="5">
        <v>-1.3320795193546786E-2</v>
      </c>
      <c r="G867" s="5">
        <v>-6.1696889674518474E-3</v>
      </c>
    </row>
    <row r="868" spans="1:7" x14ac:dyDescent="0.25">
      <c r="A868" s="12">
        <v>45411</v>
      </c>
      <c r="B868" s="13">
        <v>62943.49</v>
      </c>
      <c r="C868" s="13">
        <v>63450</v>
      </c>
      <c r="D868" s="5">
        <v>11.049992618715697</v>
      </c>
      <c r="E868" s="5">
        <v>11.058007473142533</v>
      </c>
      <c r="F868" s="5">
        <v>-1.5696386879568536E-2</v>
      </c>
      <c r="G868" s="5">
        <v>-1.3339318379006926E-2</v>
      </c>
    </row>
    <row r="869" spans="1:7" x14ac:dyDescent="0.25">
      <c r="A869" s="12">
        <v>45412</v>
      </c>
      <c r="B869" s="13">
        <v>59868.89</v>
      </c>
      <c r="C869" s="13">
        <v>59400</v>
      </c>
      <c r="D869" s="5">
        <v>10.999912283577158</v>
      </c>
      <c r="E869" s="5">
        <v>10.992049505350737</v>
      </c>
      <c r="F869" s="5">
        <v>-5.0080335138538601E-2</v>
      </c>
      <c r="G869" s="5">
        <v>-6.5957967791796079E-2</v>
      </c>
    </row>
    <row r="870" spans="1:7" x14ac:dyDescent="0.25">
      <c r="A870" s="12">
        <v>45413</v>
      </c>
      <c r="B870" s="13">
        <v>57293.55</v>
      </c>
      <c r="C870" s="13">
        <v>57355</v>
      </c>
      <c r="D870" s="5">
        <v>10.955943330921839</v>
      </c>
      <c r="E870" s="5">
        <v>10.957015302715368</v>
      </c>
      <c r="F870" s="5">
        <v>-4.3968952655319526E-2</v>
      </c>
      <c r="G870" s="5">
        <v>-3.5034202635369383E-2</v>
      </c>
    </row>
    <row r="871" spans="1:7" x14ac:dyDescent="0.25">
      <c r="A871" s="12">
        <v>45414</v>
      </c>
      <c r="B871" s="13">
        <v>58743.14</v>
      </c>
      <c r="C871" s="13">
        <v>59765</v>
      </c>
      <c r="D871" s="5">
        <v>10.980929659231283</v>
      </c>
      <c r="E871" s="5">
        <v>10.998175484312082</v>
      </c>
      <c r="F871" s="5">
        <v>2.4986328309443806E-2</v>
      </c>
      <c r="G871" s="5">
        <v>4.1160181596714196E-2</v>
      </c>
    </row>
    <row r="872" spans="1:7" x14ac:dyDescent="0.25">
      <c r="A872" s="12">
        <v>45415</v>
      </c>
      <c r="B872" s="13">
        <v>62928.89</v>
      </c>
      <c r="C872" s="13">
        <v>62590</v>
      </c>
      <c r="D872" s="5">
        <v>11.049760637719302</v>
      </c>
      <c r="E872" s="5">
        <v>11.044360799918747</v>
      </c>
      <c r="F872" s="5">
        <v>6.8830978488019667E-2</v>
      </c>
      <c r="G872" s="5">
        <v>4.6185315606665611E-2</v>
      </c>
    </row>
    <row r="873" spans="1:7" x14ac:dyDescent="0.25">
      <c r="A873" s="12">
        <v>45418</v>
      </c>
      <c r="B873" s="13">
        <v>63301.55</v>
      </c>
      <c r="C873" s="13">
        <v>63585</v>
      </c>
      <c r="D873" s="5">
        <v>11.055665094404356</v>
      </c>
      <c r="E873" s="5">
        <v>11.060132872454847</v>
      </c>
      <c r="F873" s="5">
        <v>5.9044566850534608E-3</v>
      </c>
      <c r="G873" s="5">
        <v>1.5772072536099913E-2</v>
      </c>
    </row>
    <row r="874" spans="1:7" x14ac:dyDescent="0.25">
      <c r="A874" s="12">
        <v>45419</v>
      </c>
      <c r="B874" s="13">
        <v>62973.05</v>
      </c>
      <c r="C874" s="13">
        <v>63365</v>
      </c>
      <c r="D874" s="5">
        <v>11.050462136072877</v>
      </c>
      <c r="E874" s="5">
        <v>11.056666937516164</v>
      </c>
      <c r="F874" s="5">
        <v>-5.2029583314787686E-3</v>
      </c>
      <c r="G874" s="5">
        <v>-3.4659349386831906E-3</v>
      </c>
    </row>
    <row r="875" spans="1:7" x14ac:dyDescent="0.25">
      <c r="A875" s="12">
        <v>45420</v>
      </c>
      <c r="B875" s="13">
        <v>61568.87</v>
      </c>
      <c r="C875" s="13">
        <v>62460</v>
      </c>
      <c r="D875" s="5">
        <v>11.027911664642797</v>
      </c>
      <c r="E875" s="5">
        <v>11.042281630837069</v>
      </c>
      <c r="F875" s="5">
        <v>-2.255047143007971E-2</v>
      </c>
      <c r="G875" s="5">
        <v>-1.4385306679095322E-2</v>
      </c>
    </row>
    <row r="876" spans="1:7" x14ac:dyDescent="0.25">
      <c r="A876" s="12">
        <v>45421</v>
      </c>
      <c r="B876" s="13">
        <v>62633.68</v>
      </c>
      <c r="C876" s="13">
        <v>62840</v>
      </c>
      <c r="D876" s="5">
        <v>11.045058431577097</v>
      </c>
      <c r="E876" s="5">
        <v>11.048347092369557</v>
      </c>
      <c r="F876" s="5">
        <v>1.7146766934299507E-2</v>
      </c>
      <c r="G876" s="5">
        <v>6.0654615324882144E-3</v>
      </c>
    </row>
    <row r="877" spans="1:7" x14ac:dyDescent="0.25">
      <c r="A877" s="12">
        <v>45422</v>
      </c>
      <c r="B877" s="13">
        <v>60501.2</v>
      </c>
      <c r="C877" s="13">
        <v>60950</v>
      </c>
      <c r="D877" s="5">
        <v>11.010418478532971</v>
      </c>
      <c r="E877" s="5">
        <v>11.017809134909417</v>
      </c>
      <c r="F877" s="5">
        <v>-3.4639953044125704E-2</v>
      </c>
      <c r="G877" s="5">
        <v>-3.0537957460140319E-2</v>
      </c>
    </row>
    <row r="878" spans="1:7" x14ac:dyDescent="0.25">
      <c r="A878" s="12">
        <v>45425</v>
      </c>
      <c r="B878" s="13">
        <v>63089.33</v>
      </c>
      <c r="C878" s="13">
        <v>63480</v>
      </c>
      <c r="D878" s="5">
        <v>11.052306937558901</v>
      </c>
      <c r="E878" s="5">
        <v>11.058480174640346</v>
      </c>
      <c r="F878" s="5">
        <v>4.1888459025930302E-2</v>
      </c>
      <c r="G878" s="5">
        <v>4.0671039730929337E-2</v>
      </c>
    </row>
    <row r="879" spans="1:7" x14ac:dyDescent="0.25">
      <c r="A879" s="12">
        <v>45426</v>
      </c>
      <c r="B879" s="13">
        <v>61579.46</v>
      </c>
      <c r="C879" s="13">
        <v>61835</v>
      </c>
      <c r="D879" s="5">
        <v>11.028083652359172</v>
      </c>
      <c r="E879" s="5">
        <v>11.032224826176158</v>
      </c>
      <c r="F879" s="5">
        <v>-2.4223285199729716E-2</v>
      </c>
      <c r="G879" s="5">
        <v>-2.6255348464188089E-2</v>
      </c>
    </row>
    <row r="880" spans="1:7" x14ac:dyDescent="0.25">
      <c r="A880" s="12">
        <v>45427</v>
      </c>
      <c r="B880" s="13">
        <v>65981.66</v>
      </c>
      <c r="C880" s="13">
        <v>66495</v>
      </c>
      <c r="D880" s="5">
        <v>11.097132103605219</v>
      </c>
      <c r="E880" s="5">
        <v>11.104882035847263</v>
      </c>
      <c r="F880" s="5">
        <v>6.9048451246047193E-2</v>
      </c>
      <c r="G880" s="5">
        <v>7.2657209671104894E-2</v>
      </c>
    </row>
    <row r="881" spans="1:7" x14ac:dyDescent="0.25">
      <c r="A881" s="12">
        <v>45428</v>
      </c>
      <c r="B881" s="13">
        <v>65279.32</v>
      </c>
      <c r="C881" s="13">
        <v>65445</v>
      </c>
      <c r="D881" s="5">
        <v>11.086430572917068</v>
      </c>
      <c r="E881" s="5">
        <v>11.08896537422582</v>
      </c>
      <c r="F881" s="5">
        <v>-1.0701530688150385E-2</v>
      </c>
      <c r="G881" s="5">
        <v>-1.5916661621442785E-2</v>
      </c>
    </row>
    <row r="882" spans="1:7" x14ac:dyDescent="0.25">
      <c r="A882" s="12">
        <v>45429</v>
      </c>
      <c r="B882" s="13">
        <v>66926.64</v>
      </c>
      <c r="C882" s="13">
        <v>67365</v>
      </c>
      <c r="D882" s="5">
        <v>11.111352373131268</v>
      </c>
      <c r="E882" s="5">
        <v>11.117880874189948</v>
      </c>
      <c r="F882" s="5">
        <v>2.4921800214199763E-2</v>
      </c>
      <c r="G882" s="5">
        <v>2.8915499964128344E-2</v>
      </c>
    </row>
    <row r="883" spans="1:7" x14ac:dyDescent="0.25">
      <c r="A883" s="12">
        <v>45432</v>
      </c>
      <c r="B883" s="13">
        <v>69522.559999999998</v>
      </c>
      <c r="C883" s="13">
        <v>70435</v>
      </c>
      <c r="D883" s="5">
        <v>11.149406583196848</v>
      </c>
      <c r="E883" s="5">
        <v>11.162445577694408</v>
      </c>
      <c r="F883" s="5">
        <v>3.8054210065579852E-2</v>
      </c>
      <c r="G883" s="5">
        <v>4.4564703504459402E-2</v>
      </c>
    </row>
    <row r="884" spans="1:7" x14ac:dyDescent="0.25">
      <c r="A884" s="12">
        <v>45433</v>
      </c>
      <c r="B884" s="13">
        <v>69711.509999999995</v>
      </c>
      <c r="C884" s="13">
        <v>69500</v>
      </c>
      <c r="D884" s="5">
        <v>11.152120719413539</v>
      </c>
      <c r="E884" s="5">
        <v>11.149082031552883</v>
      </c>
      <c r="F884" s="5">
        <v>2.714136216690477E-3</v>
      </c>
      <c r="G884" s="5">
        <v>-1.3363546141524907E-2</v>
      </c>
    </row>
    <row r="885" spans="1:7" x14ac:dyDescent="0.25">
      <c r="A885" s="12">
        <v>45434</v>
      </c>
      <c r="B885" s="13">
        <v>69411.320000000007</v>
      </c>
      <c r="C885" s="13">
        <v>69815</v>
      </c>
      <c r="D885" s="5">
        <v>11.147805245585447</v>
      </c>
      <c r="E885" s="5">
        <v>11.153604165376295</v>
      </c>
      <c r="F885" s="5">
        <v>-4.3154738280914984E-3</v>
      </c>
      <c r="G885" s="5">
        <v>4.5221338234124886E-3</v>
      </c>
    </row>
    <row r="886" spans="1:7" x14ac:dyDescent="0.25">
      <c r="A886" s="12">
        <v>45435</v>
      </c>
      <c r="B886" s="13">
        <v>67753.41</v>
      </c>
      <c r="C886" s="13">
        <v>67205</v>
      </c>
      <c r="D886" s="5">
        <v>11.123630069578651</v>
      </c>
      <c r="E886" s="5">
        <v>11.115502928505249</v>
      </c>
      <c r="F886" s="5">
        <v>-2.4175176006796306E-2</v>
      </c>
      <c r="G886" s="5">
        <v>-3.8101236871046495E-2</v>
      </c>
    </row>
    <row r="887" spans="1:7" x14ac:dyDescent="0.25">
      <c r="A887" s="12">
        <v>45436</v>
      </c>
      <c r="B887" s="13">
        <v>68849.429999999993</v>
      </c>
      <c r="C887" s="13">
        <v>69475</v>
      </c>
      <c r="D887" s="5">
        <v>11.139677225255429</v>
      </c>
      <c r="E887" s="5">
        <v>11.148722254610705</v>
      </c>
      <c r="F887" s="5">
        <v>1.6047155676778502E-2</v>
      </c>
      <c r="G887" s="5">
        <v>3.3219326105456304E-2</v>
      </c>
    </row>
    <row r="888" spans="1:7" x14ac:dyDescent="0.25">
      <c r="A888" s="12">
        <v>45439</v>
      </c>
      <c r="B888" s="13">
        <v>69590.89</v>
      </c>
      <c r="C888" s="17">
        <v>69475</v>
      </c>
      <c r="D888" s="5">
        <v>11.150388946950965</v>
      </c>
      <c r="E888" s="5">
        <v>11.148722254610705</v>
      </c>
      <c r="F888" s="5">
        <v>1.0711721695535914E-2</v>
      </c>
      <c r="G888" s="5">
        <v>0</v>
      </c>
    </row>
    <row r="889" spans="1:7" x14ac:dyDescent="0.25">
      <c r="A889" s="12">
        <v>45440</v>
      </c>
      <c r="B889" s="13">
        <v>68241.509999999995</v>
      </c>
      <c r="C889" s="13">
        <v>68455</v>
      </c>
      <c r="D889" s="5">
        <v>11.130808309705035</v>
      </c>
      <c r="E889" s="5">
        <v>11.133931874067857</v>
      </c>
      <c r="F889" s="5">
        <v>-1.9580637245930177E-2</v>
      </c>
      <c r="G889" s="5">
        <v>-1.4790380542848425E-2</v>
      </c>
    </row>
    <row r="890" spans="1:7" x14ac:dyDescent="0.25">
      <c r="A890" s="12">
        <v>45441</v>
      </c>
      <c r="B890" s="13">
        <v>67410.37</v>
      </c>
      <c r="C890" s="13">
        <v>67185</v>
      </c>
      <c r="D890" s="5">
        <v>11.118554142632302</v>
      </c>
      <c r="E890" s="5">
        <v>11.115205287309511</v>
      </c>
      <c r="F890" s="5">
        <v>-1.2254167072732969E-2</v>
      </c>
      <c r="G890" s="5">
        <v>-1.8726586758345931E-2</v>
      </c>
    </row>
    <row r="891" spans="1:7" x14ac:dyDescent="0.25">
      <c r="A891" s="12">
        <v>45442</v>
      </c>
      <c r="B891" s="13">
        <v>68469.509999999995</v>
      </c>
      <c r="C891" s="13">
        <v>68675</v>
      </c>
      <c r="D891" s="5">
        <v>11.134143815670631</v>
      </c>
      <c r="E891" s="5">
        <v>11.137140510963475</v>
      </c>
      <c r="F891" s="5">
        <v>1.5589673038329366E-2</v>
      </c>
      <c r="G891" s="5">
        <v>2.1935223653963831E-2</v>
      </c>
    </row>
    <row r="892" spans="1:7" x14ac:dyDescent="0.25">
      <c r="A892" s="12">
        <v>45443</v>
      </c>
      <c r="B892" s="13">
        <v>67630.41</v>
      </c>
      <c r="C892" s="13">
        <v>67633.73</v>
      </c>
      <c r="D892" s="5">
        <v>11.121813012948953</v>
      </c>
      <c r="E892" s="5">
        <v>11.121862102086705</v>
      </c>
      <c r="F892" s="5">
        <v>-1.2330802721677969E-2</v>
      </c>
      <c r="G892" s="5">
        <v>-1.5278408876769234E-2</v>
      </c>
    </row>
    <row r="893" spans="1:7" x14ac:dyDescent="0.25">
      <c r="A893" s="12">
        <v>45446</v>
      </c>
      <c r="B893" s="13">
        <v>69097.7</v>
      </c>
      <c r="C893" s="13">
        <v>69660</v>
      </c>
      <c r="D893" s="5">
        <v>11.143276724107734</v>
      </c>
      <c r="E893" s="5">
        <v>11.151381543919992</v>
      </c>
      <c r="F893" s="5">
        <v>2.1463711158780541E-2</v>
      </c>
      <c r="G893" s="5">
        <v>2.9519441833286919E-2</v>
      </c>
    </row>
    <row r="894" spans="1:7" x14ac:dyDescent="0.25">
      <c r="A894" s="12">
        <v>45447</v>
      </c>
      <c r="B894" s="13">
        <v>70422.789999999994</v>
      </c>
      <c r="C894" s="13">
        <v>71085</v>
      </c>
      <c r="D894" s="5">
        <v>11.162272211350514</v>
      </c>
      <c r="E894" s="5">
        <v>11.171631623069798</v>
      </c>
      <c r="F894" s="5">
        <v>1.8995487242779774E-2</v>
      </c>
      <c r="G894" s="5">
        <v>2.02500791498057E-2</v>
      </c>
    </row>
    <row r="895" spans="1:7" x14ac:dyDescent="0.25">
      <c r="A895" s="12">
        <v>45448</v>
      </c>
      <c r="B895" s="13">
        <v>71216.039999999994</v>
      </c>
      <c r="C895" s="13">
        <v>71890</v>
      </c>
      <c r="D895" s="5">
        <v>11.173473352927012</v>
      </c>
      <c r="E895" s="5">
        <v>11.182892451977917</v>
      </c>
      <c r="F895" s="5">
        <v>1.1201141576497875E-2</v>
      </c>
      <c r="G895" s="5">
        <v>1.126082890811908E-2</v>
      </c>
    </row>
    <row r="896" spans="1:7" x14ac:dyDescent="0.25">
      <c r="A896" s="12">
        <v>45449</v>
      </c>
      <c r="B896" s="13">
        <v>70688.73</v>
      </c>
      <c r="C896" s="13">
        <v>70960</v>
      </c>
      <c r="D896" s="5">
        <v>11.166041433237593</v>
      </c>
      <c r="E896" s="5">
        <v>11.16987161698346</v>
      </c>
      <c r="F896" s="5">
        <v>-7.4319196894183648E-3</v>
      </c>
      <c r="G896" s="5">
        <v>-1.302083499445672E-2</v>
      </c>
    </row>
    <row r="897" spans="1:7" x14ac:dyDescent="0.25">
      <c r="A897" s="12">
        <v>45450</v>
      </c>
      <c r="B897" s="13">
        <v>69270.570000000007</v>
      </c>
      <c r="C897" s="13">
        <v>69755</v>
      </c>
      <c r="D897" s="5">
        <v>11.145775419653216</v>
      </c>
      <c r="E897" s="5">
        <v>11.152744381702208</v>
      </c>
      <c r="F897" s="5">
        <v>-2.0266013584377518E-2</v>
      </c>
      <c r="G897" s="5">
        <v>-1.7127235281252595E-2</v>
      </c>
    </row>
    <row r="898" spans="1:7" x14ac:dyDescent="0.25">
      <c r="A898" s="12">
        <v>45453</v>
      </c>
      <c r="B898" s="13">
        <v>69608.600000000006</v>
      </c>
      <c r="C898" s="13">
        <v>69875</v>
      </c>
      <c r="D898" s="5">
        <v>11.150643401907596</v>
      </c>
      <c r="E898" s="5">
        <v>11.154463210457401</v>
      </c>
      <c r="F898" s="5">
        <v>4.86798225438001E-3</v>
      </c>
      <c r="G898" s="5">
        <v>1.7188287551928028E-3</v>
      </c>
    </row>
    <row r="899" spans="1:7" x14ac:dyDescent="0.25">
      <c r="A899" s="12">
        <v>45454</v>
      </c>
      <c r="B899" s="13">
        <v>67280.160000000003</v>
      </c>
      <c r="C899" s="13">
        <v>67735</v>
      </c>
      <c r="D899" s="5">
        <v>11.116620672765286</v>
      </c>
      <c r="E899" s="5">
        <v>11.123358312014837</v>
      </c>
      <c r="F899" s="5">
        <v>-3.4022729142309416E-2</v>
      </c>
      <c r="G899" s="5">
        <v>-3.1104898442563922E-2</v>
      </c>
    </row>
    <row r="900" spans="1:7" x14ac:dyDescent="0.25">
      <c r="A900" s="12">
        <v>45455</v>
      </c>
      <c r="B900" s="13">
        <v>68083.66</v>
      </c>
      <c r="C900" s="13">
        <v>67875</v>
      </c>
      <c r="D900" s="5">
        <v>11.128492522084246</v>
      </c>
      <c r="E900" s="5">
        <v>11.125423057236237</v>
      </c>
      <c r="F900" s="5">
        <v>1.1871849318959349E-2</v>
      </c>
      <c r="G900" s="5">
        <v>2.0647452213999884E-3</v>
      </c>
    </row>
    <row r="901" spans="1:7" x14ac:dyDescent="0.25">
      <c r="A901" s="12">
        <v>45456</v>
      </c>
      <c r="B901" s="13">
        <v>66676.759999999995</v>
      </c>
      <c r="C901" s="13">
        <v>66860</v>
      </c>
      <c r="D901" s="5">
        <v>11.10761174540224</v>
      </c>
      <c r="E901" s="5">
        <v>11.11035615997409</v>
      </c>
      <c r="F901" s="5">
        <v>-2.088077668200583E-2</v>
      </c>
      <c r="G901" s="5">
        <v>-1.5066897262146384E-2</v>
      </c>
    </row>
    <row r="902" spans="1:7" x14ac:dyDescent="0.25">
      <c r="A902" s="12">
        <v>45457</v>
      </c>
      <c r="B902" s="13">
        <v>65734.850000000006</v>
      </c>
      <c r="C902" s="13">
        <v>65640</v>
      </c>
      <c r="D902" s="5">
        <v>11.093384505238697</v>
      </c>
      <c r="E902" s="5">
        <v>11.091940545204027</v>
      </c>
      <c r="F902" s="5">
        <v>-1.4227240163542376E-2</v>
      </c>
      <c r="G902" s="5">
        <v>-1.8415614770063371E-2</v>
      </c>
    </row>
    <row r="903" spans="1:7" x14ac:dyDescent="0.25">
      <c r="A903" s="12">
        <v>45460</v>
      </c>
      <c r="B903" s="13">
        <v>66375.539999999994</v>
      </c>
      <c r="C903" s="13">
        <v>66865</v>
      </c>
      <c r="D903" s="5">
        <v>11.103083894104367</v>
      </c>
      <c r="E903" s="5">
        <v>11.110430940306896</v>
      </c>
      <c r="F903" s="5">
        <v>9.6993888656697891E-3</v>
      </c>
      <c r="G903" s="5">
        <v>1.8490395102869428E-2</v>
      </c>
    </row>
    <row r="904" spans="1:7" x14ac:dyDescent="0.25">
      <c r="A904" s="12">
        <v>45461</v>
      </c>
      <c r="B904" s="13">
        <v>64891.21</v>
      </c>
      <c r="C904" s="13">
        <v>64475</v>
      </c>
      <c r="D904" s="5">
        <v>11.080467454382338</v>
      </c>
      <c r="E904" s="5">
        <v>11.074032830749546</v>
      </c>
      <c r="F904" s="5">
        <v>-2.2616439722028758E-2</v>
      </c>
      <c r="G904" s="5">
        <v>-3.6398109557350011E-2</v>
      </c>
    </row>
    <row r="905" spans="1:7" x14ac:dyDescent="0.25">
      <c r="A905" s="12">
        <v>45462</v>
      </c>
      <c r="B905" s="13">
        <v>64851.51</v>
      </c>
      <c r="C905" s="17">
        <v>64475</v>
      </c>
      <c r="D905" s="5">
        <v>11.079855473976208</v>
      </c>
      <c r="E905" s="5">
        <v>11.074032830749546</v>
      </c>
      <c r="F905" s="5">
        <v>-6.1198040613064109E-4</v>
      </c>
      <c r="G905" s="5">
        <v>0</v>
      </c>
    </row>
    <row r="906" spans="1:7" x14ac:dyDescent="0.25">
      <c r="A906" s="12">
        <v>45463</v>
      </c>
      <c r="B906" s="13">
        <v>65060.38</v>
      </c>
      <c r="C906" s="13">
        <v>65100</v>
      </c>
      <c r="D906" s="5">
        <v>11.083071040772658</v>
      </c>
      <c r="E906" s="5">
        <v>11.08367982819666</v>
      </c>
      <c r="F906" s="5">
        <v>3.2155667964506307E-3</v>
      </c>
      <c r="G906" s="5">
        <v>9.6469974471133924E-3</v>
      </c>
    </row>
    <row r="907" spans="1:7" x14ac:dyDescent="0.25">
      <c r="A907" s="12">
        <v>45464</v>
      </c>
      <c r="B907" s="13">
        <v>64168.01</v>
      </c>
      <c r="C907" s="13">
        <v>64260</v>
      </c>
      <c r="D907" s="5">
        <v>11.069260078887666</v>
      </c>
      <c r="E907" s="5">
        <v>11.07069263266985</v>
      </c>
      <c r="F907" s="5">
        <v>-1.3810961884992423E-2</v>
      </c>
      <c r="G907" s="5">
        <v>-1.2987195526809714E-2</v>
      </c>
    </row>
    <row r="908" spans="1:7" x14ac:dyDescent="0.25">
      <c r="A908" s="12">
        <v>45467</v>
      </c>
      <c r="B908" s="13">
        <v>59474.74</v>
      </c>
      <c r="C908" s="13">
        <v>59145</v>
      </c>
      <c r="D908" s="5">
        <v>10.993306963576904</v>
      </c>
      <c r="E908" s="5">
        <v>10.987747334979836</v>
      </c>
      <c r="F908" s="5">
        <v>-7.5953115310761987E-2</v>
      </c>
      <c r="G908" s="5">
        <v>-8.2945297690013575E-2</v>
      </c>
    </row>
    <row r="909" spans="1:7" x14ac:dyDescent="0.25">
      <c r="A909" s="12">
        <v>45468</v>
      </c>
      <c r="B909" s="13">
        <v>61914.64</v>
      </c>
      <c r="C909" s="13">
        <v>62055</v>
      </c>
      <c r="D909" s="5">
        <v>11.033511941209296</v>
      </c>
      <c r="E909" s="5">
        <v>11.035776367563621</v>
      </c>
      <c r="F909" s="5">
        <v>4.0204977632392058E-2</v>
      </c>
      <c r="G909" s="5">
        <v>4.8029032583784215E-2</v>
      </c>
    </row>
    <row r="910" spans="1:7" x14ac:dyDescent="0.25">
      <c r="A910" s="12">
        <v>45469</v>
      </c>
      <c r="B910" s="13">
        <v>60954.51</v>
      </c>
      <c r="C910" s="13">
        <v>60940</v>
      </c>
      <c r="D910" s="5">
        <v>11.017883127249849</v>
      </c>
      <c r="E910" s="5">
        <v>11.017645052539701</v>
      </c>
      <c r="F910" s="5">
        <v>-1.562881395944693E-2</v>
      </c>
      <c r="G910" s="5">
        <v>-1.813131502392018E-2</v>
      </c>
    </row>
    <row r="911" spans="1:7" x14ac:dyDescent="0.25">
      <c r="A911" s="12">
        <v>45470</v>
      </c>
      <c r="B911" s="13">
        <v>61418.85</v>
      </c>
      <c r="C911" s="13">
        <v>61365</v>
      </c>
      <c r="D911" s="5">
        <v>11.025472070276706</v>
      </c>
      <c r="E911" s="5">
        <v>11.024594919031609</v>
      </c>
      <c r="F911" s="5">
        <v>7.5889430268567537E-3</v>
      </c>
      <c r="G911" s="5">
        <v>6.9498664919080966E-3</v>
      </c>
    </row>
    <row r="912" spans="1:7" x14ac:dyDescent="0.25">
      <c r="A912" s="12">
        <v>45471</v>
      </c>
      <c r="B912" s="13">
        <v>60118.16</v>
      </c>
      <c r="C912" s="13">
        <v>61024.23</v>
      </c>
      <c r="D912" s="5">
        <v>11.004067237942799</v>
      </c>
      <c r="E912" s="5">
        <v>11.019026277401958</v>
      </c>
      <c r="F912" s="5">
        <v>-2.1404832333907109E-2</v>
      </c>
      <c r="G912" s="5">
        <v>-5.5686416296509833E-3</v>
      </c>
    </row>
    <row r="913" spans="1:7" x14ac:dyDescent="0.25">
      <c r="A913" s="12">
        <v>45474</v>
      </c>
      <c r="B913" s="13">
        <v>63236.01</v>
      </c>
      <c r="C913" s="13">
        <v>63695</v>
      </c>
      <c r="D913" s="5">
        <v>11.054629196353835</v>
      </c>
      <c r="E913" s="5">
        <v>11.061861345543887</v>
      </c>
      <c r="F913" s="5">
        <v>5.0561958411035945E-2</v>
      </c>
      <c r="G913" s="5">
        <v>4.2835068141929611E-2</v>
      </c>
    </row>
    <row r="914" spans="1:7" x14ac:dyDescent="0.25">
      <c r="A914" s="12">
        <v>45475</v>
      </c>
      <c r="B914" s="13">
        <v>61922.42</v>
      </c>
      <c r="C914" s="13">
        <v>62185</v>
      </c>
      <c r="D914" s="5">
        <v>11.033637590187238</v>
      </c>
      <c r="E914" s="5">
        <v>11.037869092087842</v>
      </c>
      <c r="F914" s="5">
        <v>-2.0991606166596455E-2</v>
      </c>
      <c r="G914" s="5">
        <v>-2.3992253456045276E-2</v>
      </c>
    </row>
    <row r="915" spans="1:7" x14ac:dyDescent="0.25">
      <c r="A915" s="12">
        <v>45476</v>
      </c>
      <c r="B915" s="13">
        <v>59542.7</v>
      </c>
      <c r="C915" s="13">
        <v>59825</v>
      </c>
      <c r="D915" s="5">
        <v>10.994448981207029</v>
      </c>
      <c r="E915" s="5">
        <v>10.999178912776575</v>
      </c>
      <c r="F915" s="5">
        <v>-3.9188608980209594E-2</v>
      </c>
      <c r="G915" s="5">
        <v>-3.8690179311267059E-2</v>
      </c>
    </row>
    <row r="916" spans="1:7" x14ac:dyDescent="0.25">
      <c r="A916" s="12">
        <v>45477</v>
      </c>
      <c r="B916" s="13">
        <v>58329.01</v>
      </c>
      <c r="C916" s="17">
        <v>59825</v>
      </c>
      <c r="D916" s="5">
        <v>10.973854847205228</v>
      </c>
      <c r="E916" s="5">
        <v>10.999178912776575</v>
      </c>
      <c r="F916" s="5">
        <v>-2.0594134001800768E-2</v>
      </c>
      <c r="G916" s="5">
        <v>0</v>
      </c>
    </row>
    <row r="917" spans="1:7" x14ac:dyDescent="0.25">
      <c r="A917" s="12">
        <v>45478</v>
      </c>
      <c r="B917" s="13">
        <v>56354.49</v>
      </c>
      <c r="C917" s="13">
        <v>56685</v>
      </c>
      <c r="D917" s="5">
        <v>10.939417196861474</v>
      </c>
      <c r="E917" s="5">
        <v>10.945264904451699</v>
      </c>
      <c r="F917" s="5">
        <v>-3.4437650343754456E-2</v>
      </c>
      <c r="G917" s="5">
        <v>-5.3914008324875695E-2</v>
      </c>
    </row>
    <row r="918" spans="1:7" x14ac:dyDescent="0.25">
      <c r="A918" s="12">
        <v>45481</v>
      </c>
      <c r="B918" s="13">
        <v>56258.41</v>
      </c>
      <c r="C918" s="13">
        <v>56755</v>
      </c>
      <c r="D918" s="5">
        <v>10.937710820002106</v>
      </c>
      <c r="E918" s="5">
        <v>10.94649903718944</v>
      </c>
      <c r="F918" s="5">
        <v>-1.7063768593672535E-3</v>
      </c>
      <c r="G918" s="5">
        <v>1.2341327377409783E-3</v>
      </c>
    </row>
    <row r="919" spans="1:7" x14ac:dyDescent="0.25">
      <c r="A919" s="12">
        <v>45482</v>
      </c>
      <c r="B919" s="13">
        <v>57928.24</v>
      </c>
      <c r="C919" s="13">
        <v>58160</v>
      </c>
      <c r="D919" s="5">
        <v>10.966960282134234</v>
      </c>
      <c r="E919" s="5">
        <v>10.9709531122074</v>
      </c>
      <c r="F919" s="5">
        <v>2.9249462132128201E-2</v>
      </c>
      <c r="G919" s="5">
        <v>2.4454075017960264E-2</v>
      </c>
    </row>
    <row r="920" spans="1:7" x14ac:dyDescent="0.25">
      <c r="A920" s="12">
        <v>45483</v>
      </c>
      <c r="B920" s="13">
        <v>57404.959999999999</v>
      </c>
      <c r="C920" s="13">
        <v>57625</v>
      </c>
      <c r="D920" s="5">
        <v>10.957885989724256</v>
      </c>
      <c r="E920" s="5">
        <v>10.96171178029895</v>
      </c>
      <c r="F920" s="5">
        <v>-9.0742924099789235E-3</v>
      </c>
      <c r="G920" s="5">
        <v>-9.2413319084503343E-3</v>
      </c>
    </row>
    <row r="921" spans="1:7" x14ac:dyDescent="0.25">
      <c r="A921" s="12">
        <v>45484</v>
      </c>
      <c r="B921" s="13">
        <v>57553.71</v>
      </c>
      <c r="C921" s="13">
        <v>57580</v>
      </c>
      <c r="D921" s="5">
        <v>10.960473877754222</v>
      </c>
      <c r="E921" s="5">
        <v>10.960930564166167</v>
      </c>
      <c r="F921" s="5">
        <v>2.5878880299661233E-3</v>
      </c>
      <c r="G921" s="5">
        <v>-7.8121613278270274E-4</v>
      </c>
    </row>
    <row r="922" spans="1:7" x14ac:dyDescent="0.25">
      <c r="A922" s="12">
        <v>45485</v>
      </c>
      <c r="B922" s="13">
        <v>57558.83</v>
      </c>
      <c r="C922" s="13">
        <v>57845</v>
      </c>
      <c r="D922" s="5">
        <v>10.96056283417901</v>
      </c>
      <c r="E922" s="5">
        <v>10.965522298462989</v>
      </c>
      <c r="F922" s="5">
        <v>8.895642478812249E-5</v>
      </c>
      <c r="G922" s="5">
        <v>4.5917342968220254E-3</v>
      </c>
    </row>
    <row r="923" spans="1:7" x14ac:dyDescent="0.25">
      <c r="A923" s="12">
        <v>45488</v>
      </c>
      <c r="B923" s="13">
        <v>63779.01</v>
      </c>
      <c r="C923" s="13">
        <v>63700</v>
      </c>
      <c r="D923" s="5">
        <v>11.063179418336336</v>
      </c>
      <c r="E923" s="5">
        <v>11.061939841560255</v>
      </c>
      <c r="F923" s="5">
        <v>0.10261658415732633</v>
      </c>
      <c r="G923" s="5">
        <v>9.6417543097265579E-2</v>
      </c>
    </row>
    <row r="924" spans="1:7" x14ac:dyDescent="0.25">
      <c r="A924" s="12">
        <v>45489</v>
      </c>
      <c r="B924" s="13">
        <v>64695.41</v>
      </c>
      <c r="C924" s="13">
        <v>65450</v>
      </c>
      <c r="D924" s="5">
        <v>11.077445535159448</v>
      </c>
      <c r="E924" s="5">
        <v>11.089041771338046</v>
      </c>
      <c r="F924" s="5">
        <v>1.4266116823112185E-2</v>
      </c>
      <c r="G924" s="5">
        <v>2.7101929777790801E-2</v>
      </c>
    </row>
    <row r="925" spans="1:7" x14ac:dyDescent="0.25">
      <c r="A925" s="12">
        <v>45490</v>
      </c>
      <c r="B925" s="13">
        <v>64523.61</v>
      </c>
      <c r="C925" s="13">
        <v>64730</v>
      </c>
      <c r="D925" s="5">
        <v>11.074786482316812</v>
      </c>
      <c r="E925" s="5">
        <v>11.077980051539555</v>
      </c>
      <c r="F925" s="5">
        <v>-2.6590528426364557E-3</v>
      </c>
      <c r="G925" s="5">
        <v>-1.1061719798490799E-2</v>
      </c>
    </row>
    <row r="926" spans="1:7" x14ac:dyDescent="0.25">
      <c r="A926" s="12">
        <v>45491</v>
      </c>
      <c r="B926" s="13">
        <v>63818.99</v>
      </c>
      <c r="C926" s="13">
        <v>63650</v>
      </c>
      <c r="D926" s="5">
        <v>11.063806073947056</v>
      </c>
      <c r="E926" s="5">
        <v>11.061154603985553</v>
      </c>
      <c r="F926" s="5">
        <v>-1.0980408369755779E-2</v>
      </c>
      <c r="G926" s="5">
        <v>-1.6825447554001727E-2</v>
      </c>
    </row>
    <row r="927" spans="1:7" x14ac:dyDescent="0.25">
      <c r="A927" s="12">
        <v>45492</v>
      </c>
      <c r="B927" s="13">
        <v>66985.87</v>
      </c>
      <c r="C927" s="13">
        <v>67480</v>
      </c>
      <c r="D927" s="5">
        <v>11.112236980609127</v>
      </c>
      <c r="E927" s="5">
        <v>11.119586536659904</v>
      </c>
      <c r="F927" s="5">
        <v>4.8430906662071393E-2</v>
      </c>
      <c r="G927" s="5">
        <v>5.8431932674350762E-2</v>
      </c>
    </row>
    <row r="928" spans="1:7" x14ac:dyDescent="0.25">
      <c r="A928" s="12">
        <v>45495</v>
      </c>
      <c r="B928" s="13">
        <v>68147.89</v>
      </c>
      <c r="C928" s="13">
        <v>68340</v>
      </c>
      <c r="D928" s="5">
        <v>11.129435475530187</v>
      </c>
      <c r="E928" s="5">
        <v>11.132250525669283</v>
      </c>
      <c r="F928" s="5">
        <v>1.7198494921059293E-2</v>
      </c>
      <c r="G928" s="5">
        <v>1.2663989009379151E-2</v>
      </c>
    </row>
    <row r="929" spans="1:7" x14ac:dyDescent="0.25">
      <c r="A929" s="12">
        <v>45496</v>
      </c>
      <c r="B929" s="13">
        <v>65854.09</v>
      </c>
      <c r="C929" s="13">
        <v>65565</v>
      </c>
      <c r="D929" s="5">
        <v>11.095196816100637</v>
      </c>
      <c r="E929" s="5">
        <v>11.090797295965524</v>
      </c>
      <c r="F929" s="5">
        <v>-3.4238659429549401E-2</v>
      </c>
      <c r="G929" s="5">
        <v>-4.1453229703758865E-2</v>
      </c>
    </row>
    <row r="930" spans="1:7" x14ac:dyDescent="0.25">
      <c r="A930" s="12">
        <v>45497</v>
      </c>
      <c r="B930" s="13">
        <v>66042.98</v>
      </c>
      <c r="C930" s="13">
        <v>65700</v>
      </c>
      <c r="D930" s="5">
        <v>11.09806102118317</v>
      </c>
      <c r="E930" s="5">
        <v>11.092854204472703</v>
      </c>
      <c r="F930" s="5">
        <v>2.8642050825329335E-3</v>
      </c>
      <c r="G930" s="5">
        <v>2.0569085071784343E-3</v>
      </c>
    </row>
    <row r="931" spans="1:7" x14ac:dyDescent="0.25">
      <c r="A931" s="12">
        <v>45498</v>
      </c>
      <c r="B931" s="13">
        <v>65275.46</v>
      </c>
      <c r="C931" s="13">
        <v>64695</v>
      </c>
      <c r="D931" s="5">
        <v>11.086371440650886</v>
      </c>
      <c r="E931" s="5">
        <v>11.077439197750053</v>
      </c>
      <c r="F931" s="5">
        <v>-1.1689580532284083E-2</v>
      </c>
      <c r="G931" s="5">
        <v>-1.5415006722649949E-2</v>
      </c>
    </row>
    <row r="932" spans="1:7" x14ac:dyDescent="0.25">
      <c r="A932" s="12">
        <v>45499</v>
      </c>
      <c r="B932" s="13">
        <v>67448.639999999999</v>
      </c>
      <c r="C932" s="13">
        <v>67414.789999999994</v>
      </c>
      <c r="D932" s="5">
        <v>11.119121698348858</v>
      </c>
      <c r="E932" s="5">
        <v>11.118619709029577</v>
      </c>
      <c r="F932" s="5">
        <v>3.2750257697971463E-2</v>
      </c>
      <c r="G932" s="5">
        <v>4.1180511279524268E-2</v>
      </c>
    </row>
    <row r="933" spans="1:7" x14ac:dyDescent="0.25">
      <c r="A933" s="12">
        <v>45502</v>
      </c>
      <c r="B933" s="13">
        <v>67367.259999999995</v>
      </c>
      <c r="C933" s="13">
        <v>67860</v>
      </c>
      <c r="D933" s="5">
        <v>11.117914422205846</v>
      </c>
      <c r="E933" s="5">
        <v>11.125202038338221</v>
      </c>
      <c r="F933" s="5">
        <v>-1.2072761430115264E-3</v>
      </c>
      <c r="G933" s="5">
        <v>6.5823293086442192E-3</v>
      </c>
    </row>
    <row r="934" spans="1:7" x14ac:dyDescent="0.25">
      <c r="A934" s="12">
        <v>45503</v>
      </c>
      <c r="B934" s="13">
        <v>66174.570000000007</v>
      </c>
      <c r="C934" s="13">
        <v>66385</v>
      </c>
      <c r="D934" s="5">
        <v>11.100051529152015</v>
      </c>
      <c r="E934" s="5">
        <v>11.103226406330002</v>
      </c>
      <c r="F934" s="5">
        <v>-1.7862893053830931E-2</v>
      </c>
      <c r="G934" s="5">
        <v>-2.1975632008219392E-2</v>
      </c>
    </row>
    <row r="935" spans="1:7" x14ac:dyDescent="0.25">
      <c r="A935" s="12">
        <v>45504</v>
      </c>
      <c r="B935" s="13">
        <v>64559.96</v>
      </c>
      <c r="C935" s="13">
        <v>65685</v>
      </c>
      <c r="D935" s="5">
        <v>11.075349683364951</v>
      </c>
      <c r="E935" s="5">
        <v>11.092625867903608</v>
      </c>
      <c r="F935" s="5">
        <v>-2.4701845787063803E-2</v>
      </c>
      <c r="G935" s="5">
        <v>-1.0600538426393413E-2</v>
      </c>
    </row>
    <row r="936" spans="1:7" x14ac:dyDescent="0.25">
      <c r="A936" s="12">
        <v>45505</v>
      </c>
      <c r="B936" s="13">
        <v>64694.03</v>
      </c>
      <c r="C936" s="13">
        <v>63790</v>
      </c>
      <c r="D936" s="5">
        <v>11.077424204206936</v>
      </c>
      <c r="E936" s="5">
        <v>11.063351717236001</v>
      </c>
      <c r="F936" s="5">
        <v>2.0745208419850059E-3</v>
      </c>
      <c r="G936" s="5">
        <v>-2.9274150667607302E-2</v>
      </c>
    </row>
    <row r="937" spans="1:7" x14ac:dyDescent="0.25">
      <c r="A937" s="12">
        <v>45506</v>
      </c>
      <c r="B937" s="13">
        <v>62551.57</v>
      </c>
      <c r="C937" s="13">
        <v>62945</v>
      </c>
      <c r="D937" s="5">
        <v>11.043746615500124</v>
      </c>
      <c r="E937" s="5">
        <v>11.050016608200359</v>
      </c>
      <c r="F937" s="5">
        <v>-3.3677588706812145E-2</v>
      </c>
      <c r="G937" s="5">
        <v>-1.333510903564239E-2</v>
      </c>
    </row>
    <row r="938" spans="1:7" x14ac:dyDescent="0.25">
      <c r="A938" s="12">
        <v>45509</v>
      </c>
      <c r="B938" s="13">
        <v>54395.26</v>
      </c>
      <c r="C938" s="13">
        <v>53770</v>
      </c>
      <c r="D938" s="5">
        <v>10.904032296694849</v>
      </c>
      <c r="E938" s="5">
        <v>10.892470969803723</v>
      </c>
      <c r="F938" s="5">
        <v>-0.13971431880527518</v>
      </c>
      <c r="G938" s="5">
        <v>-0.15754563839663582</v>
      </c>
    </row>
    <row r="939" spans="1:7" x14ac:dyDescent="0.25">
      <c r="A939" s="12">
        <v>45510</v>
      </c>
      <c r="B939" s="13">
        <v>56571.57</v>
      </c>
      <c r="C939" s="13">
        <v>57145</v>
      </c>
      <c r="D939" s="5">
        <v>10.943261841178179</v>
      </c>
      <c r="E939" s="5">
        <v>10.953347176331699</v>
      </c>
      <c r="F939" s="5">
        <v>3.9229544483330159E-2</v>
      </c>
      <c r="G939" s="5">
        <v>6.087620652797554E-2</v>
      </c>
    </row>
    <row r="940" spans="1:7" x14ac:dyDescent="0.25">
      <c r="A940" s="12">
        <v>45511</v>
      </c>
      <c r="B940" s="13">
        <v>55154.01</v>
      </c>
      <c r="C940" s="13">
        <v>55000</v>
      </c>
      <c r="D940" s="5">
        <v>10.917884732827105</v>
      </c>
      <c r="E940" s="5">
        <v>10.915088464214607</v>
      </c>
      <c r="F940" s="5">
        <v>-2.537710835107454E-2</v>
      </c>
      <c r="G940" s="5">
        <v>-3.825871211709142E-2</v>
      </c>
    </row>
    <row r="941" spans="1:7" x14ac:dyDescent="0.25">
      <c r="A941" s="12">
        <v>45512</v>
      </c>
      <c r="B941" s="13">
        <v>59537.8</v>
      </c>
      <c r="C941" s="13">
        <v>59695</v>
      </c>
      <c r="D941" s="5">
        <v>10.994366683937487</v>
      </c>
      <c r="E941" s="5">
        <v>10.997003543779488</v>
      </c>
      <c r="F941" s="5">
        <v>7.6481951110382695E-2</v>
      </c>
      <c r="G941" s="5">
        <v>8.191507956488131E-2</v>
      </c>
    </row>
    <row r="942" spans="1:7" x14ac:dyDescent="0.25">
      <c r="A942" s="12">
        <v>45513</v>
      </c>
      <c r="B942" s="13">
        <v>60776.95</v>
      </c>
      <c r="C942" s="13">
        <v>60990</v>
      </c>
      <c r="D942" s="5">
        <v>11.01496588423109</v>
      </c>
      <c r="E942" s="5">
        <v>11.018465195290503</v>
      </c>
      <c r="F942" s="5">
        <v>2.0599200293602848E-2</v>
      </c>
      <c r="G942" s="5">
        <v>2.1461651511014423E-2</v>
      </c>
    </row>
    <row r="943" spans="1:7" x14ac:dyDescent="0.25">
      <c r="A943" s="12">
        <v>45516</v>
      </c>
      <c r="B943" s="13">
        <v>58856.37</v>
      </c>
      <c r="C943" s="13">
        <v>59200</v>
      </c>
      <c r="D943" s="5">
        <v>10.982855348122175</v>
      </c>
      <c r="E943" s="5">
        <v>10.988676820872097</v>
      </c>
      <c r="F943" s="5">
        <v>-3.21105361089149E-2</v>
      </c>
      <c r="G943" s="5">
        <v>-2.9788374418405539E-2</v>
      </c>
    </row>
    <row r="944" spans="1:7" x14ac:dyDescent="0.25">
      <c r="A944" s="12">
        <v>45517</v>
      </c>
      <c r="B944" s="13">
        <v>60587.07</v>
      </c>
      <c r="C944" s="13">
        <v>61105</v>
      </c>
      <c r="D944" s="5">
        <v>11.011836782954937</v>
      </c>
      <c r="E944" s="5">
        <v>11.020348974872102</v>
      </c>
      <c r="F944" s="5">
        <v>2.8981434832761721E-2</v>
      </c>
      <c r="G944" s="5">
        <v>3.1672154000004227E-2</v>
      </c>
    </row>
    <row r="945" spans="1:7" x14ac:dyDescent="0.25">
      <c r="A945" s="12">
        <v>45518</v>
      </c>
      <c r="B945" s="13">
        <v>59157.9</v>
      </c>
      <c r="C945" s="13">
        <v>59080</v>
      </c>
      <c r="D945" s="5">
        <v>10.9879654192373</v>
      </c>
      <c r="E945" s="5">
        <v>10.986647736645317</v>
      </c>
      <c r="F945" s="5">
        <v>-2.3871363717637095E-2</v>
      </c>
      <c r="G945" s="5">
        <v>-3.3701238226784724E-2</v>
      </c>
    </row>
    <row r="946" spans="1:7" x14ac:dyDescent="0.25">
      <c r="A946" s="12">
        <v>45519</v>
      </c>
      <c r="B946" s="13">
        <v>56681.01</v>
      </c>
      <c r="C946" s="13">
        <v>57220</v>
      </c>
      <c r="D946" s="5">
        <v>10.94519451298248</v>
      </c>
      <c r="E946" s="5">
        <v>10.954658766604101</v>
      </c>
      <c r="F946" s="5">
        <v>-4.2770906254819607E-2</v>
      </c>
      <c r="G946" s="5">
        <v>-3.1988970041215481E-2</v>
      </c>
    </row>
    <row r="947" spans="1:7" x14ac:dyDescent="0.25">
      <c r="A947" s="12">
        <v>45520</v>
      </c>
      <c r="B947" s="13">
        <v>59299.16</v>
      </c>
      <c r="C947" s="13">
        <v>59990</v>
      </c>
      <c r="D947" s="5">
        <v>10.990350419624106</v>
      </c>
      <c r="E947" s="5">
        <v>11.001933160647139</v>
      </c>
      <c r="F947" s="5">
        <v>4.5155906641625165E-2</v>
      </c>
      <c r="G947" s="5">
        <v>4.7274394043038015E-2</v>
      </c>
    </row>
    <row r="948" spans="1:7" x14ac:dyDescent="0.25">
      <c r="A948" s="12">
        <v>45523</v>
      </c>
      <c r="B948" s="13">
        <v>59103.839999999997</v>
      </c>
      <c r="C948" s="13">
        <v>59200</v>
      </c>
      <c r="D948" s="5">
        <v>10.987051175902719</v>
      </c>
      <c r="E948" s="5">
        <v>10.988676820872097</v>
      </c>
      <c r="F948" s="5">
        <v>-3.2992437213863468E-3</v>
      </c>
      <c r="G948" s="5">
        <v>-1.3256339775042036E-2</v>
      </c>
    </row>
    <row r="949" spans="1:7" x14ac:dyDescent="0.25">
      <c r="A949" s="12">
        <v>45524</v>
      </c>
      <c r="B949" s="13">
        <v>59310.720000000001</v>
      </c>
      <c r="C949" s="13">
        <v>59670</v>
      </c>
      <c r="D949" s="5">
        <v>10.99054534436455</v>
      </c>
      <c r="E949" s="5">
        <v>10.996584660516127</v>
      </c>
      <c r="F949" s="5">
        <v>3.4941684618310376E-3</v>
      </c>
      <c r="G949" s="5">
        <v>7.9078396440301901E-3</v>
      </c>
    </row>
    <row r="950" spans="1:7" x14ac:dyDescent="0.25">
      <c r="A950" s="12">
        <v>45525</v>
      </c>
      <c r="B950" s="13">
        <v>61246.11</v>
      </c>
      <c r="C950" s="13">
        <v>61730</v>
      </c>
      <c r="D950" s="5">
        <v>11.022655616186034</v>
      </c>
      <c r="E950" s="5">
        <v>11.030525315387942</v>
      </c>
      <c r="F950" s="5">
        <v>3.2110271821483849E-2</v>
      </c>
      <c r="G950" s="5">
        <v>3.3940654871814857E-2</v>
      </c>
    </row>
    <row r="951" spans="1:7" x14ac:dyDescent="0.25">
      <c r="A951" s="12">
        <v>45526</v>
      </c>
      <c r="B951" s="13">
        <v>60683.46</v>
      </c>
      <c r="C951" s="13">
        <v>60350</v>
      </c>
      <c r="D951" s="5">
        <v>11.013426452271935</v>
      </c>
      <c r="E951" s="5">
        <v>11.007916226525678</v>
      </c>
      <c r="F951" s="5">
        <v>-9.2291639140995585E-3</v>
      </c>
      <c r="G951" s="5">
        <v>-2.2609088862264315E-2</v>
      </c>
    </row>
    <row r="952" spans="1:7" x14ac:dyDescent="0.25">
      <c r="A952" s="12">
        <v>45527</v>
      </c>
      <c r="B952" s="13">
        <v>63685.64</v>
      </c>
      <c r="C952" s="13">
        <v>63815</v>
      </c>
      <c r="D952" s="5">
        <v>11.061714384435561</v>
      </c>
      <c r="E952" s="5">
        <v>11.063743551416792</v>
      </c>
      <c r="F952" s="5">
        <v>4.8287932163626479E-2</v>
      </c>
      <c r="G952" s="5">
        <v>5.5827324891113861E-2</v>
      </c>
    </row>
    <row r="953" spans="1:7" x14ac:dyDescent="0.25">
      <c r="A953" s="12">
        <v>45530</v>
      </c>
      <c r="B953" s="13">
        <v>63448.51</v>
      </c>
      <c r="C953" s="13">
        <v>63330</v>
      </c>
      <c r="D953" s="5">
        <v>11.057983989809276</v>
      </c>
      <c r="E953" s="5">
        <v>11.056114429510476</v>
      </c>
      <c r="F953" s="5">
        <v>-3.73039462628455E-3</v>
      </c>
      <c r="G953" s="5">
        <v>-7.6291219063158167E-3</v>
      </c>
    </row>
    <row r="954" spans="1:7" x14ac:dyDescent="0.25">
      <c r="A954" s="12">
        <v>45531</v>
      </c>
      <c r="B954" s="13">
        <v>61853.2</v>
      </c>
      <c r="C954" s="13">
        <v>62055</v>
      </c>
      <c r="D954" s="5">
        <v>11.032519114558257</v>
      </c>
      <c r="E954" s="5">
        <v>11.035776367563621</v>
      </c>
      <c r="F954" s="5">
        <v>-2.5464875251019592E-2</v>
      </c>
      <c r="G954" s="5">
        <v>-2.033806194685539E-2</v>
      </c>
    </row>
    <row r="955" spans="1:7" x14ac:dyDescent="0.25">
      <c r="A955" s="12">
        <v>45532</v>
      </c>
      <c r="B955" s="13">
        <v>59347.96</v>
      </c>
      <c r="C955" s="13">
        <v>58950</v>
      </c>
      <c r="D955" s="5">
        <v>10.991173027079759</v>
      </c>
      <c r="E955" s="5">
        <v>10.984444905965518</v>
      </c>
      <c r="F955" s="5">
        <v>-4.1346087478498106E-2</v>
      </c>
      <c r="G955" s="5">
        <v>-5.133146159810309E-2</v>
      </c>
    </row>
    <row r="956" spans="1:7" x14ac:dyDescent="0.25">
      <c r="A956" s="12">
        <v>45533</v>
      </c>
      <c r="B956" s="13">
        <v>59532.78</v>
      </c>
      <c r="C956" s="13">
        <v>59275</v>
      </c>
      <c r="D956" s="5">
        <v>10.994282364200354</v>
      </c>
      <c r="E956" s="5">
        <v>10.989942910933607</v>
      </c>
      <c r="F956" s="5">
        <v>3.1093371205948017E-3</v>
      </c>
      <c r="G956" s="5">
        <v>5.4980049680892762E-3</v>
      </c>
    </row>
    <row r="957" spans="1:7" x14ac:dyDescent="0.25">
      <c r="A957" s="12">
        <v>45534</v>
      </c>
      <c r="B957" s="13">
        <v>59045.4</v>
      </c>
      <c r="C957" s="13">
        <v>59165.64</v>
      </c>
      <c r="D957" s="5">
        <v>10.986061918506465</v>
      </c>
      <c r="E957" s="5">
        <v>10.988096246966272</v>
      </c>
      <c r="F957" s="5">
        <v>-8.2204456938885784E-3</v>
      </c>
      <c r="G957" s="5">
        <v>-1.846663967334905E-3</v>
      </c>
    </row>
    <row r="958" spans="1:7" x14ac:dyDescent="0.25">
      <c r="A958" s="12">
        <v>45537</v>
      </c>
      <c r="B958" s="13">
        <v>59003.519999999997</v>
      </c>
      <c r="C958" s="17">
        <v>59165.64</v>
      </c>
      <c r="D958" s="5">
        <v>10.985352382125157</v>
      </c>
      <c r="E958" s="5">
        <v>10.988096246966272</v>
      </c>
      <c r="F958" s="5">
        <v>-7.0953638130788477E-4</v>
      </c>
      <c r="G958" s="5">
        <v>0</v>
      </c>
    </row>
    <row r="959" spans="1:7" x14ac:dyDescent="0.25">
      <c r="A959" s="12">
        <v>45538</v>
      </c>
      <c r="B959" s="13">
        <v>58213.26</v>
      </c>
      <c r="C959" s="13">
        <v>58240</v>
      </c>
      <c r="D959" s="5">
        <v>10.971868442820611</v>
      </c>
      <c r="E959" s="5">
        <v>10.972327682870567</v>
      </c>
      <c r="F959" s="5">
        <v>-1.3483939304546055E-2</v>
      </c>
      <c r="G959" s="5">
        <v>-1.5768564095704818E-2</v>
      </c>
    </row>
    <row r="960" spans="1:7" x14ac:dyDescent="0.25">
      <c r="A960" s="12">
        <v>45539</v>
      </c>
      <c r="B960" s="13">
        <v>58043.68</v>
      </c>
      <c r="C960" s="13">
        <v>58355</v>
      </c>
      <c r="D960" s="5">
        <v>10.968951109536729</v>
      </c>
      <c r="E960" s="5">
        <v>10.974300323846455</v>
      </c>
      <c r="F960" s="5">
        <v>-2.9173332838823285E-3</v>
      </c>
      <c r="G960" s="5">
        <v>1.972640975887785E-3</v>
      </c>
    </row>
    <row r="961" spans="1:7" x14ac:dyDescent="0.25">
      <c r="A961" s="12">
        <v>45540</v>
      </c>
      <c r="B961" s="13">
        <v>56074.06</v>
      </c>
      <c r="C961" s="13">
        <v>56215</v>
      </c>
      <c r="D961" s="5">
        <v>10.934428595984418</v>
      </c>
      <c r="E961" s="5">
        <v>10.93693890418386</v>
      </c>
      <c r="F961" s="5">
        <v>-3.4522513552310841E-2</v>
      </c>
      <c r="G961" s="5">
        <v>-3.7361419662595097E-2</v>
      </c>
    </row>
    <row r="962" spans="1:7" x14ac:dyDescent="0.25">
      <c r="A962" s="12">
        <v>45541</v>
      </c>
      <c r="B962" s="13">
        <v>52856.51</v>
      </c>
      <c r="C962" s="13">
        <v>53695</v>
      </c>
      <c r="D962" s="5">
        <v>10.875336162520444</v>
      </c>
      <c r="E962" s="5">
        <v>10.891075166292318</v>
      </c>
      <c r="F962" s="5">
        <v>-5.9092433463973748E-2</v>
      </c>
      <c r="G962" s="5">
        <v>-4.58637378915423E-2</v>
      </c>
    </row>
    <row r="963" spans="1:7" x14ac:dyDescent="0.25">
      <c r="A963" s="12">
        <v>45544</v>
      </c>
      <c r="B963" s="13">
        <v>57021.01</v>
      </c>
      <c r="C963" s="13">
        <v>57410</v>
      </c>
      <c r="D963" s="5">
        <v>10.951175075392918</v>
      </c>
      <c r="E963" s="5">
        <v>10.957973783161682</v>
      </c>
      <c r="F963" s="5">
        <v>7.5838912872473685E-2</v>
      </c>
      <c r="G963" s="5">
        <v>6.6898616869364602E-2</v>
      </c>
    </row>
    <row r="964" spans="1:7" x14ac:dyDescent="0.25">
      <c r="A964" s="12">
        <v>45545</v>
      </c>
      <c r="B964" s="13">
        <v>57575.28</v>
      </c>
      <c r="C964" s="13">
        <v>58195</v>
      </c>
      <c r="D964" s="5">
        <v>10.960848587898944</v>
      </c>
      <c r="E964" s="5">
        <v>10.971554719376076</v>
      </c>
      <c r="F964" s="5">
        <v>9.6735125060263272E-3</v>
      </c>
      <c r="G964" s="5">
        <v>1.3580936214394157E-2</v>
      </c>
    </row>
    <row r="965" spans="1:7" x14ac:dyDescent="0.25">
      <c r="A965" s="12">
        <v>45546</v>
      </c>
      <c r="B965" s="13">
        <v>57495.02</v>
      </c>
      <c r="C965" s="13">
        <v>57860</v>
      </c>
      <c r="D965" s="5">
        <v>10.95945361433904</v>
      </c>
      <c r="E965" s="5">
        <v>10.965781578530127</v>
      </c>
      <c r="F965" s="5">
        <v>-1.3949735599041446E-3</v>
      </c>
      <c r="G965" s="5">
        <v>-5.7731408459495981E-3</v>
      </c>
    </row>
    <row r="966" spans="1:7" x14ac:dyDescent="0.25">
      <c r="A966" s="12">
        <v>45547</v>
      </c>
      <c r="B966" s="13">
        <v>58194.64</v>
      </c>
      <c r="C966" s="13">
        <v>58580</v>
      </c>
      <c r="D966" s="5">
        <v>10.971548533258481</v>
      </c>
      <c r="E966" s="5">
        <v>10.978148620381724</v>
      </c>
      <c r="F966" s="5">
        <v>1.2094918919441255E-2</v>
      </c>
      <c r="G966" s="5">
        <v>1.2367041851597094E-2</v>
      </c>
    </row>
    <row r="967" spans="1:7" x14ac:dyDescent="0.25">
      <c r="A967" s="12">
        <v>45548</v>
      </c>
      <c r="B967" s="13">
        <v>59878.39</v>
      </c>
      <c r="C967" s="13">
        <v>59935</v>
      </c>
      <c r="D967" s="5">
        <v>11.000070951064551</v>
      </c>
      <c r="E967" s="5">
        <v>11.001015920641199</v>
      </c>
      <c r="F967" s="5">
        <v>2.8522417806069456E-2</v>
      </c>
      <c r="G967" s="5">
        <v>2.2867300259475698E-2</v>
      </c>
    </row>
    <row r="968" spans="1:7" x14ac:dyDescent="0.25">
      <c r="A968" s="12">
        <v>45551</v>
      </c>
      <c r="B968" s="13">
        <v>57668.86</v>
      </c>
      <c r="C968" s="13">
        <v>57985</v>
      </c>
      <c r="D968" s="5">
        <v>10.962472618770587</v>
      </c>
      <c r="E968" s="5">
        <v>10.967939635390804</v>
      </c>
      <c r="F968" s="5">
        <v>-3.7598332293963921E-2</v>
      </c>
      <c r="G968" s="5">
        <v>-3.3076285250395188E-2</v>
      </c>
    </row>
    <row r="969" spans="1:7" x14ac:dyDescent="0.25">
      <c r="A969" s="12">
        <v>45552</v>
      </c>
      <c r="B969" s="13">
        <v>60137.4</v>
      </c>
      <c r="C969" s="13">
        <v>60105</v>
      </c>
      <c r="D969" s="5">
        <v>11.004387223150372</v>
      </c>
      <c r="E969" s="5">
        <v>11.003848311738354</v>
      </c>
      <c r="F969" s="5">
        <v>4.1914604379785558E-2</v>
      </c>
      <c r="G969" s="5">
        <v>3.5908676347549573E-2</v>
      </c>
    </row>
    <row r="970" spans="1:7" x14ac:dyDescent="0.25">
      <c r="A970" s="12">
        <v>45553</v>
      </c>
      <c r="B970" s="13">
        <v>60232.24</v>
      </c>
      <c r="C970" s="13">
        <v>60140</v>
      </c>
      <c r="D970" s="5">
        <v>11.005963036114927</v>
      </c>
      <c r="E970" s="5">
        <v>11.00443045654252</v>
      </c>
      <c r="F970" s="5">
        <v>1.5758129645551122E-3</v>
      </c>
      <c r="G970" s="5">
        <v>5.8214480416651782E-4</v>
      </c>
    </row>
    <row r="971" spans="1:7" x14ac:dyDescent="0.25">
      <c r="A971" s="12">
        <v>45554</v>
      </c>
      <c r="B971" s="13">
        <v>63042.1</v>
      </c>
      <c r="C971" s="13">
        <v>63415</v>
      </c>
      <c r="D971" s="5">
        <v>11.051558036159664</v>
      </c>
      <c r="E971" s="5">
        <v>11.05745570550153</v>
      </c>
      <c r="F971" s="5">
        <v>4.5595000044736267E-2</v>
      </c>
      <c r="G971" s="5">
        <v>5.302524895900973E-2</v>
      </c>
    </row>
    <row r="972" spans="1:7" x14ac:dyDescent="0.25">
      <c r="A972" s="12">
        <v>45555</v>
      </c>
      <c r="B972" s="13">
        <v>62823.51</v>
      </c>
      <c r="C972" s="13">
        <v>62935</v>
      </c>
      <c r="D972" s="5">
        <v>11.04808464545725</v>
      </c>
      <c r="E972" s="5">
        <v>11.049857726725605</v>
      </c>
      <c r="F972" s="5">
        <v>-3.4733907024140365E-3</v>
      </c>
      <c r="G972" s="5">
        <v>-7.5979787759248296E-3</v>
      </c>
    </row>
    <row r="973" spans="1:7" x14ac:dyDescent="0.25">
      <c r="A973" s="12">
        <v>45558</v>
      </c>
      <c r="B973" s="13">
        <v>63317.34</v>
      </c>
      <c r="C973" s="13">
        <v>63360</v>
      </c>
      <c r="D973" s="5">
        <v>11.055914504268586</v>
      </c>
      <c r="E973" s="5">
        <v>11.056588026488308</v>
      </c>
      <c r="F973" s="5">
        <v>7.8298588113359102E-3</v>
      </c>
      <c r="G973" s="5">
        <v>6.730299762702785E-3</v>
      </c>
    </row>
    <row r="974" spans="1:7" x14ac:dyDescent="0.25">
      <c r="A974" s="12">
        <v>45559</v>
      </c>
      <c r="B974" s="13">
        <v>64227.01</v>
      </c>
      <c r="C974" s="13">
        <v>64460</v>
      </c>
      <c r="D974" s="5">
        <v>11.070179117712579</v>
      </c>
      <c r="E974" s="5">
        <v>11.07380015536943</v>
      </c>
      <c r="F974" s="5">
        <v>1.4264613443993213E-2</v>
      </c>
      <c r="G974" s="5">
        <v>1.7212128881121558E-2</v>
      </c>
    </row>
    <row r="975" spans="1:7" x14ac:dyDescent="0.25">
      <c r="A975" s="12">
        <v>45560</v>
      </c>
      <c r="B975" s="13">
        <v>63488.74</v>
      </c>
      <c r="C975" s="13">
        <v>63200</v>
      </c>
      <c r="D975" s="5">
        <v>11.058617846322585</v>
      </c>
      <c r="E975" s="5">
        <v>11.054059580134949</v>
      </c>
      <c r="F975" s="5">
        <v>-1.1561271389993522E-2</v>
      </c>
      <c r="G975" s="5">
        <v>-1.9740575234481028E-2</v>
      </c>
    </row>
    <row r="976" spans="1:7" x14ac:dyDescent="0.25">
      <c r="A976" s="12">
        <v>45561</v>
      </c>
      <c r="B976" s="13">
        <v>64678.85</v>
      </c>
      <c r="C976" s="13">
        <v>64735</v>
      </c>
      <c r="D976" s="5">
        <v>11.077189533693771</v>
      </c>
      <c r="E976" s="5">
        <v>11.078057292492748</v>
      </c>
      <c r="F976" s="5">
        <v>1.8571687371185419E-2</v>
      </c>
      <c r="G976" s="5">
        <v>2.3997712357799017E-2</v>
      </c>
    </row>
    <row r="977" spans="1:7" x14ac:dyDescent="0.25">
      <c r="A977" s="12">
        <v>45562</v>
      </c>
      <c r="B977" s="13">
        <v>65813.570000000007</v>
      </c>
      <c r="C977" s="13">
        <v>66196.91</v>
      </c>
      <c r="D977" s="5">
        <v>11.094581327053758</v>
      </c>
      <c r="E977" s="5">
        <v>11.100389064098547</v>
      </c>
      <c r="F977" s="5">
        <v>1.7391793359987417E-2</v>
      </c>
      <c r="G977" s="5">
        <v>2.2331771605799133E-2</v>
      </c>
    </row>
    <row r="978" spans="1:7" x14ac:dyDescent="0.25">
      <c r="A978" s="12">
        <v>45565</v>
      </c>
      <c r="B978" s="13">
        <v>63785.09</v>
      </c>
      <c r="C978" s="13">
        <v>63745</v>
      </c>
      <c r="D978" s="5">
        <v>11.06327474296144</v>
      </c>
      <c r="E978" s="5">
        <v>11.062646028572223</v>
      </c>
      <c r="F978" s="5">
        <v>-3.1306584092318346E-2</v>
      </c>
      <c r="G978" s="5">
        <v>-3.7743035526323965E-2</v>
      </c>
    </row>
    <row r="979" spans="1:7" x14ac:dyDescent="0.25">
      <c r="A979" s="12">
        <v>45566</v>
      </c>
      <c r="B979" s="13">
        <v>60786.64</v>
      </c>
      <c r="C979" s="13">
        <v>61965</v>
      </c>
      <c r="D979" s="5">
        <v>11.015125306966477</v>
      </c>
      <c r="E979" s="5">
        <v>11.034324988498975</v>
      </c>
      <c r="F979" s="5">
        <v>-4.8149435994963241E-2</v>
      </c>
      <c r="G979" s="5">
        <v>-2.8321040073247872E-2</v>
      </c>
    </row>
    <row r="980" spans="1:7" x14ac:dyDescent="0.25">
      <c r="A980" s="12">
        <v>45567</v>
      </c>
      <c r="B980" s="13">
        <v>60905.21</v>
      </c>
      <c r="C980" s="13">
        <v>60430</v>
      </c>
      <c r="D980" s="5">
        <v>11.017074000120891</v>
      </c>
      <c r="E980" s="5">
        <v>11.009240949355604</v>
      </c>
      <c r="F980" s="5">
        <v>1.9486931544143715E-3</v>
      </c>
      <c r="G980" s="5">
        <v>-2.5084039143370873E-2</v>
      </c>
    </row>
    <row r="981" spans="1:7" x14ac:dyDescent="0.25">
      <c r="A981" s="12">
        <v>45568</v>
      </c>
      <c r="B981" s="13">
        <v>60776.03</v>
      </c>
      <c r="C981" s="13">
        <v>61295</v>
      </c>
      <c r="D981" s="5">
        <v>11.014950746798837</v>
      </c>
      <c r="E981" s="5">
        <v>11.023453552529094</v>
      </c>
      <c r="F981" s="5">
        <v>-2.1232533220540972E-3</v>
      </c>
      <c r="G981" s="5">
        <v>1.4212603173490379E-2</v>
      </c>
    </row>
    <row r="982" spans="1:7" x14ac:dyDescent="0.25">
      <c r="A982" s="12">
        <v>45569</v>
      </c>
      <c r="B982" s="13">
        <v>62420.23</v>
      </c>
      <c r="C982" s="13">
        <v>62715</v>
      </c>
      <c r="D982" s="5">
        <v>11.04164470053442</v>
      </c>
      <c r="E982" s="5">
        <v>11.046355932458775</v>
      </c>
      <c r="F982" s="5">
        <v>2.6693953735582809E-2</v>
      </c>
      <c r="G982" s="5">
        <v>2.2902379929680805E-2</v>
      </c>
    </row>
    <row r="983" spans="1:7" x14ac:dyDescent="0.25">
      <c r="A983" s="12">
        <v>45572</v>
      </c>
      <c r="B983" s="13">
        <v>63009.26</v>
      </c>
      <c r="C983" s="13">
        <v>63560</v>
      </c>
      <c r="D983" s="5">
        <v>11.051036978699546</v>
      </c>
      <c r="E983" s="5">
        <v>11.059739620650653</v>
      </c>
      <c r="F983" s="5">
        <v>9.3922781651265552E-3</v>
      </c>
      <c r="G983" s="5">
        <v>1.3383688191877852E-2</v>
      </c>
    </row>
    <row r="984" spans="1:7" x14ac:dyDescent="0.25">
      <c r="A984" s="12">
        <v>45573</v>
      </c>
      <c r="B984" s="13">
        <v>62348.77</v>
      </c>
      <c r="C984" s="13">
        <v>62400</v>
      </c>
      <c r="D984" s="5">
        <v>11.040499223567966</v>
      </c>
      <c r="E984" s="5">
        <v>11.041320554357519</v>
      </c>
      <c r="F984" s="5">
        <v>-1.0537755131579729E-2</v>
      </c>
      <c r="G984" s="5">
        <v>-1.8419066293134279E-2</v>
      </c>
    </row>
    <row r="985" spans="1:7" x14ac:dyDescent="0.25">
      <c r="A985" s="12">
        <v>45574</v>
      </c>
      <c r="B985" s="13">
        <v>60393.26</v>
      </c>
      <c r="C985" s="13">
        <v>61115</v>
      </c>
      <c r="D985" s="5">
        <v>11.008632788292372</v>
      </c>
      <c r="E985" s="5">
        <v>11.020512614211363</v>
      </c>
      <c r="F985" s="5">
        <v>-3.1866435275594185E-2</v>
      </c>
      <c r="G985" s="5">
        <v>-2.0807940146156056E-2</v>
      </c>
    </row>
    <row r="986" spans="1:7" x14ac:dyDescent="0.25">
      <c r="A986" s="12">
        <v>45575</v>
      </c>
      <c r="B986" s="13">
        <v>59728.65</v>
      </c>
      <c r="C986" s="13">
        <v>59795</v>
      </c>
      <c r="D986" s="5">
        <v>10.997567083763245</v>
      </c>
      <c r="E986" s="5">
        <v>10.998677324402907</v>
      </c>
      <c r="F986" s="5">
        <v>-1.1065704529126918E-2</v>
      </c>
      <c r="G986" s="5">
        <v>-2.1835289808455727E-2</v>
      </c>
    </row>
    <row r="987" spans="1:7" x14ac:dyDescent="0.25">
      <c r="A987" s="12">
        <v>45576</v>
      </c>
      <c r="B987" s="13">
        <v>63002.15</v>
      </c>
      <c r="C987" s="13">
        <v>63305</v>
      </c>
      <c r="D987" s="5">
        <v>11.050924131775485</v>
      </c>
      <c r="E987" s="5">
        <v>11.055719593954354</v>
      </c>
      <c r="F987" s="5">
        <v>5.3357048012239616E-2</v>
      </c>
      <c r="G987" s="5">
        <v>5.7042269551446978E-2</v>
      </c>
    </row>
    <row r="988" spans="1:7" x14ac:dyDescent="0.25">
      <c r="A988" s="12">
        <v>45579</v>
      </c>
      <c r="B988" s="13">
        <v>65906.289999999994</v>
      </c>
      <c r="C988" s="13">
        <v>66145</v>
      </c>
      <c r="D988" s="5">
        <v>11.095989163583713</v>
      </c>
      <c r="E988" s="5">
        <v>11.09960458089648</v>
      </c>
      <c r="F988" s="5">
        <v>4.5065031808228184E-2</v>
      </c>
      <c r="G988" s="5">
        <v>4.3884986942126503E-2</v>
      </c>
    </row>
    <row r="989" spans="1:7" x14ac:dyDescent="0.25">
      <c r="A989" s="12">
        <v>45580</v>
      </c>
      <c r="B989" s="13">
        <v>66480.39</v>
      </c>
      <c r="C989" s="13">
        <v>67220</v>
      </c>
      <c r="D989" s="5">
        <v>11.104662295938116</v>
      </c>
      <c r="E989" s="5">
        <v>11.115726101279096</v>
      </c>
      <c r="F989" s="5">
        <v>8.6731323544029237E-3</v>
      </c>
      <c r="G989" s="5">
        <v>1.6121520382615273E-2</v>
      </c>
    </row>
    <row r="990" spans="1:7" x14ac:dyDescent="0.25">
      <c r="A990" s="12">
        <v>45581</v>
      </c>
      <c r="B990" s="13">
        <v>67620.070000000007</v>
      </c>
      <c r="C990" s="13">
        <v>67925</v>
      </c>
      <c r="D990" s="5">
        <v>11.121660111458029</v>
      </c>
      <c r="E990" s="5">
        <v>11.126159434294548</v>
      </c>
      <c r="F990" s="5">
        <v>1.6997815519912862E-2</v>
      </c>
      <c r="G990" s="5">
        <v>1.0433333015452462E-2</v>
      </c>
    </row>
    <row r="991" spans="1:7" x14ac:dyDescent="0.25">
      <c r="A991" s="12">
        <v>45582</v>
      </c>
      <c r="B991" s="13">
        <v>66934.03</v>
      </c>
      <c r="C991" s="13">
        <v>66905</v>
      </c>
      <c r="D991" s="5">
        <v>11.111462786443969</v>
      </c>
      <c r="E991" s="5">
        <v>11.111028981739089</v>
      </c>
      <c r="F991" s="5">
        <v>-1.0197325014059899E-2</v>
      </c>
      <c r="G991" s="5">
        <v>-1.5130452555458973E-2</v>
      </c>
    </row>
    <row r="992" spans="1:7" x14ac:dyDescent="0.25">
      <c r="A992" s="12">
        <v>45583</v>
      </c>
      <c r="B992" s="13">
        <v>68419.600000000006</v>
      </c>
      <c r="C992" s="13">
        <v>68785</v>
      </c>
      <c r="D992" s="5">
        <v>11.133414612270718</v>
      </c>
      <c r="E992" s="5">
        <v>11.138740976895097</v>
      </c>
      <c r="F992" s="5">
        <v>2.1951825826748816E-2</v>
      </c>
      <c r="G992" s="5">
        <v>2.7711995156007418E-2</v>
      </c>
    </row>
    <row r="993" spans="1:7" x14ac:dyDescent="0.25">
      <c r="A993" s="12">
        <v>45586</v>
      </c>
      <c r="B993" s="13">
        <v>67721.2</v>
      </c>
      <c r="C993" s="13">
        <v>67790</v>
      </c>
      <c r="D993" s="5">
        <v>11.1231545561137</v>
      </c>
      <c r="E993" s="5">
        <v>11.124169970425012</v>
      </c>
      <c r="F993" s="5">
        <v>-1.0260056157017416E-2</v>
      </c>
      <c r="G993" s="5">
        <v>-1.4571006470085024E-2</v>
      </c>
    </row>
    <row r="994" spans="1:7" x14ac:dyDescent="0.25">
      <c r="A994" s="12">
        <v>45587</v>
      </c>
      <c r="B994" s="13">
        <v>67498.070000000007</v>
      </c>
      <c r="C994" s="13">
        <v>67490</v>
      </c>
      <c r="D994" s="5">
        <v>11.119854283859253</v>
      </c>
      <c r="E994" s="5">
        <v>11.119734717737453</v>
      </c>
      <c r="F994" s="5">
        <v>-3.3002722544477336E-3</v>
      </c>
      <c r="G994" s="5">
        <v>-4.4352526875588438E-3</v>
      </c>
    </row>
    <row r="995" spans="1:7" x14ac:dyDescent="0.25">
      <c r="A995" s="12">
        <v>45588</v>
      </c>
      <c r="B995" s="13">
        <v>66586.37</v>
      </c>
      <c r="C995" s="13">
        <v>66360</v>
      </c>
      <c r="D995" s="5">
        <v>11.106255180929205</v>
      </c>
      <c r="E995" s="5">
        <v>11.102849744304381</v>
      </c>
      <c r="F995" s="5">
        <v>-1.3599102930047735E-2</v>
      </c>
      <c r="G995" s="5">
        <v>-1.6884973433072048E-2</v>
      </c>
    </row>
    <row r="996" spans="1:7" x14ac:dyDescent="0.25">
      <c r="A996" s="12">
        <v>45589</v>
      </c>
      <c r="B996" s="13">
        <v>68149.929999999993</v>
      </c>
      <c r="C996" s="13">
        <v>68215</v>
      </c>
      <c r="D996" s="5">
        <v>11.129465409978149</v>
      </c>
      <c r="E996" s="5">
        <v>11.130419760996974</v>
      </c>
      <c r="F996" s="5">
        <v>2.3210229048943987E-2</v>
      </c>
      <c r="G996" s="5">
        <v>2.7570016692592958E-2</v>
      </c>
    </row>
    <row r="997" spans="1:7" x14ac:dyDescent="0.25">
      <c r="A997" s="12">
        <v>45590</v>
      </c>
      <c r="B997" s="13">
        <v>66768.479999999996</v>
      </c>
      <c r="C997" s="13">
        <v>68430.509999999995</v>
      </c>
      <c r="D997" s="5">
        <v>11.108986391878101</v>
      </c>
      <c r="E997" s="5">
        <v>11.133574056790318</v>
      </c>
      <c r="F997" s="5">
        <v>-2.0479018100047597E-2</v>
      </c>
      <c r="G997" s="5">
        <v>3.1542957933439197E-3</v>
      </c>
    </row>
    <row r="998" spans="1:7" x14ac:dyDescent="0.25">
      <c r="A998" s="12">
        <v>45593</v>
      </c>
      <c r="B998" s="13">
        <v>69610.570000000007</v>
      </c>
      <c r="C998" s="13">
        <v>70300</v>
      </c>
      <c r="D998" s="5">
        <v>11.150671702607854</v>
      </c>
      <c r="E998" s="5">
        <v>11.160527077798756</v>
      </c>
      <c r="F998" s="5">
        <v>4.1685310729752345E-2</v>
      </c>
      <c r="G998" s="5">
        <v>2.6953021008438327E-2</v>
      </c>
    </row>
    <row r="999" spans="1:7" x14ac:dyDescent="0.25">
      <c r="A999" s="12">
        <v>45594</v>
      </c>
      <c r="B999" s="13">
        <v>72310.41</v>
      </c>
      <c r="C999" s="13">
        <v>73340</v>
      </c>
      <c r="D999" s="5">
        <v>11.188723381184731</v>
      </c>
      <c r="E999" s="5">
        <v>11.202861441625316</v>
      </c>
      <c r="F999" s="5">
        <v>3.8051678576877634E-2</v>
      </c>
      <c r="G999" s="5">
        <v>4.2334363826560306E-2</v>
      </c>
    </row>
    <row r="1000" spans="1:7" x14ac:dyDescent="0.25">
      <c r="A1000" s="12">
        <v>45595</v>
      </c>
      <c r="B1000" s="13">
        <v>72834.600000000006</v>
      </c>
      <c r="C1000" s="13">
        <v>72535</v>
      </c>
      <c r="D1000" s="5">
        <v>11.195946396002793</v>
      </c>
      <c r="E1000" s="5">
        <v>11.191824482973002</v>
      </c>
      <c r="F1000" s="5">
        <v>7.2230148180612019E-3</v>
      </c>
      <c r="G1000" s="5">
        <v>-1.10369586523138E-2</v>
      </c>
    </row>
    <row r="1001" spans="1:7" x14ac:dyDescent="0.25">
      <c r="A1001" s="12">
        <v>45596</v>
      </c>
      <c r="B1001" s="13">
        <v>69937.509999999995</v>
      </c>
      <c r="C1001" s="13">
        <v>70465</v>
      </c>
      <c r="D1001" s="5">
        <v>11.155357408039078</v>
      </c>
      <c r="E1001" s="5">
        <v>11.162871411625611</v>
      </c>
      <c r="F1001" s="5">
        <v>-4.0588987963714018E-2</v>
      </c>
      <c r="G1001" s="5">
        <v>-2.8953071347391557E-2</v>
      </c>
    </row>
    <row r="1002" spans="1:7" x14ac:dyDescent="0.25">
      <c r="A1002" s="12">
        <v>45597</v>
      </c>
      <c r="B1002" s="13">
        <v>69195.41</v>
      </c>
      <c r="C1002" s="13">
        <v>69730</v>
      </c>
      <c r="D1002" s="5">
        <v>11.144689809926096</v>
      </c>
      <c r="E1002" s="5">
        <v>11.152385920215057</v>
      </c>
      <c r="F1002" s="5">
        <v>-1.0667598112982901E-2</v>
      </c>
      <c r="G1002" s="5">
        <v>-1.0485491410554104E-2</v>
      </c>
    </row>
    <row r="1003" spans="1:7" x14ac:dyDescent="0.25">
      <c r="A1003" s="12">
        <v>45600</v>
      </c>
      <c r="B1003" s="13">
        <v>67086.009999999995</v>
      </c>
      <c r="C1003" s="13">
        <v>67680</v>
      </c>
      <c r="D1003" s="5">
        <v>11.113730806437809</v>
      </c>
      <c r="E1003" s="5">
        <v>11.122545994280104</v>
      </c>
      <c r="F1003" s="5">
        <v>-3.0959003488286285E-2</v>
      </c>
      <c r="G1003" s="5">
        <v>-2.983992593495266E-2</v>
      </c>
    </row>
    <row r="1004" spans="1:7" x14ac:dyDescent="0.25">
      <c r="A1004" s="12">
        <v>45601</v>
      </c>
      <c r="B1004" s="13">
        <v>69162.789999999994</v>
      </c>
      <c r="C1004" s="13">
        <v>69860</v>
      </c>
      <c r="D1004" s="5">
        <v>11.144218280221251</v>
      </c>
      <c r="E1004" s="5">
        <v>11.154248518360824</v>
      </c>
      <c r="F1004" s="5">
        <v>3.0487473783441743E-2</v>
      </c>
      <c r="G1004" s="5">
        <v>3.1702524080719385E-2</v>
      </c>
    </row>
    <row r="1005" spans="1:7" x14ac:dyDescent="0.25">
      <c r="A1005" s="12">
        <v>45602</v>
      </c>
      <c r="B1005" s="13">
        <v>75959.320000000007</v>
      </c>
      <c r="C1005" s="13">
        <v>76875</v>
      </c>
      <c r="D1005" s="5">
        <v>11.23795321280611</v>
      </c>
      <c r="E1005" s="5">
        <v>11.249936005108818</v>
      </c>
      <c r="F1005" s="5">
        <v>9.3734932584858655E-2</v>
      </c>
      <c r="G1005" s="5">
        <v>9.5687486747994654E-2</v>
      </c>
    </row>
    <row r="1006" spans="1:7" x14ac:dyDescent="0.25">
      <c r="A1006" s="12">
        <v>45603</v>
      </c>
      <c r="B1006" s="13">
        <v>75959.78</v>
      </c>
      <c r="C1006" s="13">
        <v>77180</v>
      </c>
      <c r="D1006" s="5">
        <v>11.237959268660838</v>
      </c>
      <c r="E1006" s="5">
        <v>11.25389563509161</v>
      </c>
      <c r="F1006" s="5">
        <v>6.0558547279043751E-6</v>
      </c>
      <c r="G1006" s="5">
        <v>3.9596299827913128E-3</v>
      </c>
    </row>
    <row r="1007" spans="1:7" x14ac:dyDescent="0.25">
      <c r="A1007" s="12">
        <v>45604</v>
      </c>
      <c r="B1007" s="13">
        <v>76529.919999999998</v>
      </c>
      <c r="C1007" s="13">
        <v>77360</v>
      </c>
      <c r="D1007" s="5">
        <v>11.245437054461725</v>
      </c>
      <c r="E1007" s="5">
        <v>11.256225130127175</v>
      </c>
      <c r="F1007" s="5">
        <v>7.4777858008872045E-3</v>
      </c>
      <c r="G1007" s="5">
        <v>2.3294950355658983E-3</v>
      </c>
    </row>
    <row r="1008" spans="1:7" x14ac:dyDescent="0.25">
      <c r="A1008" s="12">
        <v>45607</v>
      </c>
      <c r="B1008" s="13">
        <v>88014.53</v>
      </c>
      <c r="C1008" s="13">
        <v>87735</v>
      </c>
      <c r="D1008" s="5">
        <v>11.38525719346695</v>
      </c>
      <c r="E1008" s="5">
        <v>11.382076186545236</v>
      </c>
      <c r="F1008" s="5">
        <v>0.13982013900522539</v>
      </c>
      <c r="G1008" s="5">
        <v>0.12585105641806038</v>
      </c>
    </row>
    <row r="1009" spans="1:7" x14ac:dyDescent="0.25">
      <c r="A1009" s="12">
        <v>45608</v>
      </c>
      <c r="B1009" s="13">
        <v>88320.23</v>
      </c>
      <c r="C1009" s="13">
        <v>90090</v>
      </c>
      <c r="D1009" s="5">
        <v>11.388724465674198</v>
      </c>
      <c r="E1009" s="5">
        <v>11.408564449645485</v>
      </c>
      <c r="F1009" s="5">
        <v>3.4672722072475182E-3</v>
      </c>
      <c r="G1009" s="5">
        <v>2.6488263100249654E-2</v>
      </c>
    </row>
    <row r="1010" spans="1:7" x14ac:dyDescent="0.25">
      <c r="A1010" s="12">
        <v>45609</v>
      </c>
      <c r="B1010" s="13">
        <v>88633.919999999998</v>
      </c>
      <c r="C1010" s="13">
        <v>90255</v>
      </c>
      <c r="D1010" s="5">
        <v>11.392269907570807</v>
      </c>
      <c r="E1010" s="5">
        <v>11.410394276322561</v>
      </c>
      <c r="F1010" s="5">
        <v>3.5454418966089918E-3</v>
      </c>
      <c r="G1010" s="5">
        <v>1.8298266770759852E-3</v>
      </c>
    </row>
    <row r="1011" spans="1:7" x14ac:dyDescent="0.25">
      <c r="A1011" s="12">
        <v>45610</v>
      </c>
      <c r="B1011" s="13">
        <v>88213.6</v>
      </c>
      <c r="C1011" s="13">
        <v>87920</v>
      </c>
      <c r="D1011" s="5">
        <v>11.387516425119392</v>
      </c>
      <c r="E1011" s="5">
        <v>11.384182589077502</v>
      </c>
      <c r="F1011" s="5">
        <v>-4.7534824514148255E-3</v>
      </c>
      <c r="G1011" s="5">
        <v>-2.6211687245059068E-2</v>
      </c>
    </row>
    <row r="1012" spans="1:7" x14ac:dyDescent="0.25">
      <c r="A1012" s="12">
        <v>45611</v>
      </c>
      <c r="B1012" s="13">
        <v>91740.37</v>
      </c>
      <c r="C1012" s="13">
        <v>91985</v>
      </c>
      <c r="D1012" s="5">
        <v>11.426717801280157</v>
      </c>
      <c r="E1012" s="5">
        <v>11.429380799259883</v>
      </c>
      <c r="F1012" s="5">
        <v>3.9201376160765022E-2</v>
      </c>
      <c r="G1012" s="5">
        <v>4.5198210182380905E-2</v>
      </c>
    </row>
    <row r="1013" spans="1:7" x14ac:dyDescent="0.25">
      <c r="A1013" s="12">
        <v>45614</v>
      </c>
      <c r="B1013" s="13">
        <v>91370.51</v>
      </c>
      <c r="C1013" s="13">
        <v>92060</v>
      </c>
      <c r="D1013" s="5">
        <v>11.422678057677865</v>
      </c>
      <c r="E1013" s="5">
        <v>11.430195817371233</v>
      </c>
      <c r="F1013" s="5">
        <v>-4.0397436022914235E-3</v>
      </c>
      <c r="G1013" s="5">
        <v>8.1501811134998547E-4</v>
      </c>
    </row>
    <row r="1014" spans="1:7" x14ac:dyDescent="0.25">
      <c r="A1014" s="12">
        <v>45615</v>
      </c>
      <c r="B1014" s="13">
        <v>92306.2</v>
      </c>
      <c r="C1014" s="13">
        <v>93060</v>
      </c>
      <c r="D1014" s="5">
        <v>11.432866590499343</v>
      </c>
      <c r="E1014" s="5">
        <v>11.440999725398639</v>
      </c>
      <c r="F1014" s="5">
        <v>1.0188532821477025E-2</v>
      </c>
      <c r="G1014" s="5">
        <v>1.0803908027405384E-2</v>
      </c>
    </row>
    <row r="1015" spans="1:7" x14ac:dyDescent="0.25">
      <c r="A1015" s="12">
        <v>45616</v>
      </c>
      <c r="B1015" s="13">
        <v>94463.65</v>
      </c>
      <c r="C1015" s="13">
        <v>94740</v>
      </c>
      <c r="D1015" s="5">
        <v>11.45597038339805</v>
      </c>
      <c r="E1015" s="5">
        <v>11.458891576477743</v>
      </c>
      <c r="F1015" s="5">
        <v>2.3103792898707454E-2</v>
      </c>
      <c r="G1015" s="5">
        <v>1.7891851079104626E-2</v>
      </c>
    </row>
    <row r="1016" spans="1:7" x14ac:dyDescent="0.25">
      <c r="A1016" s="12">
        <v>45617</v>
      </c>
      <c r="B1016" s="13">
        <v>98084.99</v>
      </c>
      <c r="C1016" s="13">
        <v>98735</v>
      </c>
      <c r="D1016" s="5">
        <v>11.493589626711092</v>
      </c>
      <c r="E1016" s="5">
        <v>11.50019477249141</v>
      </c>
      <c r="F1016" s="5">
        <v>3.7619243313042006E-2</v>
      </c>
      <c r="G1016" s="5">
        <v>4.1303196013666721E-2</v>
      </c>
    </row>
    <row r="1017" spans="1:7" x14ac:dyDescent="0.25">
      <c r="A1017" s="12">
        <v>45618</v>
      </c>
      <c r="B1017" s="13">
        <v>99420.01</v>
      </c>
      <c r="C1017" s="13">
        <v>99485</v>
      </c>
      <c r="D1017" s="5">
        <v>11.507108680232042</v>
      </c>
      <c r="E1017" s="5">
        <v>11.507762158013348</v>
      </c>
      <c r="F1017" s="5">
        <v>1.3519053520949953E-2</v>
      </c>
      <c r="G1017" s="5">
        <v>7.5673855219378083E-3</v>
      </c>
    </row>
    <row r="1018" spans="1:7" x14ac:dyDescent="0.25">
      <c r="A1018" s="12">
        <v>45621</v>
      </c>
      <c r="B1018" s="13">
        <v>93714.51</v>
      </c>
      <c r="C1018" s="13">
        <v>94945</v>
      </c>
      <c r="D1018" s="5">
        <v>11.448008312160733</v>
      </c>
      <c r="E1018" s="5">
        <v>11.461053055559518</v>
      </c>
      <c r="F1018" s="5">
        <v>-5.9100368071309362E-2</v>
      </c>
      <c r="G1018" s="5">
        <v>-4.6709102453830198E-2</v>
      </c>
    </row>
    <row r="1019" spans="1:7" x14ac:dyDescent="0.25">
      <c r="A1019" s="12">
        <v>45622</v>
      </c>
      <c r="B1019" s="13">
        <v>91651.14</v>
      </c>
      <c r="C1019" s="13">
        <v>90995</v>
      </c>
      <c r="D1019" s="5">
        <v>11.425744691815696</v>
      </c>
      <c r="E1019" s="5">
        <v>11.418559838934508</v>
      </c>
      <c r="F1019" s="5">
        <v>-2.2263620345036372E-2</v>
      </c>
      <c r="G1019" s="5">
        <v>-4.2493216625009822E-2</v>
      </c>
    </row>
    <row r="1020" spans="1:7" x14ac:dyDescent="0.25">
      <c r="A1020" s="12">
        <v>45623</v>
      </c>
      <c r="B1020" s="13">
        <v>96400.51</v>
      </c>
      <c r="C1020" s="13">
        <v>96785</v>
      </c>
      <c r="D1020" s="5">
        <v>11.476266771041074</v>
      </c>
      <c r="E1020" s="5">
        <v>11.480247302579645</v>
      </c>
      <c r="F1020" s="5">
        <v>5.0522079225377325E-2</v>
      </c>
      <c r="G1020" s="5">
        <v>6.1687463645137441E-2</v>
      </c>
    </row>
    <row r="1021" spans="1:7" x14ac:dyDescent="0.25">
      <c r="A1021" s="12">
        <v>45624</v>
      </c>
      <c r="B1021" s="13">
        <v>95132.86</v>
      </c>
      <c r="C1021" s="17">
        <v>96785</v>
      </c>
      <c r="D1021" s="5">
        <v>11.463029719871365</v>
      </c>
      <c r="E1021" s="5">
        <v>11.480247302579645</v>
      </c>
      <c r="F1021" s="5">
        <v>-1.3237051169708636E-2</v>
      </c>
      <c r="G1021" s="5">
        <v>0</v>
      </c>
    </row>
    <row r="1022" spans="1:7" x14ac:dyDescent="0.25">
      <c r="A1022" s="12">
        <v>45625</v>
      </c>
      <c r="B1022" s="13">
        <v>97460.39</v>
      </c>
      <c r="C1022" s="13">
        <v>98339.76</v>
      </c>
      <c r="D1022" s="5">
        <v>11.48720131803119</v>
      </c>
      <c r="E1022" s="5">
        <v>11.496183700450445</v>
      </c>
      <c r="F1022" s="5">
        <v>2.4171598159824725E-2</v>
      </c>
      <c r="G1022" s="5">
        <v>1.5936397870799368E-2</v>
      </c>
    </row>
    <row r="1023" spans="1:7" x14ac:dyDescent="0.25">
      <c r="A1023" s="12">
        <v>45628</v>
      </c>
      <c r="B1023" s="13">
        <v>95419.96</v>
      </c>
      <c r="C1023" s="13">
        <v>96635</v>
      </c>
      <c r="D1023" s="5">
        <v>11.466043059870682</v>
      </c>
      <c r="E1023" s="5">
        <v>11.478696273419569</v>
      </c>
      <c r="F1023" s="5">
        <v>-2.115825816050787E-2</v>
      </c>
      <c r="G1023" s="5">
        <v>-1.748742703087558E-2</v>
      </c>
    </row>
    <row r="1024" spans="1:7" x14ac:dyDescent="0.25">
      <c r="A1024" s="12">
        <v>45629</v>
      </c>
      <c r="B1024" s="13">
        <v>96086.07</v>
      </c>
      <c r="C1024" s="13">
        <v>96535</v>
      </c>
      <c r="D1024" s="5">
        <v>11.472999631277879</v>
      </c>
      <c r="E1024" s="5">
        <v>11.477660915869917</v>
      </c>
      <c r="F1024" s="5">
        <v>6.9565714071977425E-3</v>
      </c>
      <c r="G1024" s="5">
        <v>-1.0353575496520051E-3</v>
      </c>
    </row>
    <row r="1025" spans="1:7" x14ac:dyDescent="0.25">
      <c r="A1025" s="12">
        <v>45630</v>
      </c>
      <c r="B1025" s="13">
        <v>97876.14</v>
      </c>
      <c r="C1025" s="13">
        <v>99915</v>
      </c>
      <c r="D1025" s="5">
        <v>11.491458080734851</v>
      </c>
      <c r="E1025" s="5">
        <v>11.512075103515389</v>
      </c>
      <c r="F1025" s="5">
        <v>1.8458449456971948E-2</v>
      </c>
      <c r="G1025" s="5">
        <v>3.4414187645472438E-2</v>
      </c>
    </row>
    <row r="1026" spans="1:7" x14ac:dyDescent="0.25">
      <c r="A1026" s="12">
        <v>45631</v>
      </c>
      <c r="B1026" s="13">
        <v>99029.87</v>
      </c>
      <c r="C1026" s="13">
        <v>99775</v>
      </c>
      <c r="D1026" s="5">
        <v>11.503176800780972</v>
      </c>
      <c r="E1026" s="5">
        <v>11.510672929916934</v>
      </c>
      <c r="F1026" s="5">
        <v>1.1718720046120623E-2</v>
      </c>
      <c r="G1026" s="5">
        <v>-1.4021735984552919E-3</v>
      </c>
    </row>
    <row r="1027" spans="1:7" x14ac:dyDescent="0.25">
      <c r="A1027" s="12">
        <v>45632</v>
      </c>
      <c r="B1027" s="13">
        <v>100566.11</v>
      </c>
      <c r="C1027" s="13">
        <v>102435</v>
      </c>
      <c r="D1027" s="5">
        <v>11.518570601163756</v>
      </c>
      <c r="E1027" s="5">
        <v>11.5369837300633</v>
      </c>
      <c r="F1027" s="5">
        <v>1.5393800382783596E-2</v>
      </c>
      <c r="G1027" s="5">
        <v>2.6310800146365665E-2</v>
      </c>
    </row>
    <row r="1028" spans="1:7" x14ac:dyDescent="0.25">
      <c r="A1028" s="12">
        <v>45635</v>
      </c>
      <c r="B1028" s="13">
        <v>96935.039999999994</v>
      </c>
      <c r="C1028" s="13">
        <v>96790</v>
      </c>
      <c r="D1028" s="5">
        <v>11.481796342420873</v>
      </c>
      <c r="E1028" s="5">
        <v>11.480298962143134</v>
      </c>
      <c r="F1028" s="5">
        <v>-3.6774258742882537E-2</v>
      </c>
      <c r="G1028" s="5">
        <v>-5.6684767920165413E-2</v>
      </c>
    </row>
    <row r="1029" spans="1:7" x14ac:dyDescent="0.25">
      <c r="A1029" s="12">
        <v>45636</v>
      </c>
      <c r="B1029" s="13">
        <v>96911.360000000001</v>
      </c>
      <c r="C1029" s="13">
        <v>96975</v>
      </c>
      <c r="D1029" s="5">
        <v>11.481552025269584</v>
      </c>
      <c r="E1029" s="5">
        <v>11.482208492308168</v>
      </c>
      <c r="F1029" s="5">
        <v>-2.4431715128869769E-4</v>
      </c>
      <c r="G1029" s="5">
        <v>1.9095301650331464E-3</v>
      </c>
    </row>
    <row r="1030" spans="1:7" x14ac:dyDescent="0.25">
      <c r="A1030" s="12">
        <v>45637</v>
      </c>
      <c r="B1030" s="13">
        <v>101612.51</v>
      </c>
      <c r="C1030" s="13">
        <v>102150</v>
      </c>
      <c r="D1030" s="5">
        <v>11.528921936467912</v>
      </c>
      <c r="E1030" s="5">
        <v>11.534197600245768</v>
      </c>
      <c r="F1030" s="5">
        <v>4.736991119832723E-2</v>
      </c>
      <c r="G1030" s="5">
        <v>5.198910793760092E-2</v>
      </c>
    </row>
    <row r="1031" spans="1:7" x14ac:dyDescent="0.25">
      <c r="A1031" s="12">
        <v>45638</v>
      </c>
      <c r="B1031" s="13">
        <v>99787.04</v>
      </c>
      <c r="C1031" s="13">
        <v>100405</v>
      </c>
      <c r="D1031" s="5">
        <v>11.510793594147612</v>
      </c>
      <c r="E1031" s="5">
        <v>11.516967285796561</v>
      </c>
      <c r="F1031" s="5">
        <v>-1.812834232029914E-2</v>
      </c>
      <c r="G1031" s="5">
        <v>-1.723031444920764E-2</v>
      </c>
    </row>
    <row r="1032" spans="1:7" x14ac:dyDescent="0.25">
      <c r="A1032" s="12">
        <v>45639</v>
      </c>
      <c r="B1032" s="13">
        <v>101342.01</v>
      </c>
      <c r="C1032" s="13">
        <v>102300</v>
      </c>
      <c r="D1032" s="5">
        <v>11.526256313054638</v>
      </c>
      <c r="E1032" s="5">
        <v>11.535664951939717</v>
      </c>
      <c r="F1032" s="5">
        <v>1.5462718907025774E-2</v>
      </c>
      <c r="G1032" s="5">
        <v>1.8697666143156155E-2</v>
      </c>
    </row>
    <row r="1033" spans="1:7" x14ac:dyDescent="0.25">
      <c r="A1033" s="12">
        <v>45642</v>
      </c>
      <c r="B1033" s="13">
        <v>106075.01</v>
      </c>
      <c r="C1033" s="13">
        <v>106560</v>
      </c>
      <c r="D1033" s="5">
        <v>11.571901764343441</v>
      </c>
      <c r="E1033" s="5">
        <v>11.576463485774216</v>
      </c>
      <c r="F1033" s="5">
        <v>4.5645451288802263E-2</v>
      </c>
      <c r="G1033" s="5">
        <v>4.079853383449894E-2</v>
      </c>
    </row>
    <row r="1034" spans="1:7" x14ac:dyDescent="0.25">
      <c r="A1034" s="12">
        <v>45643</v>
      </c>
      <c r="B1034" s="13">
        <v>106407.51</v>
      </c>
      <c r="C1034" s="13">
        <v>107190</v>
      </c>
      <c r="D1034" s="5">
        <v>11.575031436105606</v>
      </c>
      <c r="E1034" s="5">
        <v>11.582358239685565</v>
      </c>
      <c r="F1034" s="5">
        <v>3.1296717621653869E-3</v>
      </c>
      <c r="G1034" s="5">
        <v>5.8947539113489711E-3</v>
      </c>
    </row>
    <row r="1035" spans="1:7" x14ac:dyDescent="0.25">
      <c r="A1035" s="12">
        <v>45644</v>
      </c>
      <c r="B1035" s="13">
        <v>100950.51</v>
      </c>
      <c r="C1035" s="13">
        <v>100870</v>
      </c>
      <c r="D1035" s="5">
        <v>11.522385675734165</v>
      </c>
      <c r="E1035" s="5">
        <v>11.52158783804888</v>
      </c>
      <c r="F1035" s="5">
        <v>-5.2645760371440531E-2</v>
      </c>
      <c r="G1035" s="5">
        <v>-6.0770401636684568E-2</v>
      </c>
    </row>
    <row r="1036" spans="1:7" x14ac:dyDescent="0.25">
      <c r="A1036" s="12">
        <v>45645</v>
      </c>
      <c r="B1036" s="13">
        <v>97327.84</v>
      </c>
      <c r="C1036" s="13">
        <v>96505</v>
      </c>
      <c r="D1036" s="5">
        <v>11.48584035263344</v>
      </c>
      <c r="E1036" s="5">
        <v>11.477350099456308</v>
      </c>
      <c r="F1036" s="5">
        <v>-3.6545323100725113E-2</v>
      </c>
      <c r="G1036" s="5">
        <v>-4.423773859257274E-2</v>
      </c>
    </row>
    <row r="1037" spans="1:7" x14ac:dyDescent="0.25">
      <c r="A1037" s="12">
        <v>45646</v>
      </c>
      <c r="B1037" s="13">
        <v>96557.17</v>
      </c>
      <c r="C1037" s="13">
        <v>96600</v>
      </c>
      <c r="D1037" s="5">
        <v>11.477890547139765</v>
      </c>
      <c r="E1037" s="5">
        <v>11.478334020200609</v>
      </c>
      <c r="F1037" s="5">
        <v>-7.9498054936752993E-3</v>
      </c>
      <c r="G1037" s="5">
        <v>9.8392074430186938E-4</v>
      </c>
    </row>
    <row r="1038" spans="1:7" x14ac:dyDescent="0.25">
      <c r="A1038" s="12">
        <v>45649</v>
      </c>
      <c r="B1038" s="13">
        <v>93847.37</v>
      </c>
      <c r="C1038" s="13">
        <v>93270</v>
      </c>
      <c r="D1038" s="5">
        <v>11.449425018180328</v>
      </c>
      <c r="E1038" s="5">
        <v>11.44325379172091</v>
      </c>
      <c r="F1038" s="5">
        <v>-2.8465528959436881E-2</v>
      </c>
      <c r="G1038" s="5">
        <v>-3.5080228479699826E-2</v>
      </c>
    </row>
    <row r="1039" spans="1:7" x14ac:dyDescent="0.25">
      <c r="A1039" s="12">
        <v>45650</v>
      </c>
      <c r="B1039" s="13">
        <v>98322.95</v>
      </c>
      <c r="C1039" s="13">
        <v>99100</v>
      </c>
      <c r="D1039" s="5">
        <v>11.496012747858151</v>
      </c>
      <c r="E1039" s="5">
        <v>11.50388472031808</v>
      </c>
      <c r="F1039" s="5">
        <v>4.6587729677822765E-2</v>
      </c>
      <c r="G1039" s="5">
        <v>6.0630928597170453E-2</v>
      </c>
    </row>
    <row r="1040" spans="1:7" x14ac:dyDescent="0.25">
      <c r="A1040" s="12">
        <v>45651</v>
      </c>
      <c r="B1040" s="13">
        <v>98428.04</v>
      </c>
      <c r="C1040" s="17">
        <v>99100</v>
      </c>
      <c r="D1040" s="5">
        <v>11.497081001796735</v>
      </c>
      <c r="E1040" s="5">
        <v>11.50388472031808</v>
      </c>
      <c r="F1040" s="5">
        <v>1.0682539385840073E-3</v>
      </c>
      <c r="G1040" s="5">
        <v>0</v>
      </c>
    </row>
    <row r="1041" spans="1:7" x14ac:dyDescent="0.25">
      <c r="A1041" s="12">
        <v>45652</v>
      </c>
      <c r="B1041" s="13">
        <v>95696.78</v>
      </c>
      <c r="C1041" s="13">
        <v>95525</v>
      </c>
      <c r="D1041" s="5">
        <v>11.468939930062021</v>
      </c>
      <c r="E1041" s="5">
        <v>11.4671432723151</v>
      </c>
      <c r="F1041" s="5">
        <v>-2.8141071734713918E-2</v>
      </c>
      <c r="G1041" s="5">
        <v>-3.6741448002979737E-2</v>
      </c>
    </row>
    <row r="1042" spans="1:7" x14ac:dyDescent="0.25">
      <c r="A1042" s="12">
        <v>45653</v>
      </c>
      <c r="B1042" s="13">
        <v>94400.07</v>
      </c>
      <c r="C1042" s="13">
        <v>94568.3</v>
      </c>
      <c r="D1042" s="5">
        <v>11.455297093658741</v>
      </c>
      <c r="E1042" s="5">
        <v>11.457077603745628</v>
      </c>
      <c r="F1042" s="5">
        <v>-1.3642836403279901E-2</v>
      </c>
      <c r="G1042" s="5">
        <v>-1.0065668569472663E-2</v>
      </c>
    </row>
    <row r="1043" spans="1:7" x14ac:dyDescent="0.25">
      <c r="A1043" s="12">
        <v>45656</v>
      </c>
      <c r="B1043" s="13">
        <v>91918.95</v>
      </c>
      <c r="C1043" s="13">
        <v>94955</v>
      </c>
      <c r="D1043" s="5">
        <v>11.428662489480894</v>
      </c>
      <c r="E1043" s="5">
        <v>11.461158374148345</v>
      </c>
      <c r="F1043" s="5">
        <v>-2.663460417784691E-2</v>
      </c>
      <c r="G1043" s="5">
        <v>4.0807704027177039E-3</v>
      </c>
    </row>
    <row r="1044" spans="1:7" x14ac:dyDescent="0.25">
      <c r="A1044" s="12">
        <v>45657</v>
      </c>
      <c r="B1044" s="13">
        <v>93714.04</v>
      </c>
      <c r="C1044" s="13">
        <v>94120</v>
      </c>
      <c r="D1044" s="5">
        <v>11.448003296916255</v>
      </c>
      <c r="E1044" s="5">
        <v>11.452325842841299</v>
      </c>
      <c r="F1044" s="5">
        <v>1.9340807435360929E-2</v>
      </c>
      <c r="G1044" s="5">
        <v>-8.8325313070463096E-3</v>
      </c>
    </row>
    <row r="1045" spans="1:7" x14ac:dyDescent="0.25">
      <c r="A1045" s="12">
        <v>45658</v>
      </c>
      <c r="B1045" s="13">
        <v>94771.56</v>
      </c>
      <c r="C1045" s="17">
        <v>94120</v>
      </c>
      <c r="D1045" s="5">
        <v>11.45922464323411</v>
      </c>
      <c r="E1045" s="5">
        <v>11.452325842841299</v>
      </c>
      <c r="F1045" s="5">
        <v>1.1221346317855208E-2</v>
      </c>
      <c r="G1045" s="5">
        <v>0</v>
      </c>
    </row>
    <row r="1046" spans="1:7" x14ac:dyDescent="0.25">
      <c r="A1046" s="12">
        <v>45659</v>
      </c>
      <c r="B1046" s="13">
        <v>97123.79</v>
      </c>
      <c r="C1046" s="13">
        <v>98190</v>
      </c>
      <c r="D1046" s="5">
        <v>11.483741629419887</v>
      </c>
      <c r="E1046" s="5">
        <v>11.494659656163336</v>
      </c>
      <c r="F1046" s="5">
        <v>2.4516986185776801E-2</v>
      </c>
      <c r="G1046" s="5">
        <v>4.2333813322036562E-2</v>
      </c>
    </row>
    <row r="1047" spans="1:7" x14ac:dyDescent="0.25">
      <c r="A1047" s="12">
        <v>45660</v>
      </c>
      <c r="B1047" s="13">
        <v>98243.4</v>
      </c>
      <c r="C1047" s="13">
        <v>99230</v>
      </c>
      <c r="D1047" s="5">
        <v>11.495203351902608</v>
      </c>
      <c r="E1047" s="5">
        <v>11.505195666908287</v>
      </c>
      <c r="F1047" s="5">
        <v>1.146172248272137E-2</v>
      </c>
      <c r="G1047" s="5">
        <v>1.0536010744951696E-2</v>
      </c>
    </row>
    <row r="1048" spans="1:7" x14ac:dyDescent="0.25">
      <c r="A1048" s="12">
        <v>45663</v>
      </c>
      <c r="B1048" s="13">
        <v>101661.91</v>
      </c>
      <c r="C1048" s="13">
        <v>103150</v>
      </c>
      <c r="D1048" s="5">
        <v>11.529407978941652</v>
      </c>
      <c r="E1048" s="5">
        <v>11.543939518499398</v>
      </c>
      <c r="F1048" s="5">
        <v>3.42046270390437E-2</v>
      </c>
      <c r="G1048" s="5">
        <v>3.8743851591110712E-2</v>
      </c>
    </row>
    <row r="1049" spans="1:7" x14ac:dyDescent="0.25">
      <c r="A1049" s="12">
        <v>45664</v>
      </c>
      <c r="B1049" s="13">
        <v>96478.53</v>
      </c>
      <c r="C1049" s="13">
        <v>96785</v>
      </c>
      <c r="D1049" s="5">
        <v>11.477075775526531</v>
      </c>
      <c r="E1049" s="5">
        <v>11.480247302579645</v>
      </c>
      <c r="F1049" s="5">
        <v>-5.2332203415121015E-2</v>
      </c>
      <c r="G1049" s="5">
        <v>-6.3692215919752826E-2</v>
      </c>
    </row>
    <row r="1050" spans="1:7" x14ac:dyDescent="0.25">
      <c r="A1050" s="12">
        <v>45665</v>
      </c>
      <c r="B1050" s="13">
        <v>94457.9</v>
      </c>
      <c r="C1050" s="13">
        <v>94230</v>
      </c>
      <c r="D1050" s="5">
        <v>11.455909511570544</v>
      </c>
      <c r="E1050" s="5">
        <v>11.453493881200801</v>
      </c>
      <c r="F1050" s="5">
        <v>-2.1166263955986864E-2</v>
      </c>
      <c r="G1050" s="5">
        <v>-2.6753421378844067E-2</v>
      </c>
    </row>
    <row r="1051" spans="1:7" x14ac:dyDescent="0.25">
      <c r="A1051" s="12">
        <v>45666</v>
      </c>
      <c r="B1051" s="13">
        <v>92106.9</v>
      </c>
      <c r="C1051" s="13">
        <v>92140</v>
      </c>
      <c r="D1051" s="5">
        <v>11.430705138003917</v>
      </c>
      <c r="E1051" s="5">
        <v>11.431064438489908</v>
      </c>
      <c r="F1051" s="5">
        <v>-2.520437356662697E-2</v>
      </c>
      <c r="G1051" s="5">
        <v>-2.2429442710892644E-2</v>
      </c>
    </row>
    <row r="1052" spans="1:7" x14ac:dyDescent="0.25">
      <c r="A1052" s="12">
        <v>45667</v>
      </c>
      <c r="B1052" s="13">
        <v>94620.17</v>
      </c>
      <c r="C1052" s="13">
        <v>95210</v>
      </c>
      <c r="D1052" s="5">
        <v>11.457625945843851</v>
      </c>
      <c r="E1052" s="5">
        <v>11.463840257279736</v>
      </c>
      <c r="F1052" s="5">
        <v>2.6920807839934113E-2</v>
      </c>
      <c r="G1052" s="5">
        <v>3.2775818789827937E-2</v>
      </c>
    </row>
    <row r="1053" spans="1:7" x14ac:dyDescent="0.25">
      <c r="A1053" s="12">
        <v>45670</v>
      </c>
      <c r="B1053" s="13">
        <v>94171.43</v>
      </c>
      <c r="C1053" s="13">
        <v>93905</v>
      </c>
      <c r="D1053" s="5">
        <v>11.452872123691989</v>
      </c>
      <c r="E1053" s="5">
        <v>11.450038911915037</v>
      </c>
      <c r="F1053" s="5">
        <v>-4.7538221518621526E-3</v>
      </c>
      <c r="G1053" s="5">
        <v>-1.3801345364699458E-2</v>
      </c>
    </row>
    <row r="1054" spans="1:7" x14ac:dyDescent="0.25">
      <c r="A1054" s="12">
        <v>45671</v>
      </c>
      <c r="B1054" s="13">
        <v>96434.37</v>
      </c>
      <c r="C1054" s="13">
        <v>96905</v>
      </c>
      <c r="D1054" s="5">
        <v>11.47661795232475</v>
      </c>
      <c r="E1054" s="5">
        <v>11.481486396134848</v>
      </c>
      <c r="F1054" s="5">
        <v>2.3745828632760535E-2</v>
      </c>
      <c r="G1054" s="5">
        <v>3.1447484219810917E-2</v>
      </c>
    </row>
    <row r="1055" spans="1:7" x14ac:dyDescent="0.25">
      <c r="A1055" s="12">
        <v>45672</v>
      </c>
      <c r="B1055" s="13">
        <v>99678.9</v>
      </c>
      <c r="C1055" s="13">
        <v>100060</v>
      </c>
      <c r="D1055" s="5">
        <v>11.509709298647389</v>
      </c>
      <c r="E1055" s="5">
        <v>11.513525285042196</v>
      </c>
      <c r="F1055" s="5">
        <v>3.3091346322638771E-2</v>
      </c>
      <c r="G1055" s="5">
        <v>3.203888890734774E-2</v>
      </c>
    </row>
    <row r="1056" spans="1:7" x14ac:dyDescent="0.25">
      <c r="A1056" s="12">
        <v>45673</v>
      </c>
      <c r="B1056" s="13">
        <v>100135.61</v>
      </c>
      <c r="C1056" s="13">
        <v>100700</v>
      </c>
      <c r="D1056" s="5">
        <v>11.514280646297072</v>
      </c>
      <c r="E1056" s="5">
        <v>11.519901078706654</v>
      </c>
      <c r="F1056" s="5">
        <v>4.5713476496835881E-3</v>
      </c>
      <c r="G1056" s="5">
        <v>6.3757936644588398E-3</v>
      </c>
    </row>
    <row r="1057" spans="1:7" x14ac:dyDescent="0.25">
      <c r="A1057" s="12">
        <v>45674</v>
      </c>
      <c r="B1057" s="13">
        <v>104640.01</v>
      </c>
      <c r="C1057" s="13">
        <v>105280</v>
      </c>
      <c r="D1057" s="5">
        <v>11.55828126225677</v>
      </c>
      <c r="E1057" s="5">
        <v>11.564378746559145</v>
      </c>
      <c r="F1057" s="5">
        <v>4.4000615959697953E-2</v>
      </c>
      <c r="G1057" s="5">
        <v>4.4477667852490299E-2</v>
      </c>
    </row>
    <row r="1058" spans="1:7" x14ac:dyDescent="0.25">
      <c r="A1058" s="12">
        <v>45677</v>
      </c>
      <c r="B1058" s="13">
        <v>102494.61</v>
      </c>
      <c r="C1058" s="17">
        <v>105280</v>
      </c>
      <c r="D1058" s="5">
        <v>11.537565490812087</v>
      </c>
      <c r="E1058" s="5">
        <v>11.564378746559145</v>
      </c>
      <c r="F1058" s="5">
        <v>-2.0715771444683284E-2</v>
      </c>
      <c r="G1058" s="5">
        <v>0</v>
      </c>
    </row>
    <row r="1059" spans="1:7" x14ac:dyDescent="0.25">
      <c r="A1059" s="12">
        <v>45678</v>
      </c>
      <c r="B1059" s="13">
        <v>106788.72</v>
      </c>
      <c r="C1059" s="13">
        <v>106400</v>
      </c>
      <c r="D1059" s="5">
        <v>11.578607581952731</v>
      </c>
      <c r="E1059" s="5">
        <v>11.574960855889682</v>
      </c>
      <c r="F1059" s="5">
        <v>4.1042091140644388E-2</v>
      </c>
      <c r="G1059" s="5">
        <v>1.0582109330536937E-2</v>
      </c>
    </row>
    <row r="1060" spans="1:7" x14ac:dyDescent="0.25">
      <c r="A1060" s="12">
        <v>45679</v>
      </c>
      <c r="B1060" s="13">
        <v>104071.31</v>
      </c>
      <c r="C1060" s="13">
        <v>104430</v>
      </c>
      <c r="D1060" s="5">
        <v>11.55283161623405</v>
      </c>
      <c r="E1060" s="5">
        <v>11.556272269473594</v>
      </c>
      <c r="F1060" s="5">
        <v>-2.5775965718681348E-2</v>
      </c>
      <c r="G1060" s="5">
        <v>-1.8688586416088171E-2</v>
      </c>
    </row>
    <row r="1061" spans="1:7" x14ac:dyDescent="0.25">
      <c r="A1061" s="12">
        <v>45680</v>
      </c>
      <c r="B1061" s="13">
        <v>103131.11</v>
      </c>
      <c r="C1061" s="13">
        <v>103415</v>
      </c>
      <c r="D1061" s="5">
        <v>11.543756370366708</v>
      </c>
      <c r="E1061" s="5">
        <v>11.546505298233424</v>
      </c>
      <c r="F1061" s="5">
        <v>-9.0752458673417635E-3</v>
      </c>
      <c r="G1061" s="5">
        <v>-9.7669712401700082E-3</v>
      </c>
    </row>
    <row r="1062" spans="1:7" x14ac:dyDescent="0.25">
      <c r="A1062" s="12">
        <v>45681</v>
      </c>
      <c r="B1062" s="13">
        <v>105111.41</v>
      </c>
      <c r="C1062" s="13">
        <v>105060</v>
      </c>
      <c r="D1062" s="5">
        <v>11.562776114245549</v>
      </c>
      <c r="E1062" s="5">
        <v>11.562286894507952</v>
      </c>
      <c r="F1062" s="5">
        <v>1.9019743878841311E-2</v>
      </c>
      <c r="G1062" s="5">
        <v>1.5781596274528908E-2</v>
      </c>
    </row>
    <row r="1063" spans="1:7" x14ac:dyDescent="0.25">
      <c r="A1063" s="12">
        <v>45684</v>
      </c>
      <c r="B1063" s="13">
        <v>101341.41</v>
      </c>
      <c r="C1063" s="13">
        <v>101495</v>
      </c>
      <c r="D1063" s="5">
        <v>11.526250392491427</v>
      </c>
      <c r="E1063" s="5">
        <v>11.527764815166869</v>
      </c>
      <c r="F1063" s="5">
        <v>-3.6525721754122387E-2</v>
      </c>
      <c r="G1063" s="5">
        <v>-3.4522079341083867E-2</v>
      </c>
    </row>
    <row r="1064" spans="1:7" x14ac:dyDescent="0.25">
      <c r="A1064" s="12">
        <v>45685</v>
      </c>
      <c r="B1064" s="13">
        <v>100287.01</v>
      </c>
      <c r="C1064" s="13">
        <v>101205</v>
      </c>
      <c r="D1064" s="5">
        <v>11.515791454097089</v>
      </c>
      <c r="E1064" s="5">
        <v>11.524903441729636</v>
      </c>
      <c r="F1064" s="5">
        <v>-1.0458938394338091E-2</v>
      </c>
      <c r="G1064" s="5">
        <v>-2.8613734372324728E-3</v>
      </c>
    </row>
    <row r="1065" spans="1:7" x14ac:dyDescent="0.25">
      <c r="A1065" s="12">
        <v>45686</v>
      </c>
      <c r="B1065" s="13">
        <v>103751.41</v>
      </c>
      <c r="C1065" s="13">
        <v>104315</v>
      </c>
      <c r="D1065" s="5">
        <v>11.549753028362042</v>
      </c>
      <c r="E1065" s="5">
        <v>11.555170446563974</v>
      </c>
      <c r="F1065" s="5">
        <v>3.3961574264953498E-2</v>
      </c>
      <c r="G1065" s="5">
        <v>3.0267004834337641E-2</v>
      </c>
    </row>
    <row r="1066" spans="1:7" x14ac:dyDescent="0.25">
      <c r="A1066" s="12">
        <v>45687</v>
      </c>
      <c r="B1066" s="13">
        <v>105059.41</v>
      </c>
      <c r="C1066" s="13">
        <v>104960</v>
      </c>
      <c r="D1066" s="5">
        <v>11.562281278653614</v>
      </c>
      <c r="E1066" s="5">
        <v>11.561334604177915</v>
      </c>
      <c r="F1066" s="5">
        <v>1.2528250291572007E-2</v>
      </c>
      <c r="G1066" s="5">
        <v>6.1641576139415122E-3</v>
      </c>
    </row>
    <row r="1067" spans="1:7" x14ac:dyDescent="0.25">
      <c r="A1067" s="12">
        <v>45688</v>
      </c>
      <c r="B1067" s="13">
        <v>102110.01</v>
      </c>
      <c r="C1067" s="13">
        <v>105260.4</v>
      </c>
      <c r="D1067" s="5">
        <v>11.53380604048318</v>
      </c>
      <c r="E1067" s="5">
        <v>11.564192559014552</v>
      </c>
      <c r="F1067" s="5">
        <v>-2.8475238170434736E-2</v>
      </c>
      <c r="G1067" s="5">
        <v>2.8579548366369778E-3</v>
      </c>
    </row>
    <row r="1068" spans="1:7" x14ac:dyDescent="0.25">
      <c r="A1068" s="12">
        <v>45691</v>
      </c>
      <c r="B1068" s="13">
        <v>101934.81</v>
      </c>
      <c r="C1068" s="13">
        <v>101965</v>
      </c>
      <c r="D1068" s="5">
        <v>11.532088770296603</v>
      </c>
      <c r="E1068" s="5">
        <v>11.532384896126448</v>
      </c>
      <c r="F1068" s="5">
        <v>-1.7172701865764139E-3</v>
      </c>
      <c r="G1068" s="5">
        <v>-3.1807662888104105E-2</v>
      </c>
    </row>
    <row r="1069" spans="1:7" x14ac:dyDescent="0.25">
      <c r="A1069" s="12">
        <v>45692</v>
      </c>
      <c r="B1069" s="13">
        <v>96530.36</v>
      </c>
      <c r="C1069" s="13">
        <v>99185</v>
      </c>
      <c r="D1069" s="5">
        <v>11.477612849246253</v>
      </c>
      <c r="E1069" s="5">
        <v>11.504742072162209</v>
      </c>
      <c r="F1069" s="5">
        <v>-5.4475921050350706E-2</v>
      </c>
      <c r="G1069" s="5">
        <v>-2.7642823964239227E-2</v>
      </c>
    </row>
    <row r="1070" spans="1:7" x14ac:dyDescent="0.25">
      <c r="A1070" s="12">
        <v>45693</v>
      </c>
      <c r="B1070" s="13">
        <v>96935.73</v>
      </c>
      <c r="C1070" s="13">
        <v>97710</v>
      </c>
      <c r="D1070" s="5">
        <v>11.481803460564572</v>
      </c>
      <c r="E1070" s="5">
        <v>11.489759186938389</v>
      </c>
      <c r="F1070" s="5">
        <v>4.1906113183198812E-3</v>
      </c>
      <c r="G1070" s="5">
        <v>-1.4982885223819409E-2</v>
      </c>
    </row>
    <row r="1071" spans="1:7" x14ac:dyDescent="0.25">
      <c r="A1071" s="12">
        <v>45694</v>
      </c>
      <c r="B1071" s="13">
        <v>96811.79</v>
      </c>
      <c r="C1071" s="13">
        <v>97285</v>
      </c>
      <c r="D1071" s="5">
        <v>11.480524063368614</v>
      </c>
      <c r="E1071" s="5">
        <v>11.485400093905476</v>
      </c>
      <c r="F1071" s="5">
        <v>-1.279397195958154E-3</v>
      </c>
      <c r="G1071" s="5">
        <v>-4.3590930329138189E-3</v>
      </c>
    </row>
    <row r="1072" spans="1:7" x14ac:dyDescent="0.25">
      <c r="A1072" s="12">
        <v>45695</v>
      </c>
      <c r="B1072" s="13">
        <v>96019.98</v>
      </c>
      <c r="C1072" s="13">
        <v>95990</v>
      </c>
      <c r="D1072" s="5">
        <v>11.47231157379497</v>
      </c>
      <c r="E1072" s="5">
        <v>11.471999298357582</v>
      </c>
      <c r="F1072" s="5">
        <v>-8.2124895736441772E-3</v>
      </c>
      <c r="G1072" s="5">
        <v>-1.3400795547893196E-2</v>
      </c>
    </row>
    <row r="1073" spans="1:7" x14ac:dyDescent="0.25">
      <c r="A1073" s="12">
        <v>45698</v>
      </c>
      <c r="B1073" s="13">
        <v>97402.99</v>
      </c>
      <c r="C1073" s="13">
        <v>97680</v>
      </c>
      <c r="D1073" s="5">
        <v>11.486612187311399</v>
      </c>
      <c r="E1073" s="5">
        <v>11.489452108784587</v>
      </c>
      <c r="F1073" s="5">
        <v>1.4300613516429195E-2</v>
      </c>
      <c r="G1073" s="5">
        <v>1.7452810427004195E-2</v>
      </c>
    </row>
    <row r="1074" spans="1:7" x14ac:dyDescent="0.25">
      <c r="A1074" s="12">
        <v>45699</v>
      </c>
      <c r="B1074" s="13">
        <v>96376.21</v>
      </c>
      <c r="C1074" s="13">
        <v>95425</v>
      </c>
      <c r="D1074" s="5">
        <v>11.476014665910032</v>
      </c>
      <c r="E1074" s="5">
        <v>11.46609587761343</v>
      </c>
      <c r="F1074" s="5">
        <v>-1.059752140136716E-2</v>
      </c>
      <c r="G1074" s="5">
        <v>-2.3356231171156594E-2</v>
      </c>
    </row>
    <row r="1075" spans="1:7" x14ac:dyDescent="0.25">
      <c r="A1075" s="12">
        <v>45700</v>
      </c>
      <c r="B1075" s="13">
        <v>97663.11</v>
      </c>
      <c r="C1075" s="13">
        <v>97395</v>
      </c>
      <c r="D1075" s="5">
        <v>11.489279182285749</v>
      </c>
      <c r="E1075" s="5">
        <v>11.486530153610698</v>
      </c>
      <c r="F1075" s="5">
        <v>1.3264516375716795E-2</v>
      </c>
      <c r="G1075" s="5">
        <v>2.0434275997267548E-2</v>
      </c>
    </row>
    <row r="1076" spans="1:7" x14ac:dyDescent="0.25">
      <c r="A1076" s="12">
        <v>45701</v>
      </c>
      <c r="B1076" s="13">
        <v>96491.67</v>
      </c>
      <c r="C1076" s="13">
        <v>96510</v>
      </c>
      <c r="D1076" s="5">
        <v>11.477211962357661</v>
      </c>
      <c r="E1076" s="5">
        <v>11.477401908901182</v>
      </c>
      <c r="F1076" s="5">
        <v>-1.2067219928088235E-2</v>
      </c>
      <c r="G1076" s="5">
        <v>-9.1282447095153429E-3</v>
      </c>
    </row>
    <row r="1077" spans="1:7" x14ac:dyDescent="0.25">
      <c r="A1077" s="12">
        <v>45702</v>
      </c>
      <c r="B1077" s="13">
        <v>97503.15</v>
      </c>
      <c r="C1077" s="13">
        <v>97555</v>
      </c>
      <c r="D1077" s="5">
        <v>11.487639964156363</v>
      </c>
      <c r="E1077" s="5">
        <v>11.488171600504</v>
      </c>
      <c r="F1077" s="5">
        <v>1.0428001798702624E-2</v>
      </c>
      <c r="G1077" s="5">
        <v>1.0769691602817488E-2</v>
      </c>
    </row>
    <row r="1078" spans="1:7" x14ac:dyDescent="0.25">
      <c r="A1078" s="12">
        <v>45705</v>
      </c>
      <c r="B1078" s="13">
        <v>96417.79</v>
      </c>
      <c r="C1078" s="17">
        <v>97555</v>
      </c>
      <c r="D1078" s="5">
        <v>11.476446007141032</v>
      </c>
      <c r="E1078" s="5">
        <v>11.488171600504</v>
      </c>
      <c r="F1078" s="5">
        <v>-1.1193957015331435E-2</v>
      </c>
      <c r="G1078" s="5">
        <v>0</v>
      </c>
    </row>
    <row r="1079" spans="1:7" x14ac:dyDescent="0.25">
      <c r="A1079" s="12">
        <v>45706</v>
      </c>
      <c r="B1079" s="13">
        <v>95008.45</v>
      </c>
      <c r="C1079" s="13">
        <v>94055</v>
      </c>
      <c r="D1079" s="5">
        <v>11.461721113995516</v>
      </c>
      <c r="E1079" s="5">
        <v>11.451634996527121</v>
      </c>
      <c r="F1079" s="5">
        <v>-1.4724893145515949E-2</v>
      </c>
      <c r="G1079" s="5">
        <v>-3.6536603976879078E-2</v>
      </c>
    </row>
    <row r="1080" spans="1:7" x14ac:dyDescent="0.25">
      <c r="A1080" s="12">
        <v>45707</v>
      </c>
      <c r="B1080" s="13">
        <v>96315.42</v>
      </c>
      <c r="C1080" s="13">
        <v>96305</v>
      </c>
      <c r="D1080" s="5">
        <v>11.475383709578232</v>
      </c>
      <c r="E1080" s="5">
        <v>11.475275517518323</v>
      </c>
      <c r="F1080" s="5">
        <v>1.3662595582715653E-2</v>
      </c>
      <c r="G1080" s="5">
        <v>2.3640520991202507E-2</v>
      </c>
    </row>
    <row r="1081" spans="1:7" x14ac:dyDescent="0.25">
      <c r="A1081" s="12">
        <v>45708</v>
      </c>
      <c r="B1081" s="13">
        <v>98131.18</v>
      </c>
      <c r="C1081" s="13">
        <v>98705</v>
      </c>
      <c r="D1081" s="5">
        <v>11.494060433993216</v>
      </c>
      <c r="E1081" s="5">
        <v>11.499890882699768</v>
      </c>
      <c r="F1081" s="5">
        <v>1.8676724414984136E-2</v>
      </c>
      <c r="G1081" s="5">
        <v>2.4615365181444915E-2</v>
      </c>
    </row>
    <row r="1082" spans="1:7" x14ac:dyDescent="0.25">
      <c r="A1082" s="12">
        <v>45709</v>
      </c>
      <c r="B1082" s="13">
        <v>95325.37</v>
      </c>
      <c r="C1082" s="13">
        <v>94675</v>
      </c>
      <c r="D1082" s="5">
        <v>11.465051266176401</v>
      </c>
      <c r="E1082" s="5">
        <v>11.458205252769996</v>
      </c>
      <c r="F1082" s="5">
        <v>-2.9009167816814951E-2</v>
      </c>
      <c r="G1082" s="5">
        <v>-4.168562992977165E-2</v>
      </c>
    </row>
    <row r="1083" spans="1:7" x14ac:dyDescent="0.25">
      <c r="A1083" s="12">
        <v>45712</v>
      </c>
      <c r="B1083" s="13">
        <v>93957.79</v>
      </c>
      <c r="C1083" s="13">
        <v>93990</v>
      </c>
      <c r="D1083" s="5">
        <v>11.450600917849151</v>
      </c>
      <c r="E1083" s="5">
        <v>11.450943672614347</v>
      </c>
      <c r="F1083" s="5">
        <v>-1.4450348327249785E-2</v>
      </c>
      <c r="G1083" s="5">
        <v>-7.261580155649483E-3</v>
      </c>
    </row>
    <row r="1084" spans="1:7" x14ac:dyDescent="0.25">
      <c r="A1084" s="12">
        <v>45713</v>
      </c>
      <c r="B1084" s="13">
        <v>88701.92</v>
      </c>
      <c r="C1084" s="13">
        <v>87945</v>
      </c>
      <c r="D1084" s="5">
        <v>11.393036814061144</v>
      </c>
      <c r="E1084" s="5">
        <v>11.384466898066425</v>
      </c>
      <c r="F1084" s="5">
        <v>-5.7564103788006804E-2</v>
      </c>
      <c r="G1084" s="5">
        <v>-6.6476774547922446E-2</v>
      </c>
    </row>
    <row r="1085" spans="1:7" x14ac:dyDescent="0.25">
      <c r="A1085" s="12">
        <v>45714</v>
      </c>
      <c r="B1085" s="13">
        <v>84470.18</v>
      </c>
      <c r="C1085" s="13">
        <v>84285</v>
      </c>
      <c r="D1085" s="5">
        <v>11.344153851653331</v>
      </c>
      <c r="E1085" s="5">
        <v>11.341959192214409</v>
      </c>
      <c r="F1085" s="5">
        <v>-4.8882962407812869E-2</v>
      </c>
      <c r="G1085" s="5">
        <v>-4.2507705852015576E-2</v>
      </c>
    </row>
    <row r="1086" spans="1:7" x14ac:dyDescent="0.25">
      <c r="A1086" s="12">
        <v>45715</v>
      </c>
      <c r="B1086" s="13">
        <v>84285.18</v>
      </c>
      <c r="C1086" s="13">
        <v>83375</v>
      </c>
      <c r="D1086" s="5">
        <v>11.341961327823446</v>
      </c>
      <c r="E1086" s="5">
        <v>11.331103783217925</v>
      </c>
      <c r="F1086" s="5">
        <v>-2.1925238298852179E-3</v>
      </c>
      <c r="G1086" s="5">
        <v>-1.0855408996484073E-2</v>
      </c>
    </row>
    <row r="1087" spans="1:7" x14ac:dyDescent="0.25">
      <c r="A1087" s="12">
        <v>45716</v>
      </c>
      <c r="B1087" s="13">
        <v>84212.07</v>
      </c>
      <c r="C1087" s="13">
        <v>83592.75</v>
      </c>
      <c r="D1087" s="5">
        <v>11.341093539125554</v>
      </c>
      <c r="E1087" s="5">
        <v>11.333712072824142</v>
      </c>
      <c r="F1087" s="5">
        <v>-8.6778869789227997E-4</v>
      </c>
      <c r="G1087" s="5">
        <v>2.6082896062167293E-3</v>
      </c>
    </row>
    <row r="1088" spans="1:7" x14ac:dyDescent="0.25">
      <c r="A1088" s="12">
        <v>45719</v>
      </c>
      <c r="B1088" s="13">
        <v>85314.51</v>
      </c>
      <c r="C1088" s="13">
        <v>86315</v>
      </c>
      <c r="D1088" s="5">
        <v>11.354099824523434</v>
      </c>
      <c r="E1088" s="5">
        <v>11.36575867425065</v>
      </c>
      <c r="F1088" s="5">
        <v>1.3006285397880291E-2</v>
      </c>
      <c r="G1088" s="5">
        <v>3.2046601426507948E-2</v>
      </c>
    </row>
    <row r="1089" spans="1:7" x14ac:dyDescent="0.25">
      <c r="A1089" s="12">
        <v>45720</v>
      </c>
      <c r="B1089" s="13">
        <v>87499.37</v>
      </c>
      <c r="C1089" s="13">
        <v>87330</v>
      </c>
      <c r="D1089" s="5">
        <v>11.379386872319786</v>
      </c>
      <c r="E1089" s="5">
        <v>11.377449325407779</v>
      </c>
      <c r="F1089" s="5">
        <v>2.5287047796352269E-2</v>
      </c>
      <c r="G1089" s="5">
        <v>1.169065115712975E-2</v>
      </c>
    </row>
    <row r="1090" spans="1:7" x14ac:dyDescent="0.25">
      <c r="A1090" s="12">
        <v>45721</v>
      </c>
      <c r="B1090" s="13">
        <v>90375.01</v>
      </c>
      <c r="C1090" s="13">
        <v>90935</v>
      </c>
      <c r="D1090" s="5">
        <v>11.41172307011113</v>
      </c>
      <c r="E1090" s="5">
        <v>11.417900244561118</v>
      </c>
      <c r="F1090" s="5">
        <v>3.2336197791343224E-2</v>
      </c>
      <c r="G1090" s="5">
        <v>4.0450919153338205E-2</v>
      </c>
    </row>
    <row r="1091" spans="1:7" x14ac:dyDescent="0.25">
      <c r="A1091" s="12">
        <v>45722</v>
      </c>
      <c r="B1091" s="13">
        <v>89842.68</v>
      </c>
      <c r="C1091" s="13">
        <v>89460</v>
      </c>
      <c r="D1091" s="5">
        <v>11.405815419777724</v>
      </c>
      <c r="E1091" s="5">
        <v>11.401546876986838</v>
      </c>
      <c r="F1091" s="5">
        <v>-5.9076503334054564E-3</v>
      </c>
      <c r="G1091" s="5">
        <v>-1.6353367574279076E-2</v>
      </c>
    </row>
    <row r="1092" spans="1:7" x14ac:dyDescent="0.25">
      <c r="A1092" s="12">
        <v>45723</v>
      </c>
      <c r="B1092" s="13">
        <v>86282.15</v>
      </c>
      <c r="C1092" s="13">
        <v>87250</v>
      </c>
      <c r="D1092" s="5">
        <v>11.365378019061422</v>
      </c>
      <c r="E1092" s="5">
        <v>11.376532840064673</v>
      </c>
      <c r="F1092" s="5">
        <v>-4.0437400716301752E-2</v>
      </c>
      <c r="G1092" s="5">
        <v>-2.5014036922165417E-2</v>
      </c>
    </row>
    <row r="1093" spans="1:7" x14ac:dyDescent="0.25">
      <c r="A1093" s="12">
        <v>45726</v>
      </c>
      <c r="B1093" s="13">
        <v>79272.09</v>
      </c>
      <c r="C1093" s="13">
        <v>79025</v>
      </c>
      <c r="D1093" s="5">
        <v>11.280641391069608</v>
      </c>
      <c r="E1093" s="5">
        <v>11.277519537083819</v>
      </c>
      <c r="F1093" s="5">
        <v>-8.4736627991814473E-2</v>
      </c>
      <c r="G1093" s="5">
        <v>-9.9013302980853979E-2</v>
      </c>
    </row>
    <row r="1094" spans="1:7" x14ac:dyDescent="0.25">
      <c r="A1094" s="12">
        <v>45727</v>
      </c>
      <c r="B1094" s="13">
        <v>82785.570000000007</v>
      </c>
      <c r="C1094" s="13">
        <v>83395</v>
      </c>
      <c r="D1094" s="5">
        <v>11.324009049823317</v>
      </c>
      <c r="E1094" s="5">
        <v>11.331343634511274</v>
      </c>
      <c r="F1094" s="5">
        <v>4.3367658753709293E-2</v>
      </c>
      <c r="G1094" s="5">
        <v>5.3824097427455087E-2</v>
      </c>
    </row>
    <row r="1095" spans="1:7" x14ac:dyDescent="0.25">
      <c r="A1095" s="12">
        <v>45728</v>
      </c>
      <c r="B1095" s="13">
        <v>83107.009999999995</v>
      </c>
      <c r="C1095" s="13">
        <v>83155</v>
      </c>
      <c r="D1095" s="5">
        <v>11.327884333483109</v>
      </c>
      <c r="E1095" s="5">
        <v>11.32846161510424</v>
      </c>
      <c r="F1095" s="5">
        <v>3.8752836597915064E-3</v>
      </c>
      <c r="G1095" s="5">
        <v>-2.882019407033809E-3</v>
      </c>
    </row>
    <row r="1096" spans="1:7" x14ac:dyDescent="0.25">
      <c r="A1096" s="12">
        <v>45729</v>
      </c>
      <c r="B1096" s="13">
        <v>80323.17</v>
      </c>
      <c r="C1096" s="13">
        <v>80245</v>
      </c>
      <c r="D1096" s="5">
        <v>11.293813401278223</v>
      </c>
      <c r="E1096" s="5">
        <v>11.292839733755256</v>
      </c>
      <c r="F1096" s="5">
        <v>-3.4070932204885551E-2</v>
      </c>
      <c r="G1096" s="5">
        <v>-3.5621881348983919E-2</v>
      </c>
    </row>
    <row r="1097" spans="1:7" x14ac:dyDescent="0.25">
      <c r="A1097" s="12">
        <v>45730</v>
      </c>
      <c r="B1097" s="13">
        <v>84154.04</v>
      </c>
      <c r="C1097" s="13">
        <v>84840</v>
      </c>
      <c r="D1097" s="5">
        <v>11.340404207973366</v>
      </c>
      <c r="E1097" s="5">
        <v>11.348522408678619</v>
      </c>
      <c r="F1097" s="5">
        <v>4.6590806695142817E-2</v>
      </c>
      <c r="G1097" s="5">
        <v>5.5682674923362541E-2</v>
      </c>
    </row>
    <row r="1098" spans="1:7" x14ac:dyDescent="0.25">
      <c r="A1098" s="12">
        <v>45733</v>
      </c>
      <c r="B1098" s="13">
        <v>83958.01</v>
      </c>
      <c r="C1098" s="13">
        <v>84610</v>
      </c>
      <c r="D1098" s="5">
        <v>11.338072071890934</v>
      </c>
      <c r="E1098" s="5">
        <v>11.345807741918547</v>
      </c>
      <c r="F1098" s="5">
        <v>-2.3321360824315462E-3</v>
      </c>
      <c r="G1098" s="5">
        <v>-2.7146667600721486E-3</v>
      </c>
    </row>
    <row r="1099" spans="1:7" x14ac:dyDescent="0.25">
      <c r="A1099" s="12">
        <v>45734</v>
      </c>
      <c r="B1099" s="13">
        <v>82031.45</v>
      </c>
      <c r="C1099" s="13">
        <v>82230</v>
      </c>
      <c r="D1099" s="5">
        <v>11.3148579893004</v>
      </c>
      <c r="E1099" s="5">
        <v>11.317275477964941</v>
      </c>
      <c r="F1099" s="5">
        <v>-2.3214082590534701E-2</v>
      </c>
      <c r="G1099" s="5">
        <v>-2.8532263953605863E-2</v>
      </c>
    </row>
    <row r="1100" spans="1:7" x14ac:dyDescent="0.25">
      <c r="A1100" s="12">
        <v>45735</v>
      </c>
      <c r="B1100" s="13">
        <v>85377.85</v>
      </c>
      <c r="C1100" s="13">
        <v>85635</v>
      </c>
      <c r="D1100" s="5">
        <v>11.354841978453548</v>
      </c>
      <c r="E1100" s="5">
        <v>11.357849357066469</v>
      </c>
      <c r="F1100" s="5">
        <v>3.9983989153148158E-2</v>
      </c>
      <c r="G1100" s="5">
        <v>4.0573879101527766E-2</v>
      </c>
    </row>
    <row r="1101" spans="1:7" x14ac:dyDescent="0.25">
      <c r="A1101" s="12">
        <v>45736</v>
      </c>
      <c r="B1101" s="13">
        <v>84504.07</v>
      </c>
      <c r="C1101" s="13">
        <v>84195</v>
      </c>
      <c r="D1101" s="5">
        <v>11.34455497786581</v>
      </c>
      <c r="E1101" s="5">
        <v>11.340890816044409</v>
      </c>
      <c r="F1101" s="5">
        <v>-1.0287000587737793E-2</v>
      </c>
      <c r="G1101" s="5">
        <v>-1.6958541022059848E-2</v>
      </c>
    </row>
    <row r="1102" spans="1:7" x14ac:dyDescent="0.25">
      <c r="A1102" s="12">
        <v>45737</v>
      </c>
      <c r="B1102" s="13">
        <v>84183.37</v>
      </c>
      <c r="C1102" s="13">
        <v>83955</v>
      </c>
      <c r="D1102" s="5">
        <v>11.340752674785309</v>
      </c>
      <c r="E1102" s="5">
        <v>11.338036219993569</v>
      </c>
      <c r="F1102" s="5">
        <v>-3.8023030805014457E-3</v>
      </c>
      <c r="G1102" s="5">
        <v>-2.8545960508399304E-3</v>
      </c>
    </row>
    <row r="1103" spans="1:7" x14ac:dyDescent="0.25">
      <c r="A1103" s="12">
        <v>45740</v>
      </c>
      <c r="B1103" s="13">
        <v>87879.82</v>
      </c>
      <c r="C1103" s="13">
        <v>88415</v>
      </c>
      <c r="D1103" s="5">
        <v>11.383725478248838</v>
      </c>
      <c r="E1103" s="5">
        <v>11.389796917489077</v>
      </c>
      <c r="F1103" s="5">
        <v>4.2972803463529274E-2</v>
      </c>
      <c r="G1103" s="5">
        <v>5.1760697495508268E-2</v>
      </c>
    </row>
    <row r="1104" spans="1:7" x14ac:dyDescent="0.25">
      <c r="A1104" s="12">
        <v>45741</v>
      </c>
      <c r="B1104" s="13">
        <v>87897.82</v>
      </c>
      <c r="C1104" s="13">
        <v>88155</v>
      </c>
      <c r="D1104" s="5">
        <v>11.383930282455596</v>
      </c>
      <c r="E1104" s="5">
        <v>11.38685190771486</v>
      </c>
      <c r="F1104" s="5">
        <v>2.0480420675816902E-4</v>
      </c>
      <c r="G1104" s="5">
        <v>-2.9450097742174108E-3</v>
      </c>
    </row>
    <row r="1105" spans="1:7" x14ac:dyDescent="0.25">
      <c r="A1105" s="12">
        <v>45742</v>
      </c>
      <c r="B1105" s="13">
        <v>87286.31</v>
      </c>
      <c r="C1105" s="13">
        <v>86525</v>
      </c>
      <c r="D1105" s="5">
        <v>11.376948913952381</v>
      </c>
      <c r="E1105" s="5">
        <v>11.368188668503546</v>
      </c>
      <c r="F1105" s="5">
        <v>-6.9813685032151795E-3</v>
      </c>
      <c r="G1105" s="5">
        <v>-1.8663239211313964E-2</v>
      </c>
    </row>
    <row r="1106" spans="1:7" x14ac:dyDescent="0.25">
      <c r="A1106" s="12">
        <v>45743</v>
      </c>
      <c r="B1106" s="13">
        <v>87309.14</v>
      </c>
      <c r="C1106" s="13">
        <v>87025</v>
      </c>
      <c r="D1106" s="5">
        <v>11.37721043279643</v>
      </c>
      <c r="E1106" s="5">
        <v>11.37395071267964</v>
      </c>
      <c r="F1106" s="5">
        <v>2.6151884404868042E-4</v>
      </c>
      <c r="G1106" s="5">
        <v>5.7620441760946051E-3</v>
      </c>
    </row>
    <row r="1107" spans="1:7" x14ac:dyDescent="0.25">
      <c r="A1107" s="12">
        <v>45744</v>
      </c>
      <c r="B1107" s="13">
        <v>83758.98</v>
      </c>
      <c r="C1107" s="13">
        <v>84200.95</v>
      </c>
      <c r="D1107" s="5">
        <v>11.335698667819841</v>
      </c>
      <c r="E1107" s="5">
        <v>11.340961482827101</v>
      </c>
      <c r="F1107" s="5">
        <v>-4.1511764976588594E-2</v>
      </c>
      <c r="G1107" s="5">
        <v>-3.2989229852539381E-2</v>
      </c>
    </row>
    <row r="1108" spans="1:7" x14ac:dyDescent="0.25">
      <c r="A1108" s="12">
        <v>45747</v>
      </c>
      <c r="B1108" s="13">
        <v>82421.289999999994</v>
      </c>
      <c r="C1108" s="13">
        <v>82710</v>
      </c>
      <c r="D1108" s="5">
        <v>11.319599056311212</v>
      </c>
      <c r="E1108" s="5">
        <v>11.323095792685953</v>
      </c>
      <c r="F1108" s="5">
        <v>-1.6099611508629152E-2</v>
      </c>
      <c r="G1108" s="5">
        <v>-1.7865690141148249E-2</v>
      </c>
    </row>
    <row r="1109" spans="1:7" x14ac:dyDescent="0.25">
      <c r="A1109" s="12">
        <v>45748</v>
      </c>
      <c r="B1109" s="13">
        <v>85243.64</v>
      </c>
      <c r="C1109" s="13">
        <v>85350</v>
      </c>
      <c r="D1109" s="5">
        <v>11.353268788257166</v>
      </c>
      <c r="E1109" s="5">
        <v>11.354515728222587</v>
      </c>
      <c r="F1109" s="5">
        <v>3.366973194595424E-2</v>
      </c>
      <c r="G1109" s="5">
        <v>3.1419935536634469E-2</v>
      </c>
    </row>
    <row r="1110" spans="1:7" x14ac:dyDescent="0.25">
      <c r="A1110" s="12">
        <v>45749</v>
      </c>
      <c r="B1110" s="13">
        <v>85653.54</v>
      </c>
      <c r="C1110" s="13">
        <v>87375</v>
      </c>
      <c r="D1110" s="5">
        <v>11.358065833896413</v>
      </c>
      <c r="E1110" s="5">
        <v>11.377964479536111</v>
      </c>
      <c r="F1110" s="5">
        <v>4.7970456392469885E-3</v>
      </c>
      <c r="G1110" s="5">
        <v>2.344875131352353E-2</v>
      </c>
    </row>
    <row r="1111" spans="1:7" x14ac:dyDescent="0.25">
      <c r="A1111" s="12">
        <v>45750</v>
      </c>
      <c r="B1111" s="13">
        <v>82315.850000000006</v>
      </c>
      <c r="C1111" s="13">
        <v>82165</v>
      </c>
      <c r="D1111" s="5">
        <v>11.318318956214801</v>
      </c>
      <c r="E1111" s="5">
        <v>11.31648469961539</v>
      </c>
      <c r="F1111" s="5">
        <v>-3.9746877681611892E-2</v>
      </c>
      <c r="G1111" s="5">
        <v>-6.147977992072029E-2</v>
      </c>
    </row>
    <row r="1112" spans="1:7" x14ac:dyDescent="0.25">
      <c r="A1112" s="12">
        <v>45751</v>
      </c>
      <c r="B1112" s="13">
        <v>84129.73</v>
      </c>
      <c r="C1112" s="13">
        <v>84350</v>
      </c>
      <c r="D1112" s="5">
        <v>11.340115291220798</v>
      </c>
      <c r="E1112" s="5">
        <v>11.342730087974115</v>
      </c>
      <c r="F1112" s="5">
        <v>2.1796335005996426E-2</v>
      </c>
      <c r="G1112" s="5">
        <v>2.6245388358724142E-2</v>
      </c>
    </row>
    <row r="1113" spans="1:7" x14ac:dyDescent="0.25">
      <c r="A1113" s="12">
        <v>45754</v>
      </c>
      <c r="B1113" s="13">
        <v>78923.14</v>
      </c>
      <c r="C1113" s="13">
        <v>78245</v>
      </c>
      <c r="D1113" s="5">
        <v>11.27622974647127</v>
      </c>
      <c r="E1113" s="5">
        <v>11.267600208597273</v>
      </c>
      <c r="F1113" s="5">
        <v>-6.3885544749528123E-2</v>
      </c>
      <c r="G1113" s="5">
        <v>-7.5129879376842013E-2</v>
      </c>
    </row>
    <row r="1114" spans="1:7" x14ac:dyDescent="0.25">
      <c r="A1114" s="12">
        <v>45755</v>
      </c>
      <c r="B1114" s="13">
        <v>77052.89</v>
      </c>
      <c r="C1114" s="13">
        <v>76815</v>
      </c>
      <c r="D1114" s="5">
        <v>11.252247348156466</v>
      </c>
      <c r="E1114" s="5">
        <v>11.24915521256476</v>
      </c>
      <c r="F1114" s="5">
        <v>-2.3982398314803532E-2</v>
      </c>
      <c r="G1114" s="5">
        <v>-1.8444996032512151E-2</v>
      </c>
    </row>
    <row r="1115" spans="1:7" x14ac:dyDescent="0.25">
      <c r="A1115" s="12">
        <v>45756</v>
      </c>
      <c r="B1115" s="13">
        <v>83173.759999999995</v>
      </c>
      <c r="C1115" s="13">
        <v>82615</v>
      </c>
      <c r="D1115" s="5">
        <v>11.328687192449728</v>
      </c>
      <c r="E1115" s="5">
        <v>11.321946541085092</v>
      </c>
      <c r="F1115" s="5">
        <v>7.6439844293261672E-2</v>
      </c>
      <c r="G1115" s="5">
        <v>7.2791328520331433E-2</v>
      </c>
    </row>
    <row r="1116" spans="1:7" x14ac:dyDescent="0.25">
      <c r="A1116" s="12">
        <v>45757</v>
      </c>
      <c r="B1116" s="13">
        <v>79879.179999999993</v>
      </c>
      <c r="C1116" s="13">
        <v>79695</v>
      </c>
      <c r="D1116" s="5">
        <v>11.288270522078964</v>
      </c>
      <c r="E1116" s="5">
        <v>11.285962127553153</v>
      </c>
      <c r="F1116" s="5">
        <v>-4.0416670370763796E-2</v>
      </c>
      <c r="G1116" s="5">
        <v>-3.5984413531938486E-2</v>
      </c>
    </row>
    <row r="1117" spans="1:7" x14ac:dyDescent="0.25">
      <c r="A1117" s="12">
        <v>45758</v>
      </c>
      <c r="B1117" s="13">
        <v>83820.600000000006</v>
      </c>
      <c r="C1117" s="13">
        <v>84095</v>
      </c>
      <c r="D1117" s="5">
        <v>11.336434079649578</v>
      </c>
      <c r="E1117" s="5">
        <v>11.339702391161532</v>
      </c>
      <c r="F1117" s="5">
        <v>4.8163557570614302E-2</v>
      </c>
      <c r="G1117" s="5">
        <v>5.3740263608379024E-2</v>
      </c>
    </row>
    <row r="1118" spans="1:7" x14ac:dyDescent="0.25">
      <c r="A1118" s="12">
        <v>45761</v>
      </c>
      <c r="B1118" s="13">
        <v>84848.06</v>
      </c>
      <c r="C1118" s="13">
        <v>85165</v>
      </c>
      <c r="D1118" s="5">
        <v>11.348617406523559</v>
      </c>
      <c r="E1118" s="5">
        <v>11.352345830294677</v>
      </c>
      <c r="F1118" s="5">
        <v>1.2183326873980604E-2</v>
      </c>
      <c r="G1118" s="5">
        <v>1.2643439133144696E-2</v>
      </c>
    </row>
    <row r="1119" spans="1:7" x14ac:dyDescent="0.25">
      <c r="A1119" s="12">
        <v>45762</v>
      </c>
      <c r="B1119" s="13">
        <v>84016.48</v>
      </c>
      <c r="C1119" s="13">
        <v>84160</v>
      </c>
      <c r="D1119" s="5">
        <v>11.338768249058806</v>
      </c>
      <c r="E1119" s="5">
        <v>11.340475027971538</v>
      </c>
      <c r="F1119" s="5">
        <v>-9.8491574647532332E-3</v>
      </c>
      <c r="G1119" s="5">
        <v>-1.1870802323139529E-2</v>
      </c>
    </row>
    <row r="1120" spans="1:7" x14ac:dyDescent="0.25">
      <c r="A1120" s="12">
        <v>45763</v>
      </c>
      <c r="B1120" s="13">
        <v>84308.09</v>
      </c>
      <c r="C1120" s="13">
        <v>84535</v>
      </c>
      <c r="D1120" s="5">
        <v>11.34223310617072</v>
      </c>
      <c r="E1120" s="5">
        <v>11.344920928771067</v>
      </c>
      <c r="F1120" s="5">
        <v>3.4648571119149096E-3</v>
      </c>
      <c r="G1120" s="5">
        <v>4.4459007995296673E-3</v>
      </c>
    </row>
    <row r="1121" spans="1:7" x14ac:dyDescent="0.25">
      <c r="A1121" s="12">
        <v>45764</v>
      </c>
      <c r="B1121" s="13">
        <v>85139.14</v>
      </c>
      <c r="C1121" s="13">
        <v>85110</v>
      </c>
      <c r="D1121" s="5">
        <v>11.352042138321027</v>
      </c>
      <c r="E1121" s="5">
        <v>11.351699816471006</v>
      </c>
      <c r="F1121" s="5">
        <v>9.8090321503061517E-3</v>
      </c>
      <c r="G1121" s="5">
        <v>6.7788876999390624E-3</v>
      </c>
    </row>
    <row r="1122" spans="1:7" x14ac:dyDescent="0.25">
      <c r="A1122" s="12">
        <v>45765</v>
      </c>
      <c r="B1122" s="13">
        <v>84501.93</v>
      </c>
      <c r="C1122" s="17">
        <v>85110</v>
      </c>
      <c r="D1122" s="5">
        <v>11.344529653321118</v>
      </c>
      <c r="E1122" s="5">
        <v>11.351699816471006</v>
      </c>
      <c r="F1122" s="5">
        <v>-7.5124849999088639E-3</v>
      </c>
      <c r="G1122" s="5">
        <v>0</v>
      </c>
    </row>
    <row r="1123" spans="1:7" x14ac:dyDescent="0.25">
      <c r="A1123" s="12">
        <v>45768</v>
      </c>
      <c r="B1123" s="13">
        <v>87354.6</v>
      </c>
      <c r="C1123" s="13">
        <v>87535</v>
      </c>
      <c r="D1123" s="5">
        <v>11.377730975881406</v>
      </c>
      <c r="E1123" s="5">
        <v>11.379793992367032</v>
      </c>
      <c r="F1123" s="5">
        <v>3.3201322560287849E-2</v>
      </c>
      <c r="G1123" s="5">
        <v>2.809417589602603E-2</v>
      </c>
    </row>
    <row r="1124" spans="1:7" x14ac:dyDescent="0.25">
      <c r="A1124" s="12">
        <v>45769</v>
      </c>
      <c r="B1124" s="13">
        <v>91177.46</v>
      </c>
      <c r="C1124" s="13">
        <v>91660</v>
      </c>
      <c r="D1124" s="5">
        <v>11.420562996393238</v>
      </c>
      <c r="E1124" s="5">
        <v>11.425841358063115</v>
      </c>
      <c r="F1124" s="5">
        <v>4.283202051183288E-2</v>
      </c>
      <c r="G1124" s="5">
        <v>4.604736569608292E-2</v>
      </c>
    </row>
    <row r="1125" spans="1:7" x14ac:dyDescent="0.25">
      <c r="A1125" s="12">
        <v>45770</v>
      </c>
      <c r="B1125" s="13">
        <v>93686.03</v>
      </c>
      <c r="C1125" s="13">
        <v>93605</v>
      </c>
      <c r="D1125" s="5">
        <v>11.447704364261551</v>
      </c>
      <c r="E1125" s="5">
        <v>11.446839079842368</v>
      </c>
      <c r="F1125" s="5">
        <v>2.7141367868312116E-2</v>
      </c>
      <c r="G1125" s="5">
        <v>2.0997721779252743E-2</v>
      </c>
    </row>
    <row r="1126" spans="1:7" x14ac:dyDescent="0.25">
      <c r="A1126" s="12">
        <v>45771</v>
      </c>
      <c r="B1126" s="13">
        <v>93454.23</v>
      </c>
      <c r="C1126" s="13">
        <v>93625</v>
      </c>
      <c r="D1126" s="5">
        <v>11.445227076706798</v>
      </c>
      <c r="E1126" s="5">
        <v>11.447052720819521</v>
      </c>
      <c r="F1126" s="5">
        <v>-2.4772875547522943E-3</v>
      </c>
      <c r="G1126" s="5">
        <v>2.1364097715270702E-4</v>
      </c>
    </row>
    <row r="1127" spans="1:7" x14ac:dyDescent="0.25">
      <c r="A1127" s="12">
        <v>45772</v>
      </c>
      <c r="B1127" s="13">
        <v>94966.87</v>
      </c>
      <c r="C1127" s="13">
        <v>95127.39</v>
      </c>
      <c r="D1127" s="5">
        <v>11.461283372917739</v>
      </c>
      <c r="E1127" s="5">
        <v>11.462972219684106</v>
      </c>
      <c r="F1127" s="5">
        <v>1.6056296210940957E-2</v>
      </c>
      <c r="G1127" s="5">
        <v>1.5919498864585435E-2</v>
      </c>
    </row>
    <row r="1128" spans="1:7" x14ac:dyDescent="0.25">
      <c r="A1128" s="12">
        <v>45775</v>
      </c>
      <c r="B1128" s="13">
        <v>94506.03</v>
      </c>
      <c r="C1128" s="13">
        <v>95505</v>
      </c>
      <c r="D1128" s="5">
        <v>11.456418920969902</v>
      </c>
      <c r="E1128" s="5">
        <v>11.466933881119235</v>
      </c>
      <c r="F1128" s="5">
        <v>-4.8644519478369119E-3</v>
      </c>
      <c r="G1128" s="5">
        <v>3.9616614351292156E-3</v>
      </c>
    </row>
    <row r="1129" spans="1:7" x14ac:dyDescent="0.25">
      <c r="A1129" s="12">
        <v>45776</v>
      </c>
      <c r="B1129" s="13">
        <v>94873.95</v>
      </c>
      <c r="C1129" s="13">
        <v>95980</v>
      </c>
      <c r="D1129" s="5">
        <v>11.460304447443013</v>
      </c>
      <c r="E1129" s="5">
        <v>11.471895115412236</v>
      </c>
      <c r="F1129" s="5">
        <v>3.8855264731108008E-3</v>
      </c>
      <c r="G1129" s="5">
        <v>4.9612342930007713E-3</v>
      </c>
    </row>
    <row r="1130" spans="1:7" x14ac:dyDescent="0.25">
      <c r="A1130" s="12">
        <v>45777</v>
      </c>
      <c r="B1130" s="13">
        <v>94581.18</v>
      </c>
      <c r="C1130" s="13">
        <v>94695</v>
      </c>
      <c r="D1130" s="5">
        <v>11.457213792330656</v>
      </c>
      <c r="E1130" s="5">
        <v>11.458416479469836</v>
      </c>
      <c r="F1130" s="5">
        <v>-3.0906551123575099E-3</v>
      </c>
      <c r="G1130" s="5">
        <v>-1.3478635942400174E-2</v>
      </c>
    </row>
    <row r="1131" spans="1:7" x14ac:dyDescent="0.25">
      <c r="A1131" s="12">
        <v>45778</v>
      </c>
      <c r="B1131" s="13">
        <v>96463.2</v>
      </c>
      <c r="C1131" s="13">
        <v>97205</v>
      </c>
      <c r="D1131" s="5">
        <v>11.476916867445503</v>
      </c>
      <c r="E1131" s="5">
        <v>11.48457742945474</v>
      </c>
      <c r="F1131" s="5">
        <v>1.9703075114847479E-2</v>
      </c>
      <c r="G1131" s="5">
        <v>2.6160949984904036E-2</v>
      </c>
    </row>
    <row r="1132" spans="1:7" x14ac:dyDescent="0.25">
      <c r="A1132" s="12">
        <v>45779</v>
      </c>
      <c r="B1132" s="13">
        <v>97063.65</v>
      </c>
      <c r="C1132" s="13">
        <v>97505</v>
      </c>
      <c r="D1132" s="5">
        <v>11.483122227856915</v>
      </c>
      <c r="E1132" s="5">
        <v>11.48765893772234</v>
      </c>
      <c r="F1132" s="5">
        <v>6.2053604114122862E-3</v>
      </c>
      <c r="G1132" s="5">
        <v>3.0815082676003414E-3</v>
      </c>
    </row>
    <row r="1133" spans="1:7" x14ac:dyDescent="0.25">
      <c r="A1133" s="12">
        <v>45782</v>
      </c>
      <c r="B1133" s="13">
        <v>94240.37</v>
      </c>
      <c r="C1133" s="13">
        <v>94730</v>
      </c>
      <c r="D1133" s="5">
        <v>11.453603925023716</v>
      </c>
      <c r="E1133" s="5">
        <v>11.45878601886958</v>
      </c>
      <c r="F1133" s="5">
        <v>-2.9518302833199783E-2</v>
      </c>
      <c r="G1133" s="5">
        <v>-2.8872918852760776E-2</v>
      </c>
    </row>
    <row r="1134" spans="1:7" x14ac:dyDescent="0.25">
      <c r="A1134" s="12">
        <v>45783</v>
      </c>
      <c r="B1134" s="13">
        <v>94701.79</v>
      </c>
      <c r="C1134" s="13">
        <v>95410</v>
      </c>
      <c r="D1134" s="5">
        <v>11.458488180790676</v>
      </c>
      <c r="E1134" s="5">
        <v>11.465938673745892</v>
      </c>
      <c r="F1134" s="5">
        <v>4.8842557669601661E-3</v>
      </c>
      <c r="G1134" s="5">
        <v>7.1526548763127806E-3</v>
      </c>
    </row>
    <row r="1135" spans="1:7" x14ac:dyDescent="0.25">
      <c r="A1135" s="12">
        <v>45784</v>
      </c>
      <c r="B1135" s="13">
        <v>96794.09</v>
      </c>
      <c r="C1135" s="13">
        <v>96655</v>
      </c>
      <c r="D1135" s="5">
        <v>11.480341217681806</v>
      </c>
      <c r="E1135" s="5">
        <v>11.478903216355793</v>
      </c>
      <c r="F1135" s="5">
        <v>2.1853036891130273E-2</v>
      </c>
      <c r="G1135" s="5">
        <v>1.296454260990032E-2</v>
      </c>
    </row>
    <row r="1136" spans="1:7" x14ac:dyDescent="0.25">
      <c r="A1136" s="12">
        <v>45785</v>
      </c>
      <c r="B1136" s="13">
        <v>102616.61</v>
      </c>
      <c r="C1136" s="13">
        <v>101780</v>
      </c>
      <c r="D1136" s="5">
        <v>11.538755089454105</v>
      </c>
      <c r="E1136" s="5">
        <v>11.530568900142823</v>
      </c>
      <c r="F1136" s="5">
        <v>5.841387177229862E-2</v>
      </c>
      <c r="G1136" s="5">
        <v>5.1665683787030403E-2</v>
      </c>
    </row>
    <row r="1137" spans="1:7" x14ac:dyDescent="0.25">
      <c r="A1137" s="12">
        <v>45786</v>
      </c>
      <c r="B1137" s="13">
        <v>103195.81</v>
      </c>
      <c r="C1137" s="13">
        <v>103635</v>
      </c>
      <c r="D1137" s="5">
        <v>11.544383530430173</v>
      </c>
      <c r="E1137" s="5">
        <v>11.548630389591004</v>
      </c>
      <c r="F1137" s="5">
        <v>5.62844097606785E-3</v>
      </c>
      <c r="G1137" s="5">
        <v>1.8061489448180978E-2</v>
      </c>
    </row>
    <row r="1138" spans="1:7" x14ac:dyDescent="0.25">
      <c r="A1138" s="12">
        <v>45789</v>
      </c>
      <c r="B1138" s="13">
        <v>102693.31</v>
      </c>
      <c r="C1138" s="13">
        <v>102115</v>
      </c>
      <c r="D1138" s="5">
        <v>11.539502252606944</v>
      </c>
      <c r="E1138" s="5">
        <v>11.533854908151259</v>
      </c>
      <c r="F1138" s="5">
        <v>-4.8812778232285581E-3</v>
      </c>
      <c r="G1138" s="5">
        <v>-1.4775481439745164E-2</v>
      </c>
    </row>
    <row r="1139" spans="1:7" x14ac:dyDescent="0.25">
      <c r="A1139" s="12">
        <v>45790</v>
      </c>
      <c r="B1139" s="13">
        <v>104599.51</v>
      </c>
      <c r="C1139" s="13">
        <v>105265</v>
      </c>
      <c r="D1139" s="5">
        <v>11.557894146089559</v>
      </c>
      <c r="E1139" s="5">
        <v>11.564236259204655</v>
      </c>
      <c r="F1139" s="5">
        <v>1.8391893482615274E-2</v>
      </c>
      <c r="G1139" s="5">
        <v>3.0381351053396344E-2</v>
      </c>
    </row>
    <row r="1140" spans="1:7" x14ac:dyDescent="0.25">
      <c r="A1140" s="12">
        <v>45791</v>
      </c>
      <c r="B1140" s="13">
        <v>103573.61</v>
      </c>
      <c r="C1140" s="13">
        <v>103620</v>
      </c>
      <c r="D1140" s="5">
        <v>11.548037846628661</v>
      </c>
      <c r="E1140" s="5">
        <v>11.54848564036878</v>
      </c>
      <c r="F1140" s="5">
        <v>-9.8562994608979437E-3</v>
      </c>
      <c r="G1140" s="5">
        <v>-1.5750618835875585E-2</v>
      </c>
    </row>
    <row r="1141" spans="1:7" x14ac:dyDescent="0.25">
      <c r="A1141" s="12">
        <v>45792</v>
      </c>
      <c r="B1141" s="13">
        <v>103463.61</v>
      </c>
      <c r="C1141" s="13">
        <v>103500</v>
      </c>
      <c r="D1141" s="5">
        <v>11.546975235660929</v>
      </c>
      <c r="E1141" s="5">
        <v>11.547326891687561</v>
      </c>
      <c r="F1141" s="5">
        <v>-1.0626109677325246E-3</v>
      </c>
      <c r="G1141" s="5">
        <v>-1.1587486812185688E-3</v>
      </c>
    </row>
    <row r="1142" spans="1:7" x14ac:dyDescent="0.25">
      <c r="A1142" s="12">
        <v>45793</v>
      </c>
      <c r="B1142" s="13">
        <v>103712.31</v>
      </c>
      <c r="C1142" s="13">
        <v>104425</v>
      </c>
      <c r="D1142" s="5">
        <v>11.549376094983398</v>
      </c>
      <c r="E1142" s="5">
        <v>11.556224389365376</v>
      </c>
      <c r="F1142" s="5">
        <v>2.4008593224689179E-3</v>
      </c>
      <c r="G1142" s="5">
        <v>8.8974976778146697E-3</v>
      </c>
    </row>
    <row r="1143" spans="1:7" x14ac:dyDescent="0.25">
      <c r="A1143" s="12">
        <v>45796</v>
      </c>
      <c r="B1143" s="13">
        <v>105485.91</v>
      </c>
      <c r="C1143" s="13">
        <v>105880</v>
      </c>
      <c r="D1143" s="5">
        <v>11.566332668476692</v>
      </c>
      <c r="E1143" s="5">
        <v>11.570061656341037</v>
      </c>
      <c r="F1143" s="5">
        <v>1.6956573493294158E-2</v>
      </c>
      <c r="G1143" s="5">
        <v>1.3837266975661677E-2</v>
      </c>
    </row>
    <row r="1144" spans="1:7" x14ac:dyDescent="0.25">
      <c r="A1144" s="12">
        <v>45797</v>
      </c>
      <c r="B1144" s="13">
        <v>106953.22</v>
      </c>
      <c r="C1144" s="13">
        <v>107360</v>
      </c>
      <c r="D1144" s="5">
        <v>11.580146821584211</v>
      </c>
      <c r="E1144" s="5">
        <v>11.58394295220551</v>
      </c>
      <c r="F1144" s="5">
        <v>1.3814153107519545E-2</v>
      </c>
      <c r="G1144" s="5">
        <v>1.3881295864472065E-2</v>
      </c>
    </row>
    <row r="1145" spans="1:7" x14ac:dyDescent="0.25">
      <c r="A1145" s="12">
        <v>45798</v>
      </c>
      <c r="B1145" s="13">
        <v>108282.41</v>
      </c>
      <c r="C1145" s="13">
        <v>108960</v>
      </c>
      <c r="D1145" s="5">
        <v>11.592498000591744</v>
      </c>
      <c r="E1145" s="5">
        <v>11.59873612138334</v>
      </c>
      <c r="F1145" s="5">
        <v>1.235117900753302E-2</v>
      </c>
      <c r="G1145" s="5">
        <v>1.4793169177830023E-2</v>
      </c>
    </row>
    <row r="1146" spans="1:7" x14ac:dyDescent="0.25">
      <c r="A1146" s="12">
        <v>45799</v>
      </c>
      <c r="B1146" s="13">
        <v>111092.22</v>
      </c>
      <c r="C1146" s="13">
        <v>111440</v>
      </c>
      <c r="D1146" s="5">
        <v>11.618115946173017</v>
      </c>
      <c r="E1146" s="5">
        <v>11.621241608453687</v>
      </c>
      <c r="F1146" s="5">
        <v>2.5617945581272394E-2</v>
      </c>
      <c r="G1146" s="5">
        <v>2.2505487070347385E-2</v>
      </c>
    </row>
    <row r="1147" spans="1:7" x14ac:dyDescent="0.25">
      <c r="A1147" s="12">
        <v>45800</v>
      </c>
      <c r="B1147" s="13">
        <v>108261.31</v>
      </c>
      <c r="C1147" s="13">
        <v>108885</v>
      </c>
      <c r="D1147" s="5">
        <v>11.592303120776558</v>
      </c>
      <c r="E1147" s="5">
        <v>11.598047558387051</v>
      </c>
      <c r="F1147" s="5">
        <v>-2.5812825396458905E-2</v>
      </c>
      <c r="G1147" s="5">
        <v>-2.3194050066635441E-2</v>
      </c>
    </row>
    <row r="1148" spans="1:7" x14ac:dyDescent="0.25">
      <c r="A1148" s="12">
        <v>45803</v>
      </c>
      <c r="B1148" s="13">
        <v>109619.22</v>
      </c>
      <c r="C1148" s="17">
        <v>108885</v>
      </c>
      <c r="D1148" s="5">
        <v>11.604768003084919</v>
      </c>
      <c r="E1148" s="5">
        <v>11.598047558387051</v>
      </c>
      <c r="F1148" s="5">
        <v>1.2464882308361069E-2</v>
      </c>
      <c r="G1148" s="5">
        <v>0</v>
      </c>
    </row>
    <row r="1149" spans="1:7" x14ac:dyDescent="0.25">
      <c r="A1149" s="12">
        <v>45804</v>
      </c>
      <c r="B1149" s="13">
        <v>109615.91</v>
      </c>
      <c r="C1149" s="13">
        <v>110025</v>
      </c>
      <c r="D1149" s="5">
        <v>11.60473780719432</v>
      </c>
      <c r="E1149" s="5">
        <v>11.608462891679292</v>
      </c>
      <c r="F1149" s="5">
        <v>-3.0195890598605502E-5</v>
      </c>
      <c r="G1149" s="5">
        <v>1.0415333292240092E-2</v>
      </c>
    </row>
    <row r="1150" spans="1:7" x14ac:dyDescent="0.25">
      <c r="A1150" s="12">
        <v>45805</v>
      </c>
      <c r="B1150" s="13">
        <v>107335.72</v>
      </c>
      <c r="C1150" s="13">
        <v>107005</v>
      </c>
      <c r="D1150" s="5">
        <v>11.583716771636064</v>
      </c>
      <c r="E1150" s="5">
        <v>11.580630841324242</v>
      </c>
      <c r="F1150" s="5">
        <v>-2.1021035558256074E-2</v>
      </c>
      <c r="G1150" s="5">
        <v>-2.7832050355049986E-2</v>
      </c>
    </row>
    <row r="1151" spans="1:7" x14ac:dyDescent="0.25">
      <c r="A1151" s="12">
        <v>45806</v>
      </c>
      <c r="B1151" s="13">
        <v>106179.22</v>
      </c>
      <c r="C1151" s="13">
        <v>105645</v>
      </c>
      <c r="D1151" s="5">
        <v>11.572883700094481</v>
      </c>
      <c r="E1151" s="5">
        <v>11.567839695847621</v>
      </c>
      <c r="F1151" s="5">
        <v>-1.0833071541583195E-2</v>
      </c>
      <c r="G1151" s="5">
        <v>-1.2791145476620969E-2</v>
      </c>
    </row>
    <row r="1152" spans="1:7" x14ac:dyDescent="0.25">
      <c r="A1152" s="12">
        <v>45807</v>
      </c>
      <c r="B1152" s="13">
        <v>104597.81</v>
      </c>
      <c r="C1152" s="13">
        <v>105461.6</v>
      </c>
      <c r="D1152" s="5">
        <v>11.557877893491295</v>
      </c>
      <c r="E1152" s="5">
        <v>11.566102184598426</v>
      </c>
      <c r="F1152" s="5">
        <v>-1.50058066031864E-2</v>
      </c>
      <c r="G1152" s="5">
        <v>-1.7375112491944122E-3</v>
      </c>
    </row>
    <row r="1153" spans="1:7" x14ac:dyDescent="0.25">
      <c r="A1153" s="12">
        <v>45810</v>
      </c>
      <c r="B1153" s="13">
        <v>104931.91</v>
      </c>
      <c r="C1153" s="13">
        <v>105005</v>
      </c>
      <c r="D1153" s="5">
        <v>11.561066942597556</v>
      </c>
      <c r="E1153" s="5">
        <v>11.561763247053529</v>
      </c>
      <c r="F1153" s="5">
        <v>3.1890491062611659E-3</v>
      </c>
      <c r="G1153" s="5">
        <v>-4.3389375448974477E-3</v>
      </c>
    </row>
    <row r="1154" spans="1:7" x14ac:dyDescent="0.25">
      <c r="A1154" s="12">
        <v>45811</v>
      </c>
      <c r="B1154" s="13">
        <v>105810.72</v>
      </c>
      <c r="C1154" s="13">
        <v>106850</v>
      </c>
      <c r="D1154" s="5">
        <v>11.5694071165249</v>
      </c>
      <c r="E1154" s="5">
        <v>11.579181260747294</v>
      </c>
      <c r="F1154" s="5">
        <v>8.3401739273440967E-3</v>
      </c>
      <c r="G1154" s="5">
        <v>1.7418013693765388E-2</v>
      </c>
    </row>
    <row r="1155" spans="1:7" x14ac:dyDescent="0.25">
      <c r="A1155" s="12">
        <v>45812</v>
      </c>
      <c r="B1155" s="13">
        <v>104668.31</v>
      </c>
      <c r="C1155" s="13">
        <v>105485</v>
      </c>
      <c r="D1155" s="5">
        <v>11.55855167673597</v>
      </c>
      <c r="E1155" s="5">
        <v>11.566324041694923</v>
      </c>
      <c r="F1155" s="5">
        <v>-1.0855439788929999E-2</v>
      </c>
      <c r="G1155" s="5">
        <v>-1.2857219052371249E-2</v>
      </c>
    </row>
    <row r="1156" spans="1:7" x14ac:dyDescent="0.25">
      <c r="A1156" s="12">
        <v>45813</v>
      </c>
      <c r="B1156" s="13">
        <v>100503.81</v>
      </c>
      <c r="C1156" s="13">
        <v>102215</v>
      </c>
      <c r="D1156" s="5">
        <v>11.517950916210445</v>
      </c>
      <c r="E1156" s="5">
        <v>11.534833717019108</v>
      </c>
      <c r="F1156" s="5">
        <v>-4.0600760525524748E-2</v>
      </c>
      <c r="G1156" s="5">
        <v>-3.1490324675814918E-2</v>
      </c>
    </row>
    <row r="1157" spans="1:7" x14ac:dyDescent="0.25">
      <c r="A1157" s="12">
        <v>45814</v>
      </c>
      <c r="B1157" s="13">
        <v>104574.41</v>
      </c>
      <c r="C1157" s="13">
        <v>104770</v>
      </c>
      <c r="D1157" s="5">
        <v>11.557654154410669</v>
      </c>
      <c r="E1157" s="5">
        <v>11.559522750347011</v>
      </c>
      <c r="F1157" s="5">
        <v>3.9703238200223367E-2</v>
      </c>
      <c r="G1157" s="5">
        <v>2.4689033327902621E-2</v>
      </c>
    </row>
    <row r="1158" spans="1:7" x14ac:dyDescent="0.25">
      <c r="A1158" s="12">
        <v>45817</v>
      </c>
      <c r="B1158" s="13">
        <v>108770.01</v>
      </c>
      <c r="C1158" s="13">
        <v>109125</v>
      </c>
      <c r="D1158" s="5">
        <v>11.596990932025006</v>
      </c>
      <c r="E1158" s="5">
        <v>11.600249293141903</v>
      </c>
      <c r="F1158" s="5">
        <v>3.9336777614337848E-2</v>
      </c>
      <c r="G1158" s="5">
        <v>4.072654279489285E-2</v>
      </c>
    </row>
    <row r="1159" spans="1:7" x14ac:dyDescent="0.25">
      <c r="A1159" s="12">
        <v>45818</v>
      </c>
      <c r="B1159" s="13">
        <v>109979.61</v>
      </c>
      <c r="C1159" s="13">
        <v>109980</v>
      </c>
      <c r="D1159" s="5">
        <v>11.608050263956228</v>
      </c>
      <c r="E1159" s="5">
        <v>11.608053810061806</v>
      </c>
      <c r="F1159" s="5">
        <v>1.105933193122155E-2</v>
      </c>
      <c r="G1159" s="5">
        <v>7.8045169199025821E-3</v>
      </c>
    </row>
    <row r="1160" spans="1:7" x14ac:dyDescent="0.25">
      <c r="A1160" s="12">
        <v>45819</v>
      </c>
      <c r="B1160" s="13">
        <v>108933.11</v>
      </c>
      <c r="C1160" s="13">
        <v>109160</v>
      </c>
      <c r="D1160" s="5">
        <v>11.598489303114174</v>
      </c>
      <c r="E1160" s="5">
        <v>11.600569974822275</v>
      </c>
      <c r="F1160" s="5">
        <v>-9.5609608420534897E-3</v>
      </c>
      <c r="G1160" s="5">
        <v>-7.4838352395314445E-3</v>
      </c>
    </row>
    <row r="1161" spans="1:7" x14ac:dyDescent="0.25">
      <c r="A1161" s="12">
        <v>45820</v>
      </c>
      <c r="B1161" s="13">
        <v>106012.81</v>
      </c>
      <c r="C1161" s="13">
        <v>107095</v>
      </c>
      <c r="D1161" s="5">
        <v>11.571315214849148</v>
      </c>
      <c r="E1161" s="5">
        <v>11.581471570005244</v>
      </c>
      <c r="F1161" s="5">
        <v>-2.7174088265025986E-2</v>
      </c>
      <c r="G1161" s="5">
        <v>-1.9098404817031067E-2</v>
      </c>
    </row>
    <row r="1162" spans="1:7" x14ac:dyDescent="0.25">
      <c r="A1162" s="12">
        <v>45821</v>
      </c>
      <c r="B1162" s="13">
        <v>105472.51</v>
      </c>
      <c r="C1162" s="13">
        <v>105380</v>
      </c>
      <c r="D1162" s="5">
        <v>11.566205629223951</v>
      </c>
      <c r="E1162" s="5">
        <v>11.565328143763276</v>
      </c>
      <c r="F1162" s="5">
        <v>-5.1095856251972549E-3</v>
      </c>
      <c r="G1162" s="5">
        <v>-1.6143426241967518E-2</v>
      </c>
    </row>
    <row r="1163" spans="1:7" x14ac:dyDescent="0.25">
      <c r="A1163" s="12">
        <v>45824</v>
      </c>
      <c r="B1163" s="13">
        <v>108833.22</v>
      </c>
      <c r="C1163" s="13">
        <v>108920</v>
      </c>
      <c r="D1163" s="5">
        <v>11.597571897682345</v>
      </c>
      <c r="E1163" s="5">
        <v>11.598368946787696</v>
      </c>
      <c r="F1163" s="5">
        <v>3.136626845839352E-2</v>
      </c>
      <c r="G1163" s="5">
        <v>3.3040803024420029E-2</v>
      </c>
    </row>
    <row r="1164" spans="1:7" x14ac:dyDescent="0.25">
      <c r="A1164" s="12">
        <v>45825</v>
      </c>
      <c r="B1164" s="13">
        <v>104392.11</v>
      </c>
      <c r="C1164" s="13">
        <v>104910</v>
      </c>
      <c r="D1164" s="5">
        <v>11.55590937686212</v>
      </c>
      <c r="E1164" s="5">
        <v>11.56085811872553</v>
      </c>
      <c r="F1164" s="5">
        <v>-4.1662520820224813E-2</v>
      </c>
      <c r="G1164" s="5">
        <v>-3.7510828062165658E-2</v>
      </c>
    </row>
    <row r="1165" spans="1:7" x14ac:dyDescent="0.25">
      <c r="A1165" s="12">
        <v>45826</v>
      </c>
      <c r="B1165" s="13">
        <v>104836.11</v>
      </c>
      <c r="C1165" s="13">
        <v>103965</v>
      </c>
      <c r="D1165" s="5">
        <v>11.560153552590249</v>
      </c>
      <c r="E1165" s="5">
        <v>11.551809583020194</v>
      </c>
      <c r="F1165" s="5">
        <v>4.2441757281288517E-3</v>
      </c>
      <c r="G1165" s="5">
        <v>-9.048535705336036E-3</v>
      </c>
    </row>
    <row r="1166" spans="1:7" x14ac:dyDescent="0.25">
      <c r="A1166" s="12">
        <v>45827</v>
      </c>
      <c r="B1166" s="13">
        <v>104297.01</v>
      </c>
      <c r="C1166" s="17">
        <v>103965</v>
      </c>
      <c r="D1166" s="5">
        <v>11.5549979732721</v>
      </c>
      <c r="E1166" s="5">
        <v>11.551809583020194</v>
      </c>
      <c r="F1166" s="5">
        <v>-5.1555793181492504E-3</v>
      </c>
      <c r="G1166" s="5">
        <v>0</v>
      </c>
    </row>
    <row r="1167" spans="1:7" x14ac:dyDescent="0.25">
      <c r="A1167" s="12">
        <v>45828</v>
      </c>
      <c r="B1167" s="13">
        <v>103721.91</v>
      </c>
      <c r="C1167" s="13">
        <v>103420</v>
      </c>
      <c r="D1167" s="5">
        <v>11.549468654446411</v>
      </c>
      <c r="E1167" s="5">
        <v>11.546553645950212</v>
      </c>
      <c r="F1167" s="5">
        <v>-5.5293188256886339E-3</v>
      </c>
      <c r="G1167" s="5">
        <v>-5.2559370699825081E-3</v>
      </c>
    </row>
    <row r="1168" spans="1:7" x14ac:dyDescent="0.25">
      <c r="A1168" s="12">
        <v>45831</v>
      </c>
      <c r="B1168" s="13">
        <v>103802.81</v>
      </c>
      <c r="C1168" s="13">
        <v>103295</v>
      </c>
      <c r="D1168" s="5">
        <v>11.550248320638449</v>
      </c>
      <c r="E1168" s="5">
        <v>11.545344251225728</v>
      </c>
      <c r="F1168" s="5">
        <v>7.7966619203806431E-4</v>
      </c>
      <c r="G1168" s="5">
        <v>-1.209394724483559E-3</v>
      </c>
    </row>
    <row r="1169" spans="1:7" x14ac:dyDescent="0.25">
      <c r="A1169" s="12">
        <v>45832</v>
      </c>
      <c r="B1169" s="13">
        <v>106143.11</v>
      </c>
      <c r="C1169" s="13">
        <v>105745</v>
      </c>
      <c r="D1169" s="5">
        <v>11.572543556875932</v>
      </c>
      <c r="E1169" s="5">
        <v>11.56878581446685</v>
      </c>
      <c r="F1169" s="5">
        <v>2.2295236237482641E-2</v>
      </c>
      <c r="G1169" s="5">
        <v>2.3441563241121344E-2</v>
      </c>
    </row>
    <row r="1170" spans="1:7" x14ac:dyDescent="0.25">
      <c r="A1170" s="12">
        <v>45833</v>
      </c>
      <c r="B1170" s="13">
        <v>107848.31</v>
      </c>
      <c r="C1170" s="13">
        <v>107840</v>
      </c>
      <c r="D1170" s="5">
        <v>11.588480981782613</v>
      </c>
      <c r="E1170" s="5">
        <v>11.588403926146134</v>
      </c>
      <c r="F1170" s="5">
        <v>1.5937424906681485E-2</v>
      </c>
      <c r="G1170" s="5">
        <v>1.9618111679283956E-2</v>
      </c>
    </row>
    <row r="1171" spans="1:7" x14ac:dyDescent="0.25">
      <c r="A1171" s="12">
        <v>45834</v>
      </c>
      <c r="B1171" s="13">
        <v>107811.61</v>
      </c>
      <c r="C1171" s="13">
        <v>107605</v>
      </c>
      <c r="D1171" s="5">
        <v>11.588140631101279</v>
      </c>
      <c r="E1171" s="5">
        <v>11.586222394031685</v>
      </c>
      <c r="F1171" s="5">
        <v>-3.4035068133420054E-4</v>
      </c>
      <c r="G1171" s="5">
        <v>-2.1815321144487143E-3</v>
      </c>
    </row>
    <row r="1172" spans="1:7" x14ac:dyDescent="0.25">
      <c r="A1172" s="12">
        <v>45835</v>
      </c>
      <c r="B1172" s="13">
        <v>107169.81</v>
      </c>
      <c r="C1172" s="13">
        <v>106688.6</v>
      </c>
      <c r="D1172" s="5">
        <v>11.582169864821269</v>
      </c>
      <c r="E1172" s="5">
        <v>11.577669589969878</v>
      </c>
      <c r="F1172" s="5">
        <v>-5.9707662800096983E-3</v>
      </c>
      <c r="G1172" s="5">
        <v>-8.5528040618072509E-3</v>
      </c>
    </row>
    <row r="1173" spans="1:7" x14ac:dyDescent="0.25">
      <c r="A1173" s="12">
        <v>45838</v>
      </c>
      <c r="B1173" s="13">
        <v>107606.61</v>
      </c>
      <c r="C1173" s="13">
        <v>108235</v>
      </c>
      <c r="D1173" s="5">
        <v>11.586237356049766</v>
      </c>
      <c r="E1173" s="5">
        <v>11.592060068133955</v>
      </c>
      <c r="F1173" s="5">
        <v>4.0674912284970333E-3</v>
      </c>
      <c r="G1173" s="5">
        <v>1.4390478164077791E-2</v>
      </c>
    </row>
    <row r="1174" spans="1:7" x14ac:dyDescent="0.25">
      <c r="A1174" s="12">
        <v>45839</v>
      </c>
      <c r="B1174" s="13">
        <v>105949.31</v>
      </c>
      <c r="C1174" s="13">
        <v>105750</v>
      </c>
      <c r="D1174" s="5">
        <v>11.57071605116934</v>
      </c>
      <c r="E1174" s="5">
        <v>11.568833096908524</v>
      </c>
      <c r="F1174" s="5">
        <v>-1.5521304880426356E-2</v>
      </c>
      <c r="G1174" s="5">
        <v>-2.3226971225431825E-2</v>
      </c>
    </row>
    <row r="1175" spans="1:7" x14ac:dyDescent="0.25">
      <c r="A1175" s="12">
        <v>45840</v>
      </c>
      <c r="B1175" s="13">
        <v>109213.41</v>
      </c>
      <c r="C1175" s="13">
        <v>110285</v>
      </c>
      <c r="D1175" s="5">
        <v>11.601059136951172</v>
      </c>
      <c r="E1175" s="5">
        <v>11.610823203246689</v>
      </c>
      <c r="F1175" s="5">
        <v>3.0343085781831647E-2</v>
      </c>
      <c r="G1175" s="5">
        <v>4.1990106338165134E-2</v>
      </c>
    </row>
    <row r="1176" spans="1:7" x14ac:dyDescent="0.25">
      <c r="A1176" s="12">
        <v>45841</v>
      </c>
      <c r="B1176" s="13">
        <v>109985.51</v>
      </c>
      <c r="C1176" s="13">
        <v>110415</v>
      </c>
      <c r="D1176" s="5">
        <v>11.608103908825028</v>
      </c>
      <c r="E1176" s="5">
        <v>11.612001273160915</v>
      </c>
      <c r="F1176" s="5">
        <v>7.0447718738559928E-3</v>
      </c>
      <c r="G1176" s="5">
        <v>1.1780699142267537E-3</v>
      </c>
    </row>
    <row r="1177" spans="1:7" x14ac:dyDescent="0.25">
      <c r="A1177" s="12">
        <v>45842</v>
      </c>
      <c r="B1177" s="13">
        <v>107741.81</v>
      </c>
      <c r="C1177" s="17">
        <v>110415</v>
      </c>
      <c r="D1177" s="5">
        <v>11.587492995796399</v>
      </c>
      <c r="E1177" s="5">
        <v>11.612001273160915</v>
      </c>
      <c r="F1177" s="5">
        <v>-2.0610913028628275E-2</v>
      </c>
      <c r="G1177" s="5">
        <v>0</v>
      </c>
    </row>
    <row r="1178" spans="1:7" x14ac:dyDescent="0.25">
      <c r="A1178" s="12">
        <v>45845</v>
      </c>
      <c r="B1178" s="13">
        <v>107900.91</v>
      </c>
      <c r="C1178" s="13">
        <v>108455</v>
      </c>
      <c r="D1178" s="5">
        <v>11.588968584945603</v>
      </c>
      <c r="E1178" s="5">
        <v>11.594090619387737</v>
      </c>
      <c r="F1178" s="5">
        <v>1.4755891492033157E-3</v>
      </c>
      <c r="G1178" s="5">
        <v>-1.7910653773178353E-2</v>
      </c>
    </row>
    <row r="1179" spans="1:7" x14ac:dyDescent="0.25">
      <c r="A1179" s="12">
        <v>45846</v>
      </c>
      <c r="B1179" s="13">
        <v>108682.81</v>
      </c>
      <c r="C1179" s="13">
        <v>109215</v>
      </c>
      <c r="D1179" s="5">
        <v>11.596188918929254</v>
      </c>
      <c r="E1179" s="5">
        <v>11.601073695496922</v>
      </c>
      <c r="F1179" s="5">
        <v>7.2203339836516278E-3</v>
      </c>
      <c r="G1179" s="5">
        <v>6.9830761091846938E-3</v>
      </c>
    </row>
    <row r="1180" spans="1:7" x14ac:dyDescent="0.25">
      <c r="A1180" s="12">
        <v>45847</v>
      </c>
      <c r="B1180" s="13">
        <v>110758.81</v>
      </c>
      <c r="C1180" s="13">
        <v>112245</v>
      </c>
      <c r="D1180" s="5">
        <v>11.615110233276297</v>
      </c>
      <c r="E1180" s="5">
        <v>11.628439261182569</v>
      </c>
      <c r="F1180" s="5">
        <v>1.892131434704325E-2</v>
      </c>
      <c r="G1180" s="5">
        <v>2.7365565685647297E-2</v>
      </c>
    </row>
    <row r="1181" spans="1:7" x14ac:dyDescent="0.25">
      <c r="A1181" s="12">
        <v>45848</v>
      </c>
      <c r="B1181" s="13">
        <v>113584.72</v>
      </c>
      <c r="C1181" s="13">
        <v>113870</v>
      </c>
      <c r="D1181" s="5">
        <v>11.640304269180051</v>
      </c>
      <c r="E1181" s="5">
        <v>11.642812725804651</v>
      </c>
      <c r="F1181" s="5">
        <v>2.5194035903753687E-2</v>
      </c>
      <c r="G1181" s="5">
        <v>1.4373464622082111E-2</v>
      </c>
    </row>
    <row r="1182" spans="1:7" x14ac:dyDescent="0.25">
      <c r="A1182" s="12">
        <v>45849</v>
      </c>
      <c r="B1182" s="13">
        <v>117730.81</v>
      </c>
      <c r="C1182" s="13">
        <v>118530</v>
      </c>
      <c r="D1182" s="5">
        <v>11.676156026198068</v>
      </c>
      <c r="E1182" s="5">
        <v>11.682921372073546</v>
      </c>
      <c r="F1182" s="5">
        <v>3.5851757018017238E-2</v>
      </c>
      <c r="G1182" s="5">
        <v>4.0108646268894432E-2</v>
      </c>
    </row>
    <row r="1183" spans="1:7" x14ac:dyDescent="0.25">
      <c r="A1183" s="12">
        <v>45852</v>
      </c>
      <c r="B1183" s="13">
        <v>120198.01</v>
      </c>
      <c r="C1183" s="13">
        <v>120235</v>
      </c>
      <c r="D1183" s="5">
        <v>11.696895745205763</v>
      </c>
      <c r="E1183" s="5">
        <v>11.697203440062571</v>
      </c>
      <c r="F1183" s="5">
        <v>2.0739719007695001E-2</v>
      </c>
      <c r="G1183" s="5">
        <v>1.4282067989025649E-2</v>
      </c>
    </row>
    <row r="1184" spans="1:7" x14ac:dyDescent="0.25">
      <c r="A1184" s="12">
        <v>45853</v>
      </c>
      <c r="B1184" s="13">
        <v>116440.51</v>
      </c>
      <c r="C1184" s="13">
        <v>116740</v>
      </c>
      <c r="D1184" s="5">
        <v>11.665135777788134</v>
      </c>
      <c r="E1184" s="5">
        <v>11.667704518757782</v>
      </c>
      <c r="F1184" s="5">
        <v>-3.1759967417629653E-2</v>
      </c>
      <c r="G1184" s="5">
        <v>-2.949892130478915E-2</v>
      </c>
    </row>
    <row r="1185" spans="1:7" x14ac:dyDescent="0.25">
      <c r="A1185" s="12">
        <v>45854</v>
      </c>
      <c r="B1185" s="13">
        <v>119972.91</v>
      </c>
      <c r="C1185" s="13">
        <v>119630</v>
      </c>
      <c r="D1185" s="5">
        <v>11.695021246278817</v>
      </c>
      <c r="E1185" s="5">
        <v>11.69215892516495</v>
      </c>
      <c r="F1185" s="5">
        <v>2.9885468490682854E-2</v>
      </c>
      <c r="G1185" s="5">
        <v>2.4454406407167895E-2</v>
      </c>
    </row>
    <row r="1186" spans="1:7" x14ac:dyDescent="0.25">
      <c r="A1186" s="12">
        <v>45855</v>
      </c>
      <c r="B1186" s="13">
        <v>119480.12</v>
      </c>
      <c r="C1186" s="13">
        <v>119290</v>
      </c>
      <c r="D1186" s="5">
        <v>11.690905276681734</v>
      </c>
      <c r="E1186" s="5">
        <v>11.689312782275991</v>
      </c>
      <c r="F1186" s="5">
        <v>-4.1159695970822696E-3</v>
      </c>
      <c r="G1186" s="5">
        <v>-2.8461428889592355E-3</v>
      </c>
    </row>
    <row r="1187" spans="1:7" x14ac:dyDescent="0.25">
      <c r="A1187" s="12">
        <v>45856</v>
      </c>
      <c r="B1187" s="13">
        <v>117489.12</v>
      </c>
      <c r="C1187" s="13">
        <v>117565</v>
      </c>
      <c r="D1187" s="5">
        <v>11.67410101253442</v>
      </c>
      <c r="E1187" s="5">
        <v>11.674746651101707</v>
      </c>
      <c r="F1187" s="5">
        <v>-1.6804264147314285E-2</v>
      </c>
      <c r="G1187" s="5">
        <v>-1.456613117428418E-2</v>
      </c>
    </row>
    <row r="1188" spans="1:7" x14ac:dyDescent="0.25">
      <c r="A1188" s="12">
        <v>45859</v>
      </c>
      <c r="B1188" s="13">
        <v>116990.81</v>
      </c>
      <c r="C1188" s="13">
        <v>116820</v>
      </c>
      <c r="D1188" s="5">
        <v>11.669850663686368</v>
      </c>
      <c r="E1188" s="5">
        <v>11.6683895675943</v>
      </c>
      <c r="F1188" s="5">
        <v>-4.2503488480516438E-3</v>
      </c>
      <c r="G1188" s="5">
        <v>-6.3570835074067134E-3</v>
      </c>
    </row>
    <row r="1189" spans="1:7" x14ac:dyDescent="0.25">
      <c r="A1189" s="12">
        <v>45860</v>
      </c>
      <c r="B1189" s="13">
        <v>119772.22</v>
      </c>
      <c r="C1189" s="13">
        <v>119505</v>
      </c>
      <c r="D1189" s="5">
        <v>11.693347051296197</v>
      </c>
      <c r="E1189" s="5">
        <v>11.691113490482577</v>
      </c>
      <c r="F1189" s="5">
        <v>2.3496387609828417E-2</v>
      </c>
      <c r="G1189" s="5">
        <v>2.2723922888276959E-2</v>
      </c>
    </row>
    <row r="1190" spans="1:7" x14ac:dyDescent="0.25">
      <c r="A1190" s="12">
        <v>45861</v>
      </c>
      <c r="B1190" s="13">
        <v>117961.72</v>
      </c>
      <c r="C1190" s="13">
        <v>118555</v>
      </c>
      <c r="D1190" s="5">
        <v>11.678115444036878</v>
      </c>
      <c r="E1190" s="5">
        <v>11.683132266901078</v>
      </c>
      <c r="F1190" s="5">
        <v>-1.523160725931838E-2</v>
      </c>
      <c r="G1190" s="5">
        <v>-7.9812235814991084E-3</v>
      </c>
    </row>
    <row r="1191" spans="1:7" x14ac:dyDescent="0.25">
      <c r="A1191" s="12">
        <v>45862</v>
      </c>
      <c r="B1191" s="13">
        <v>118780.41</v>
      </c>
      <c r="C1191" s="13">
        <v>119035</v>
      </c>
      <c r="D1191" s="5">
        <v>11.68503177332345</v>
      </c>
      <c r="E1191" s="5">
        <v>11.687172846496608</v>
      </c>
      <c r="F1191" s="5">
        <v>6.9163292865717096E-3</v>
      </c>
      <c r="G1191" s="5">
        <v>4.0405795955305024E-3</v>
      </c>
    </row>
    <row r="1192" spans="1:7" x14ac:dyDescent="0.25">
      <c r="A1192" s="12">
        <v>45863</v>
      </c>
      <c r="B1192" s="13">
        <v>117104.31</v>
      </c>
      <c r="C1192" s="13">
        <v>115484.7</v>
      </c>
      <c r="D1192" s="5">
        <v>11.670820355057071</v>
      </c>
      <c r="E1192" s="5">
        <v>11.656893332636919</v>
      </c>
      <c r="F1192" s="5">
        <v>-1.4211418266379283E-2</v>
      </c>
      <c r="G1192" s="5">
        <v>-3.0279513859689189E-2</v>
      </c>
    </row>
    <row r="1193" spans="1:7" x14ac:dyDescent="0.25">
      <c r="A1193" s="12">
        <v>45866</v>
      </c>
      <c r="B1193" s="13">
        <v>118040.22</v>
      </c>
      <c r="C1193" s="13">
        <v>119010</v>
      </c>
      <c r="D1193" s="5">
        <v>11.678780692830131</v>
      </c>
      <c r="E1193" s="5">
        <v>11.686962802176485</v>
      </c>
      <c r="F1193" s="5">
        <v>7.9603377730599334E-3</v>
      </c>
      <c r="G1193" s="5">
        <v>3.0069469539565574E-2</v>
      </c>
    </row>
    <row r="1194" spans="1:7" x14ac:dyDescent="0.25">
      <c r="A1194" s="12">
        <v>45867</v>
      </c>
      <c r="B1194" s="13">
        <v>117479.31</v>
      </c>
      <c r="C1194" s="13">
        <v>118295</v>
      </c>
      <c r="D1194" s="5">
        <v>11.674017511955165</v>
      </c>
      <c r="E1194" s="5">
        <v>11.68093678364639</v>
      </c>
      <c r="F1194" s="5">
        <v>-4.7631808749653004E-3</v>
      </c>
      <c r="G1194" s="5">
        <v>-6.0260185300951008E-3</v>
      </c>
    </row>
    <row r="1195" spans="1:7" x14ac:dyDescent="0.25">
      <c r="A1195" s="12">
        <v>45868</v>
      </c>
      <c r="B1195" s="13">
        <v>117143.62</v>
      </c>
      <c r="C1195" s="13">
        <v>117620</v>
      </c>
      <c r="D1195" s="5">
        <v>11.671155982359041</v>
      </c>
      <c r="E1195" s="5">
        <v>11.675214368013947</v>
      </c>
      <c r="F1195" s="5">
        <v>-2.8615295961245124E-3</v>
      </c>
      <c r="G1195" s="5">
        <v>-5.72241563244269E-3</v>
      </c>
    </row>
    <row r="1196" spans="1:7" x14ac:dyDescent="0.25">
      <c r="A1196" s="12">
        <v>45869</v>
      </c>
      <c r="B1196" s="13">
        <v>116491.12</v>
      </c>
      <c r="C1196" s="13">
        <v>117435</v>
      </c>
      <c r="D1196" s="5">
        <v>11.665570325906792</v>
      </c>
      <c r="E1196" s="5">
        <v>11.673640268010125</v>
      </c>
      <c r="F1196" s="5">
        <v>-5.5856564522489549E-3</v>
      </c>
      <c r="G1196" s="5">
        <v>-1.5741000038218544E-3</v>
      </c>
    </row>
    <row r="1197" spans="1:7" x14ac:dyDescent="0.25">
      <c r="A1197" s="12">
        <v>45870</v>
      </c>
      <c r="B1197" s="13">
        <v>113905.41</v>
      </c>
      <c r="C1197" s="13">
        <v>113570</v>
      </c>
      <c r="D1197" s="5">
        <v>11.643123646112381</v>
      </c>
      <c r="E1197" s="5">
        <v>11.640174665885691</v>
      </c>
      <c r="F1197" s="5">
        <v>-2.2446679794411395E-2</v>
      </c>
      <c r="G1197" s="5">
        <v>-3.3465602124433502E-2</v>
      </c>
    </row>
    <row r="1198" spans="1:7" x14ac:dyDescent="0.25">
      <c r="A1198" s="12">
        <v>45873</v>
      </c>
      <c r="B1198" s="13">
        <v>114821.41</v>
      </c>
      <c r="C1198" s="13">
        <v>115285</v>
      </c>
      <c r="D1198" s="5">
        <v>11.651133243736805</v>
      </c>
      <c r="E1198" s="5">
        <v>11.655162602390714</v>
      </c>
      <c r="F1198" s="5">
        <v>8.0095976244241029E-3</v>
      </c>
      <c r="G1198" s="5">
        <v>1.4987936505022503E-2</v>
      </c>
    </row>
    <row r="1199" spans="1:7" x14ac:dyDescent="0.25">
      <c r="A1199" s="12">
        <v>45874</v>
      </c>
      <c r="B1199" s="13">
        <v>113687.51</v>
      </c>
      <c r="C1199" s="13">
        <v>114155</v>
      </c>
      <c r="D1199" s="5">
        <v>11.641208823220891</v>
      </c>
      <c r="E1199" s="5">
        <v>11.645312453013554</v>
      </c>
      <c r="F1199" s="5">
        <v>-9.924420515913468E-3</v>
      </c>
      <c r="G1199" s="5">
        <v>-9.8501493771596671E-3</v>
      </c>
    </row>
    <row r="1200" spans="1:7" x14ac:dyDescent="0.25">
      <c r="A1200" s="12">
        <v>45875</v>
      </c>
      <c r="B1200" s="13">
        <v>115088.22</v>
      </c>
      <c r="C1200" s="13">
        <v>115830</v>
      </c>
      <c r="D1200" s="5">
        <v>11.653454243686014</v>
      </c>
      <c r="E1200" s="5">
        <v>11.659878877926392</v>
      </c>
      <c r="F1200" s="5">
        <v>1.2245420465122336E-2</v>
      </c>
      <c r="G1200" s="5">
        <v>1.4566424912837661E-2</v>
      </c>
    </row>
    <row r="1201" spans="1:7" x14ac:dyDescent="0.25">
      <c r="A1201" s="12">
        <v>45876</v>
      </c>
      <c r="B1201" s="13">
        <v>117239.91</v>
      </c>
      <c r="C1201" s="13">
        <v>118165</v>
      </c>
      <c r="D1201" s="5">
        <v>11.671977627168443</v>
      </c>
      <c r="E1201" s="5">
        <v>11.679837231814387</v>
      </c>
      <c r="F1201" s="5">
        <v>1.8523383482429878E-2</v>
      </c>
      <c r="G1201" s="5">
        <v>1.9958353887995273E-2</v>
      </c>
    </row>
    <row r="1202" spans="1:7" x14ac:dyDescent="0.25">
      <c r="A1202" s="12">
        <v>45877</v>
      </c>
      <c r="B1202" s="13">
        <v>116915.22</v>
      </c>
      <c r="C1202" s="13">
        <v>116955</v>
      </c>
      <c r="D1202" s="5">
        <v>11.669204335734657</v>
      </c>
      <c r="E1202" s="5">
        <v>11.66954452441181</v>
      </c>
      <c r="F1202" s="5">
        <v>-2.7732914337867953E-3</v>
      </c>
      <c r="G1202" s="5">
        <v>-1.029270740257715E-2</v>
      </c>
    </row>
    <row r="1203" spans="1:7" x14ac:dyDescent="0.25">
      <c r="A1203" s="12">
        <v>45880</v>
      </c>
      <c r="B1203" s="13">
        <v>118856.31</v>
      </c>
      <c r="C1203" s="13">
        <v>119465</v>
      </c>
      <c r="D1203" s="5">
        <v>11.685670563511943</v>
      </c>
      <c r="E1203" s="5">
        <v>11.690778720424632</v>
      </c>
      <c r="F1203" s="5">
        <v>1.6466227777286235E-2</v>
      </c>
      <c r="G1203" s="5">
        <v>2.1234196012821727E-2</v>
      </c>
    </row>
    <row r="1204" spans="1:7" x14ac:dyDescent="0.25">
      <c r="A1204" s="12">
        <v>45881</v>
      </c>
      <c r="B1204" s="13">
        <v>120177.31</v>
      </c>
      <c r="C1204" s="13">
        <v>120155</v>
      </c>
      <c r="D1204" s="5">
        <v>11.696723514545385</v>
      </c>
      <c r="E1204" s="5">
        <v>11.696537854947106</v>
      </c>
      <c r="F1204" s="5">
        <v>1.1052951033441616E-2</v>
      </c>
      <c r="G1204" s="5">
        <v>5.7591345224743407E-3</v>
      </c>
    </row>
    <row r="1205" spans="1:7" x14ac:dyDescent="0.25">
      <c r="A1205" s="12">
        <v>45882</v>
      </c>
      <c r="B1205" s="13">
        <v>122951.91</v>
      </c>
      <c r="C1205" s="13">
        <v>123430</v>
      </c>
      <c r="D1205" s="5">
        <v>11.719548582293907</v>
      </c>
      <c r="E1205" s="5">
        <v>11.723429472737974</v>
      </c>
      <c r="F1205" s="5">
        <v>2.2825067748522443E-2</v>
      </c>
      <c r="G1205" s="5">
        <v>2.6891617790868239E-2</v>
      </c>
    </row>
    <row r="1206" spans="1:7" x14ac:dyDescent="0.25">
      <c r="A1206" s="12">
        <v>45883</v>
      </c>
      <c r="B1206" s="13">
        <v>117957.12</v>
      </c>
      <c r="C1206" s="13">
        <v>118415</v>
      </c>
      <c r="D1206" s="5">
        <v>11.67807644757521</v>
      </c>
      <c r="E1206" s="5">
        <v>11.681950682596835</v>
      </c>
      <c r="F1206" s="5">
        <v>-4.1472134718697262E-2</v>
      </c>
      <c r="G1206" s="5">
        <v>-4.1478790141139754E-2</v>
      </c>
    </row>
    <row r="1207" spans="1:7" x14ac:dyDescent="0.25">
      <c r="A1207" s="12">
        <v>45884</v>
      </c>
      <c r="B1207" s="13">
        <v>117370.81</v>
      </c>
      <c r="C1207" s="13">
        <v>117235</v>
      </c>
      <c r="D1207" s="5">
        <v>11.673093518322805</v>
      </c>
      <c r="E1207" s="5">
        <v>11.671935746354837</v>
      </c>
      <c r="F1207" s="5">
        <v>-4.9829292524048441E-3</v>
      </c>
      <c r="G1207" s="5">
        <v>-1.0014936241997674E-2</v>
      </c>
    </row>
    <row r="1208" spans="1:7" x14ac:dyDescent="0.25">
      <c r="A1208" s="12">
        <v>45887</v>
      </c>
      <c r="B1208" s="13">
        <v>116474.22</v>
      </c>
      <c r="C1208" s="13">
        <v>116600</v>
      </c>
      <c r="D1208" s="5">
        <v>11.665425239946542</v>
      </c>
      <c r="E1208" s="5">
        <v>11.666504552898529</v>
      </c>
      <c r="F1208" s="5">
        <v>-7.6682783762631601E-3</v>
      </c>
      <c r="G1208" s="5">
        <v>-5.4311934563084918E-3</v>
      </c>
    </row>
    <row r="1209" spans="1:7" x14ac:dyDescent="0.25">
      <c r="A1209" s="12">
        <v>45888</v>
      </c>
      <c r="B1209" s="13">
        <v>113553.72</v>
      </c>
      <c r="C1209" s="13">
        <v>113235</v>
      </c>
      <c r="D1209" s="5">
        <v>11.640031307895361</v>
      </c>
      <c r="E1209" s="5">
        <v>11.637220584241835</v>
      </c>
      <c r="F1209" s="5">
        <v>-2.5393932051180457E-2</v>
      </c>
      <c r="G1209" s="5">
        <v>-2.9283968656693915E-2</v>
      </c>
    </row>
    <row r="1210" spans="1:7" x14ac:dyDescent="0.25">
      <c r="A1210" s="12">
        <v>45889</v>
      </c>
      <c r="B1210" s="13">
        <v>114387.01</v>
      </c>
      <c r="C1210" s="13">
        <v>114465</v>
      </c>
      <c r="D1210" s="5">
        <v>11.647342802529616</v>
      </c>
      <c r="E1210" s="5">
        <v>11.648024378391844</v>
      </c>
      <c r="F1210" s="5">
        <v>7.3114946342549558E-3</v>
      </c>
      <c r="G1210" s="5">
        <v>1.0803794150008983E-2</v>
      </c>
    </row>
    <row r="1211" spans="1:7" x14ac:dyDescent="0.25">
      <c r="A1211" s="12">
        <v>45890</v>
      </c>
      <c r="B1211" s="13">
        <v>112420.81</v>
      </c>
      <c r="C1211" s="13">
        <v>112285</v>
      </c>
      <c r="D1211" s="5">
        <v>11.630004341653752</v>
      </c>
      <c r="E1211" s="5">
        <v>11.628795561012641</v>
      </c>
      <c r="F1211" s="5">
        <v>-1.7338460875864214E-2</v>
      </c>
      <c r="G1211" s="5">
        <v>-1.9228817379202567E-2</v>
      </c>
    </row>
    <row r="1212" spans="1:7" x14ac:dyDescent="0.25">
      <c r="A1212" s="12">
        <v>45891</v>
      </c>
      <c r="B1212" s="13">
        <v>117042.51</v>
      </c>
      <c r="C1212" s="13">
        <v>116850</v>
      </c>
      <c r="D1212" s="5">
        <v>11.670292481123655</v>
      </c>
      <c r="E1212" s="5">
        <v>11.668646339967005</v>
      </c>
      <c r="F1212" s="5">
        <v>4.0288139469902617E-2</v>
      </c>
      <c r="G1212" s="5">
        <v>3.9850778954363619E-2</v>
      </c>
    </row>
    <row r="1213" spans="1:7" x14ac:dyDescent="0.25">
      <c r="A1213" s="12">
        <v>45894</v>
      </c>
      <c r="B1213" s="13">
        <v>109574.81</v>
      </c>
      <c r="C1213" s="13">
        <v>110910</v>
      </c>
      <c r="D1213" s="5">
        <v>11.604362791313342</v>
      </c>
      <c r="E1213" s="5">
        <v>11.616474340598787</v>
      </c>
      <c r="F1213" s="5">
        <v>-6.5929689810312553E-2</v>
      </c>
      <c r="G1213" s="5">
        <v>-5.2171999368217925E-2</v>
      </c>
    </row>
    <row r="1214" spans="1:7" x14ac:dyDescent="0.25">
      <c r="A1214" s="12">
        <v>45895</v>
      </c>
      <c r="B1214" s="13">
        <v>111356.41</v>
      </c>
      <c r="C1214" s="13">
        <v>111230</v>
      </c>
      <c r="D1214" s="5">
        <v>11.620491237261241</v>
      </c>
      <c r="E1214" s="5">
        <v>11.619355408586076</v>
      </c>
      <c r="F1214" s="5">
        <v>1.6128445947899195E-2</v>
      </c>
      <c r="G1214" s="5">
        <v>2.8810679872890432E-3</v>
      </c>
    </row>
    <row r="1215" spans="1:7" x14ac:dyDescent="0.25">
      <c r="A1215" s="12">
        <v>45896</v>
      </c>
      <c r="B1215" s="13">
        <v>112421.91</v>
      </c>
      <c r="C1215" s="13">
        <v>112220</v>
      </c>
      <c r="D1215" s="5">
        <v>11.630014126271195</v>
      </c>
      <c r="E1215" s="5">
        <v>11.628216509304963</v>
      </c>
      <c r="F1215" s="5">
        <v>9.5228890099541275E-3</v>
      </c>
      <c r="G1215" s="5">
        <v>8.8611007188870161E-3</v>
      </c>
    </row>
    <row r="1216" spans="1:7" x14ac:dyDescent="0.25">
      <c r="A1216" s="12">
        <v>45897</v>
      </c>
      <c r="B1216" s="13">
        <v>111924.51</v>
      </c>
      <c r="C1216" s="13">
        <v>112025</v>
      </c>
      <c r="D1216" s="5">
        <v>11.625579905167932</v>
      </c>
      <c r="E1216" s="5">
        <v>11.626477339654343</v>
      </c>
      <c r="F1216" s="5">
        <v>-4.4342211032635248E-3</v>
      </c>
      <c r="G1216" s="5">
        <v>-1.7391696506194876E-3</v>
      </c>
    </row>
    <row r="1217" spans="1:7" x14ac:dyDescent="0.25">
      <c r="A1217" s="12">
        <v>45898</v>
      </c>
      <c r="B1217" s="13">
        <v>107800.31</v>
      </c>
      <c r="C1217" s="13">
        <v>108653.8</v>
      </c>
      <c r="D1217" s="5">
        <v>11.588035813148633</v>
      </c>
      <c r="E1217" s="5">
        <v>11.595921959762345</v>
      </c>
      <c r="F1217" s="5">
        <v>-3.7544092019299313E-2</v>
      </c>
      <c r="G1217" s="5">
        <v>-3.0555379891998413E-2</v>
      </c>
    </row>
    <row r="1218" spans="1:7" x14ac:dyDescent="0.25">
      <c r="A1218" s="12">
        <v>45901</v>
      </c>
      <c r="B1218" s="13">
        <v>108873.11</v>
      </c>
      <c r="C1218" s="17">
        <v>108653.8</v>
      </c>
      <c r="D1218" s="5">
        <v>11.597938354647068</v>
      </c>
      <c r="E1218" s="5">
        <v>11.595921959762345</v>
      </c>
      <c r="F1218" s="5">
        <v>9.9025414984357241E-3</v>
      </c>
      <c r="G1218" s="5">
        <v>0</v>
      </c>
    </row>
    <row r="1219" spans="1:7" x14ac:dyDescent="0.25">
      <c r="A1219" s="12">
        <v>45902</v>
      </c>
      <c r="B1219" s="13">
        <v>111424.51</v>
      </c>
      <c r="C1219" s="13">
        <v>111385</v>
      </c>
      <c r="D1219" s="5">
        <v>11.621102600228241</v>
      </c>
      <c r="E1219" s="5">
        <v>11.620747947498975</v>
      </c>
      <c r="F1219" s="5">
        <v>2.3164245581172693E-2</v>
      </c>
      <c r="G1219" s="5">
        <v>2.482598773663014E-2</v>
      </c>
    </row>
    <row r="1220" spans="1:7" x14ac:dyDescent="0.25">
      <c r="A1220" s="12">
        <v>45903</v>
      </c>
      <c r="B1220" s="13">
        <v>112263.72</v>
      </c>
      <c r="C1220" s="13">
        <v>112830</v>
      </c>
      <c r="D1220" s="5">
        <v>11.62860602530686</v>
      </c>
      <c r="E1220" s="5">
        <v>11.633637540132492</v>
      </c>
      <c r="F1220" s="5">
        <v>7.5034250786192302E-3</v>
      </c>
      <c r="G1220" s="5">
        <v>1.2889592633516855E-2</v>
      </c>
    </row>
    <row r="1221" spans="1:7" x14ac:dyDescent="0.25">
      <c r="A1221" s="12">
        <v>45904</v>
      </c>
      <c r="B1221" s="13">
        <v>110407.01</v>
      </c>
      <c r="C1221" s="13">
        <v>110245</v>
      </c>
      <c r="D1221" s="5">
        <v>11.611928907186133</v>
      </c>
      <c r="E1221" s="5">
        <v>11.61046044080676</v>
      </c>
      <c r="F1221" s="5">
        <v>-1.667711812072703E-2</v>
      </c>
      <c r="G1221" s="5">
        <v>-2.3177099325732087E-2</v>
      </c>
    </row>
    <row r="1222" spans="1:7" x14ac:dyDescent="0.25">
      <c r="A1222" s="12">
        <v>45905</v>
      </c>
      <c r="B1222" s="13">
        <v>111644.51</v>
      </c>
      <c r="C1222" s="13">
        <v>111955</v>
      </c>
      <c r="D1222" s="5">
        <v>11.623075084541208</v>
      </c>
      <c r="E1222" s="5">
        <v>11.62585228382544</v>
      </c>
      <c r="F1222" s="5">
        <v>1.1146177355074727E-2</v>
      </c>
      <c r="G1222" s="5">
        <v>1.5391843018679907E-2</v>
      </c>
    </row>
    <row r="1223" spans="1:7" x14ac:dyDescent="0.25">
      <c r="A1223" s="12">
        <v>45908</v>
      </c>
      <c r="B1223" s="13">
        <v>111986.51</v>
      </c>
      <c r="C1223" s="13">
        <v>112480</v>
      </c>
      <c r="D1223" s="5">
        <v>11.626133696594406</v>
      </c>
      <c r="E1223" s="5">
        <v>11.630530707044493</v>
      </c>
      <c r="F1223" s="5">
        <v>3.0586120531985728E-3</v>
      </c>
      <c r="G1223" s="5">
        <v>4.6784232190528741E-3</v>
      </c>
    </row>
    <row r="1224" spans="1:7" x14ac:dyDescent="0.25">
      <c r="A1224" s="12">
        <v>45909</v>
      </c>
      <c r="B1224" s="13">
        <v>111517.81</v>
      </c>
      <c r="C1224" s="13">
        <v>111695</v>
      </c>
      <c r="D1224" s="5">
        <v>11.621939588068386</v>
      </c>
      <c r="E1224" s="5">
        <v>11.623527221298025</v>
      </c>
      <c r="F1224" s="5">
        <v>-4.1941085260202016E-3</v>
      </c>
      <c r="G1224" s="5">
        <v>-7.00348574646803E-3</v>
      </c>
    </row>
    <row r="1225" spans="1:7" x14ac:dyDescent="0.25">
      <c r="A1225" s="12">
        <v>45910</v>
      </c>
      <c r="B1225" s="13">
        <v>113618.81</v>
      </c>
      <c r="C1225" s="13">
        <v>113975</v>
      </c>
      <c r="D1225" s="5">
        <v>11.640604352548085</v>
      </c>
      <c r="E1225" s="5">
        <v>11.643734405081641</v>
      </c>
      <c r="F1225" s="5">
        <v>1.8664764479698448E-2</v>
      </c>
      <c r="G1225" s="5">
        <v>2.0207183783616856E-2</v>
      </c>
    </row>
    <row r="1226" spans="1:7" x14ac:dyDescent="0.25">
      <c r="A1226" s="12">
        <v>45911</v>
      </c>
      <c r="B1226" s="13">
        <v>114428.01</v>
      </c>
      <c r="C1226" s="13">
        <v>114930</v>
      </c>
      <c r="D1226" s="5">
        <v>11.647701170616106</v>
      </c>
      <c r="E1226" s="5">
        <v>11.652078526362804</v>
      </c>
      <c r="F1226" s="5">
        <v>7.0968180680210935E-3</v>
      </c>
      <c r="G1226" s="5">
        <v>8.3441212811621313E-3</v>
      </c>
    </row>
    <row r="1227" spans="1:7" x14ac:dyDescent="0.25">
      <c r="A1227" s="12">
        <v>45912</v>
      </c>
      <c r="B1227" s="13">
        <v>116255.31</v>
      </c>
      <c r="C1227" s="13">
        <v>117265</v>
      </c>
      <c r="D1227" s="5">
        <v>11.663543999825777</v>
      </c>
      <c r="E1227" s="5">
        <v>11.672191609895677</v>
      </c>
      <c r="F1227" s="5">
        <v>1.5842829209670839E-2</v>
      </c>
      <c r="G1227" s="5">
        <v>2.0113083532873333E-2</v>
      </c>
    </row>
    <row r="1228" spans="1:7" x14ac:dyDescent="0.25">
      <c r="A1228" s="12">
        <v>45915</v>
      </c>
      <c r="B1228" s="13">
        <v>115409.81</v>
      </c>
      <c r="C1228" s="13">
        <v>115575</v>
      </c>
      <c r="D1228" s="5">
        <v>11.656244638108616</v>
      </c>
      <c r="E1228" s="5">
        <v>11.657674948856426</v>
      </c>
      <c r="F1228" s="5">
        <v>-7.2993617171608349E-3</v>
      </c>
      <c r="G1228" s="5">
        <v>-1.4516661039250423E-2</v>
      </c>
    </row>
    <row r="1229" spans="1:7" x14ac:dyDescent="0.25">
      <c r="A1229" s="12">
        <v>45916</v>
      </c>
      <c r="B1229" s="13">
        <v>116894.22</v>
      </c>
      <c r="C1229" s="13">
        <v>117090</v>
      </c>
      <c r="D1229" s="5">
        <v>11.669024702268562</v>
      </c>
      <c r="E1229" s="5">
        <v>11.670698148842771</v>
      </c>
      <c r="F1229" s="5">
        <v>1.2780064159946036E-2</v>
      </c>
      <c r="G1229" s="5">
        <v>1.302319998634438E-2</v>
      </c>
    </row>
    <row r="1230" spans="1:7" x14ac:dyDescent="0.25">
      <c r="A1230" s="12">
        <v>45917</v>
      </c>
      <c r="B1230" s="13">
        <v>115656.22</v>
      </c>
      <c r="C1230" s="13">
        <v>115825</v>
      </c>
      <c r="D1230" s="5">
        <v>11.658377449179179</v>
      </c>
      <c r="E1230" s="5">
        <v>11.659835710284849</v>
      </c>
      <c r="F1230" s="5">
        <v>-1.0647253089382858E-2</v>
      </c>
      <c r="G1230" s="5">
        <v>-1.0862438557921905E-2</v>
      </c>
    </row>
    <row r="1231" spans="1:7" x14ac:dyDescent="0.25">
      <c r="A1231" s="12">
        <v>45918</v>
      </c>
      <c r="B1231" s="13">
        <v>117579.51</v>
      </c>
      <c r="C1231" s="13">
        <v>117770</v>
      </c>
      <c r="D1231" s="5">
        <v>11.674870064572158</v>
      </c>
      <c r="E1231" s="5">
        <v>11.676488848835595</v>
      </c>
      <c r="F1231" s="5">
        <v>1.6492615392978749E-2</v>
      </c>
      <c r="G1231" s="5">
        <v>1.6653138550745794E-2</v>
      </c>
    </row>
    <row r="1232" spans="1:7" x14ac:dyDescent="0.25">
      <c r="A1232" s="12">
        <v>45919</v>
      </c>
      <c r="B1232" s="13">
        <v>115389.41</v>
      </c>
      <c r="C1232" s="13">
        <v>115265</v>
      </c>
      <c r="D1232" s="5">
        <v>11.656067861080919</v>
      </c>
      <c r="E1232" s="5">
        <v>11.654989104233696</v>
      </c>
      <c r="F1232" s="5">
        <v>-1.8802203491238956E-2</v>
      </c>
      <c r="G1232" s="5">
        <v>-2.149974460189874E-2</v>
      </c>
    </row>
    <row r="1233" spans="1:7" x14ac:dyDescent="0.25">
      <c r="A1233" s="12">
        <v>45922</v>
      </c>
      <c r="B1233" s="13">
        <v>112849.41</v>
      </c>
      <c r="C1233" s="13">
        <v>112250</v>
      </c>
      <c r="D1233" s="5">
        <v>11.633809554053016</v>
      </c>
      <c r="E1233" s="5">
        <v>11.628483805604501</v>
      </c>
      <c r="F1233" s="5">
        <v>-2.2258307027902546E-2</v>
      </c>
      <c r="G1233" s="5">
        <v>-2.6505298629194485E-2</v>
      </c>
    </row>
    <row r="1234" spans="1:7" x14ac:dyDescent="0.25">
      <c r="A1234" s="12">
        <v>45923</v>
      </c>
      <c r="B1234" s="13">
        <v>112017.31</v>
      </c>
      <c r="C1234" s="13">
        <v>111715</v>
      </c>
      <c r="D1234" s="5">
        <v>11.626408691906487</v>
      </c>
      <c r="E1234" s="5">
        <v>11.623706264313586</v>
      </c>
      <c r="F1234" s="5">
        <v>-7.4008621465289082E-3</v>
      </c>
      <c r="G1234" s="5">
        <v>-4.7775412909150106E-3</v>
      </c>
    </row>
    <row r="1235" spans="1:7" x14ac:dyDescent="0.25">
      <c r="A1235" s="12">
        <v>45924</v>
      </c>
      <c r="B1235" s="13">
        <v>113571.01</v>
      </c>
      <c r="C1235" s="13">
        <v>113480</v>
      </c>
      <c r="D1235" s="5">
        <v>11.640183559039773</v>
      </c>
      <c r="E1235" s="5">
        <v>11.639381888922788</v>
      </c>
      <c r="F1235" s="5">
        <v>1.3774867133285795E-2</v>
      </c>
      <c r="G1235" s="5">
        <v>1.5675624609201577E-2</v>
      </c>
    </row>
    <row r="1236" spans="1:7" x14ac:dyDescent="0.25">
      <c r="A1236" s="12">
        <v>45925</v>
      </c>
      <c r="B1236" s="13">
        <v>109200.61</v>
      </c>
      <c r="C1236" s="13">
        <v>109385</v>
      </c>
      <c r="D1236" s="5">
        <v>11.600941928357926</v>
      </c>
      <c r="E1236" s="5">
        <v>11.602629048052007</v>
      </c>
      <c r="F1236" s="5">
        <v>-3.9241630681846829E-2</v>
      </c>
      <c r="G1236" s="5">
        <v>-3.6752840870780901E-2</v>
      </c>
    </row>
    <row r="1237" spans="1:7" x14ac:dyDescent="0.25">
      <c r="A1237" s="12">
        <v>45926</v>
      </c>
      <c r="B1237" s="13">
        <v>109361.22</v>
      </c>
      <c r="C1237" s="13">
        <v>109195.7</v>
      </c>
      <c r="D1237" s="5">
        <v>11.602411627151261</v>
      </c>
      <c r="E1237" s="5">
        <v>11.600896964228259</v>
      </c>
      <c r="F1237" s="5">
        <v>1.469698793334473E-3</v>
      </c>
      <c r="G1237" s="5">
        <v>-1.7320838237484537E-3</v>
      </c>
    </row>
    <row r="1238" spans="1:7" x14ac:dyDescent="0.25">
      <c r="A1238" s="12">
        <v>45929</v>
      </c>
      <c r="B1238" s="13">
        <v>114322.62</v>
      </c>
      <c r="C1238" s="13">
        <v>115230</v>
      </c>
      <c r="D1238" s="5">
        <v>11.646779730465695</v>
      </c>
      <c r="E1238" s="5">
        <v>11.65468541000806</v>
      </c>
      <c r="F1238" s="5">
        <v>4.4368103314434748E-2</v>
      </c>
      <c r="G1238" s="5">
        <v>5.3788445779801464E-2</v>
      </c>
    </row>
    <row r="1239" spans="1:7" x14ac:dyDescent="0.25">
      <c r="A1239" s="12">
        <v>45930</v>
      </c>
      <c r="B1239" s="13">
        <v>114640.81</v>
      </c>
      <c r="C1239" s="13">
        <v>115185</v>
      </c>
      <c r="D1239" s="5">
        <v>11.649559128073742</v>
      </c>
      <c r="E1239" s="5">
        <v>11.654294810432754</v>
      </c>
      <c r="F1239" s="5">
        <v>2.7793976080463523E-3</v>
      </c>
      <c r="G1239" s="5">
        <v>-3.9059957530618306E-4</v>
      </c>
    </row>
    <row r="1240" spans="1:7" x14ac:dyDescent="0.25">
      <c r="A1240" s="12">
        <v>45931</v>
      </c>
      <c r="B1240" s="13">
        <v>117592.31</v>
      </c>
      <c r="C1240" s="13">
        <v>118285</v>
      </c>
      <c r="D1240" s="5">
        <v>11.674978921152107</v>
      </c>
      <c r="E1240" s="5">
        <v>11.680852245646507</v>
      </c>
      <c r="F1240" s="5">
        <v>2.5419793078365061E-2</v>
      </c>
      <c r="G1240" s="5">
        <v>2.6557435213753422E-2</v>
      </c>
    </row>
    <row r="1241" spans="1:7" x14ac:dyDescent="0.25">
      <c r="A1241" s="12">
        <v>45932</v>
      </c>
      <c r="B1241" s="13">
        <v>120711.41</v>
      </c>
      <c r="C1241" s="13">
        <v>121910</v>
      </c>
      <c r="D1241" s="5">
        <v>11.701157934515031</v>
      </c>
      <c r="E1241" s="5">
        <v>11.711038346559192</v>
      </c>
      <c r="F1241" s="5">
        <v>2.6179013362924053E-2</v>
      </c>
      <c r="G1241" s="5">
        <v>3.0186100912684921E-2</v>
      </c>
    </row>
    <row r="1242" spans="1:7" x14ac:dyDescent="0.25">
      <c r="A1242" s="12">
        <v>45933</v>
      </c>
      <c r="B1242" s="13">
        <v>122545.41</v>
      </c>
      <c r="C1242" s="13">
        <v>123635</v>
      </c>
      <c r="D1242" s="5">
        <v>11.71623693415447</v>
      </c>
      <c r="E1242" s="5">
        <v>11.725088955441276</v>
      </c>
      <c r="F1242" s="5">
        <v>1.5078999639438706E-2</v>
      </c>
      <c r="G1242" s="5">
        <v>1.4050608882083537E-2</v>
      </c>
    </row>
    <row r="1243" spans="1:7" x14ac:dyDescent="0.25">
      <c r="A1243" s="12">
        <v>45936</v>
      </c>
      <c r="B1243" s="13">
        <v>125260.81</v>
      </c>
      <c r="C1243" s="13">
        <v>126315</v>
      </c>
      <c r="D1243" s="5">
        <v>11.738153322608072</v>
      </c>
      <c r="E1243" s="5">
        <v>11.746534066132202</v>
      </c>
      <c r="F1243" s="5">
        <v>2.1916388453602664E-2</v>
      </c>
      <c r="G1243" s="5">
        <v>2.1445110690926583E-2</v>
      </c>
    </row>
    <row r="1244" spans="1:7" x14ac:dyDescent="0.25">
      <c r="A1244" s="12">
        <v>45937</v>
      </c>
      <c r="B1244" s="13">
        <v>122014.51</v>
      </c>
      <c r="C1244" s="13">
        <v>122355</v>
      </c>
      <c r="D1244" s="5">
        <v>11.711895251069485</v>
      </c>
      <c r="E1244" s="5">
        <v>11.71468193440279</v>
      </c>
      <c r="F1244" s="5">
        <v>-2.6258071538586947E-2</v>
      </c>
      <c r="G1244" s="5">
        <v>-3.1852131729412037E-2</v>
      </c>
    </row>
    <row r="1245" spans="1:7" x14ac:dyDescent="0.25">
      <c r="A1245" s="12">
        <v>45938</v>
      </c>
      <c r="B1245" s="13">
        <v>122903.51</v>
      </c>
      <c r="C1245" s="13">
        <v>124070</v>
      </c>
      <c r="D1245" s="5">
        <v>11.719154854951022</v>
      </c>
      <c r="E1245" s="5">
        <v>11.728601201436918</v>
      </c>
      <c r="F1245" s="5">
        <v>7.2596038815362363E-3</v>
      </c>
      <c r="G1245" s="5">
        <v>1.3919267034127714E-2</v>
      </c>
    </row>
    <row r="1246" spans="1:7" x14ac:dyDescent="0.25">
      <c r="A1246" s="12">
        <v>45939</v>
      </c>
      <c r="B1246" s="13">
        <v>121175.51</v>
      </c>
      <c r="C1246" s="13">
        <v>121620</v>
      </c>
      <c r="D1246" s="5">
        <v>11.704995269493661</v>
      </c>
      <c r="E1246" s="5">
        <v>11.7086567086741</v>
      </c>
      <c r="F1246" s="5">
        <v>-1.415958545736018E-2</v>
      </c>
      <c r="G1246" s="5">
        <v>-1.9944492762817845E-2</v>
      </c>
    </row>
    <row r="1247" spans="1:7" x14ac:dyDescent="0.25">
      <c r="A1247" s="12">
        <v>45940</v>
      </c>
      <c r="B1247" s="13">
        <v>114341.41</v>
      </c>
      <c r="C1247" s="13">
        <v>116990</v>
      </c>
      <c r="D1247" s="5">
        <v>11.646944076384399</v>
      </c>
      <c r="E1247" s="5">
        <v>11.669843740041648</v>
      </c>
      <c r="F1247" s="5">
        <v>-5.8051193109262655E-2</v>
      </c>
      <c r="G1247" s="5">
        <v>-3.8812968632452538E-2</v>
      </c>
    </row>
    <row r="1248" spans="1:7" x14ac:dyDescent="0.25">
      <c r="A1248" s="12">
        <v>45943</v>
      </c>
      <c r="B1248" s="13">
        <v>115818.41</v>
      </c>
      <c r="C1248" s="13">
        <v>116380</v>
      </c>
      <c r="D1248" s="5">
        <v>11.65977881248662</v>
      </c>
      <c r="E1248" s="5">
        <v>11.66461597821066</v>
      </c>
      <c r="F1248" s="5">
        <v>1.2834736102220745E-2</v>
      </c>
      <c r="G1248" s="5">
        <v>-5.2277618309872764E-3</v>
      </c>
    </row>
    <row r="1249" spans="1:7" x14ac:dyDescent="0.25">
      <c r="A1249" s="12">
        <v>45944</v>
      </c>
      <c r="B1249" s="13">
        <v>113054.72</v>
      </c>
      <c r="C1249" s="13">
        <v>113085</v>
      </c>
      <c r="D1249" s="5">
        <v>11.635627228271966</v>
      </c>
      <c r="E1249" s="5">
        <v>11.635895027313913</v>
      </c>
      <c r="F1249" s="5">
        <v>-2.4151584214653354E-2</v>
      </c>
      <c r="G1249" s="5">
        <v>-2.8720950896747865E-2</v>
      </c>
    </row>
    <row r="1250" spans="1:7" x14ac:dyDescent="0.25">
      <c r="A1250" s="12">
        <v>45945</v>
      </c>
      <c r="B1250" s="13">
        <v>111177.01</v>
      </c>
      <c r="C1250" s="13">
        <v>111550</v>
      </c>
      <c r="D1250" s="5">
        <v>11.618878894819691</v>
      </c>
      <c r="E1250" s="5">
        <v>11.622228199860679</v>
      </c>
      <c r="F1250" s="5">
        <v>-1.6748333452275332E-2</v>
      </c>
      <c r="G1250" s="5">
        <v>-1.3666827453233665E-2</v>
      </c>
    </row>
    <row r="1251" spans="1:7" x14ac:dyDescent="0.25">
      <c r="A1251" s="12">
        <v>45946</v>
      </c>
      <c r="B1251" s="13">
        <v>107886.31</v>
      </c>
      <c r="C1251" s="13">
        <v>108445</v>
      </c>
      <c r="D1251" s="5">
        <v>11.588833266458971</v>
      </c>
      <c r="E1251" s="5">
        <v>11.593998410996708</v>
      </c>
      <c r="F1251" s="5">
        <v>-3.0045628360719334E-2</v>
      </c>
      <c r="G1251" s="5">
        <v>-2.8229788863971095E-2</v>
      </c>
    </row>
    <row r="1252" spans="1:7" x14ac:dyDescent="0.25">
      <c r="A1252" s="12">
        <v>45947</v>
      </c>
      <c r="B1252" s="13">
        <v>107048.51</v>
      </c>
      <c r="C1252" s="13">
        <v>106675</v>
      </c>
      <c r="D1252" s="5">
        <v>11.581037375191396</v>
      </c>
      <c r="E1252" s="5">
        <v>11.577542108056202</v>
      </c>
      <c r="F1252" s="5">
        <v>-7.7958912675750724E-3</v>
      </c>
      <c r="G1252" s="5">
        <v>-1.6456302940506262E-2</v>
      </c>
    </row>
    <row r="1253" spans="1:7" x14ac:dyDescent="0.25">
      <c r="A1253" s="12">
        <v>45950</v>
      </c>
      <c r="B1253" s="13">
        <v>111128.51</v>
      </c>
      <c r="C1253" s="13">
        <v>111075</v>
      </c>
      <c r="D1253" s="5">
        <v>11.61844255836912</v>
      </c>
      <c r="E1253" s="5">
        <v>11.617960927804109</v>
      </c>
      <c r="F1253" s="5">
        <v>3.7405183177723345E-2</v>
      </c>
      <c r="G1253" s="5">
        <v>4.0418819747907619E-2</v>
      </c>
    </row>
    <row r="1254" spans="1:7" x14ac:dyDescent="0.25">
      <c r="A1254" s="12">
        <v>45951</v>
      </c>
      <c r="B1254" s="13">
        <v>110857.91</v>
      </c>
      <c r="C1254" s="13">
        <v>112105</v>
      </c>
      <c r="D1254" s="5">
        <v>11.616004570189192</v>
      </c>
      <c r="E1254" s="5">
        <v>11.627191211098571</v>
      </c>
      <c r="F1254" s="5">
        <v>-2.4379881799276859E-3</v>
      </c>
      <c r="G1254" s="5">
        <v>9.2302832944621827E-3</v>
      </c>
    </row>
    <row r="1255" spans="1:7" x14ac:dyDescent="0.25">
      <c r="A1255" s="12">
        <v>45952</v>
      </c>
      <c r="B1255" s="13">
        <v>107689.61</v>
      </c>
      <c r="C1255" s="13">
        <v>107945</v>
      </c>
      <c r="D1255" s="5">
        <v>11.587008386810194</v>
      </c>
      <c r="E1255" s="5">
        <v>11.58937711713056</v>
      </c>
      <c r="F1255" s="5">
        <v>-2.8996183378998452E-2</v>
      </c>
      <c r="G1255" s="5">
        <v>-3.7814093968011164E-2</v>
      </c>
    </row>
    <row r="1256" spans="1:7" x14ac:dyDescent="0.25">
      <c r="A1256" s="12">
        <v>45953</v>
      </c>
      <c r="B1256" s="13">
        <v>109568.01</v>
      </c>
      <c r="C1256" s="13">
        <v>110420</v>
      </c>
      <c r="D1256" s="5">
        <v>11.604300731328879</v>
      </c>
      <c r="E1256" s="5">
        <v>11.612046555838036</v>
      </c>
      <c r="F1256" s="5">
        <v>1.7292344518684999E-2</v>
      </c>
      <c r="G1256" s="5">
        <v>2.2669438707476175E-2</v>
      </c>
    </row>
    <row r="1257" spans="1:7" x14ac:dyDescent="0.25">
      <c r="A1257" s="12">
        <v>45954</v>
      </c>
      <c r="B1257" s="13">
        <v>110916.61</v>
      </c>
      <c r="C1257" s="13">
        <v>110740</v>
      </c>
      <c r="D1257" s="5">
        <v>11.616533936695053</v>
      </c>
      <c r="E1257" s="5">
        <v>11.614940390376958</v>
      </c>
      <c r="F1257" s="5">
        <v>1.2233205366174005E-2</v>
      </c>
      <c r="G1257" s="5">
        <v>2.8938345389217801E-3</v>
      </c>
    </row>
    <row r="1258" spans="1:7" x14ac:dyDescent="0.25">
      <c r="A1258" s="12">
        <v>45957</v>
      </c>
      <c r="B1258" s="13">
        <v>114469.62</v>
      </c>
      <c r="C1258" s="13">
        <v>115070</v>
      </c>
      <c r="D1258" s="5">
        <v>11.648064739259944</v>
      </c>
      <c r="E1258" s="5">
        <v>11.653295917817504</v>
      </c>
      <c r="F1258" s="5">
        <v>3.1530802564891047E-2</v>
      </c>
      <c r="G1258" s="5">
        <v>3.83555274405456E-2</v>
      </c>
    </row>
    <row r="1259" spans="1:7" x14ac:dyDescent="0.25">
      <c r="A1259" s="12">
        <v>45958</v>
      </c>
      <c r="B1259" s="13">
        <v>112832.31</v>
      </c>
      <c r="C1259" s="13">
        <v>113745</v>
      </c>
      <c r="D1259" s="5">
        <v>11.6336580132013</v>
      </c>
      <c r="E1259" s="5">
        <v>11.641714379803146</v>
      </c>
      <c r="F1259" s="5">
        <v>-1.4406726058643571E-2</v>
      </c>
      <c r="G1259" s="5">
        <v>-1.1581538014358017E-2</v>
      </c>
    </row>
    <row r="1260" spans="1:7" x14ac:dyDescent="0.25">
      <c r="A1260" s="12">
        <v>45959</v>
      </c>
      <c r="B1260" s="13">
        <v>111451.31</v>
      </c>
      <c r="C1260" s="13">
        <v>110630</v>
      </c>
      <c r="D1260" s="5">
        <v>11.621343092894778</v>
      </c>
      <c r="E1260" s="5">
        <v>11.613946579028957</v>
      </c>
      <c r="F1260" s="5">
        <v>-1.2314920306522481E-2</v>
      </c>
      <c r="G1260" s="5">
        <v>-2.7767800774189055E-2</v>
      </c>
    </row>
    <row r="1261" spans="1:7" x14ac:dyDescent="0.25">
      <c r="A1261" s="12">
        <v>45960</v>
      </c>
      <c r="B1261" s="13">
        <v>107508.72</v>
      </c>
      <c r="C1261" s="13">
        <v>106440</v>
      </c>
      <c r="D1261" s="5">
        <v>11.585327239539177</v>
      </c>
      <c r="E1261" s="5">
        <v>11.575336725091626</v>
      </c>
      <c r="F1261" s="5">
        <v>-3.6015853355600314E-2</v>
      </c>
      <c r="G1261" s="5">
        <v>-3.860985393733074E-2</v>
      </c>
    </row>
    <row r="1262" spans="1:7" x14ac:dyDescent="0.25">
      <c r="A1262" s="12">
        <v>45961</v>
      </c>
      <c r="B1262" s="13">
        <v>109428.01</v>
      </c>
      <c r="C1262" s="13">
        <v>110430.7</v>
      </c>
      <c r="D1262" s="5">
        <v>11.603022169105952</v>
      </c>
      <c r="E1262" s="5">
        <v>11.61214345387828</v>
      </c>
      <c r="F1262" s="5">
        <v>1.769492956677432E-2</v>
      </c>
      <c r="G1262" s="5">
        <v>3.6806728786654475E-2</v>
      </c>
    </row>
    <row r="1263" spans="1:7" x14ac:dyDescent="0.25">
      <c r="A1263" s="12">
        <v>45964</v>
      </c>
      <c r="B1263" s="13">
        <v>106866.61</v>
      </c>
      <c r="C1263" s="13">
        <v>107070</v>
      </c>
      <c r="D1263" s="5">
        <v>11.579336700233569</v>
      </c>
      <c r="E1263" s="5">
        <v>11.581238105152316</v>
      </c>
      <c r="F1263" s="5">
        <v>-2.3685468872383098E-2</v>
      </c>
      <c r="G1263" s="5">
        <v>-3.0905348725964288E-2</v>
      </c>
    </row>
    <row r="1264" spans="1:7" x14ac:dyDescent="0.25">
      <c r="A1264" s="12">
        <v>45965</v>
      </c>
      <c r="B1264" s="13">
        <v>100265.51</v>
      </c>
      <c r="C1264" s="13">
        <v>101030</v>
      </c>
      <c r="D1264" s="5">
        <v>11.515577046418917</v>
      </c>
      <c r="E1264" s="5">
        <v>11.523172781421778</v>
      </c>
      <c r="F1264" s="5">
        <v>-6.3759653814651429E-2</v>
      </c>
      <c r="G1264" s="5">
        <v>-5.806532373053841E-2</v>
      </c>
    </row>
    <row r="1265" spans="1:7" x14ac:dyDescent="0.25">
      <c r="A1265" s="12">
        <v>45966</v>
      </c>
      <c r="B1265" s="13">
        <v>103659.22</v>
      </c>
      <c r="C1265" s="13">
        <v>104240</v>
      </c>
      <c r="D1265" s="5">
        <v>11.548864067115735</v>
      </c>
      <c r="E1265" s="5">
        <v>11.554451211798726</v>
      </c>
      <c r="F1265" s="5">
        <v>3.3287020696818104E-2</v>
      </c>
      <c r="G1265" s="5">
        <v>3.1278430376948663E-2</v>
      </c>
    </row>
    <row r="1266" spans="1:7" x14ac:dyDescent="0.25">
      <c r="A1266" s="12">
        <v>45967</v>
      </c>
      <c r="B1266" s="13">
        <v>101080.61</v>
      </c>
      <c r="C1266" s="13">
        <v>101210</v>
      </c>
      <c r="D1266" s="5">
        <v>11.523673596307823</v>
      </c>
      <c r="E1266" s="5">
        <v>11.524952845182947</v>
      </c>
      <c r="F1266" s="5">
        <v>-2.5190470807912035E-2</v>
      </c>
      <c r="G1266" s="5">
        <v>-2.9498366615779759E-2</v>
      </c>
    </row>
    <row r="1267" spans="1:7" x14ac:dyDescent="0.25">
      <c r="A1267" s="12">
        <v>45968</v>
      </c>
      <c r="B1267" s="13">
        <v>103837.91</v>
      </c>
      <c r="C1267" s="13">
        <v>104030</v>
      </c>
      <c r="D1267" s="5">
        <v>11.55058640461672</v>
      </c>
      <c r="E1267" s="5">
        <v>11.552434598064941</v>
      </c>
      <c r="F1267" s="5">
        <v>2.691280830889653E-2</v>
      </c>
      <c r="G1267" s="5">
        <v>2.7481752881994836E-2</v>
      </c>
    </row>
    <row r="1268" spans="1:7" x14ac:dyDescent="0.25">
      <c r="A1268" s="12">
        <v>45971</v>
      </c>
      <c r="B1268" s="13">
        <v>105603.81</v>
      </c>
      <c r="C1268" s="13">
        <v>106365</v>
      </c>
      <c r="D1268" s="5">
        <v>11.567449729148901</v>
      </c>
      <c r="E1268" s="5">
        <v>11.574631854406206</v>
      </c>
      <c r="F1268" s="5">
        <v>1.6863324532181423E-2</v>
      </c>
      <c r="G1268" s="5">
        <v>2.2197256341264904E-2</v>
      </c>
    </row>
    <row r="1269" spans="1:7" x14ac:dyDescent="0.25">
      <c r="A1269" s="12">
        <v>45972</v>
      </c>
      <c r="B1269" s="13">
        <v>102606.22</v>
      </c>
      <c r="C1269" s="13">
        <v>102955</v>
      </c>
      <c r="D1269" s="5">
        <v>11.538653833662936</v>
      </c>
      <c r="E1269" s="5">
        <v>11.542047278542247</v>
      </c>
      <c r="F1269" s="5">
        <v>-2.8795895485965062E-2</v>
      </c>
      <c r="G1269" s="5">
        <v>-3.2584575863959131E-2</v>
      </c>
    </row>
    <row r="1270" spans="1:7" x14ac:dyDescent="0.25">
      <c r="A1270" s="12">
        <v>45973</v>
      </c>
      <c r="B1270" s="13">
        <v>101900.31</v>
      </c>
      <c r="C1270" s="13">
        <v>101735</v>
      </c>
      <c r="D1270" s="5">
        <v>11.531750261404422</v>
      </c>
      <c r="E1270" s="5">
        <v>11.530126672290002</v>
      </c>
      <c r="F1270" s="5">
        <v>-6.9035722585137904E-3</v>
      </c>
      <c r="G1270" s="5">
        <v>-1.1920606252244781E-2</v>
      </c>
    </row>
    <row r="1271" spans="1:7" x14ac:dyDescent="0.25">
      <c r="A1271" s="12">
        <v>45974</v>
      </c>
      <c r="B1271" s="13">
        <v>98756.81</v>
      </c>
      <c r="C1271" s="13">
        <v>98125</v>
      </c>
      <c r="D1271" s="5">
        <v>11.500415642410914</v>
      </c>
      <c r="E1271" s="5">
        <v>11.49399745508471</v>
      </c>
      <c r="F1271" s="5">
        <v>-3.1334618993508201E-2</v>
      </c>
      <c r="G1271" s="5">
        <v>-3.6129217205292719E-2</v>
      </c>
    </row>
    <row r="1272" spans="1:7" x14ac:dyDescent="0.25">
      <c r="A1272" s="12">
        <v>45975</v>
      </c>
      <c r="B1272" s="13">
        <v>94976.639999999999</v>
      </c>
      <c r="C1272" s="13">
        <v>94365</v>
      </c>
      <c r="D1272" s="5">
        <v>11.461386245608768</v>
      </c>
      <c r="E1272" s="5">
        <v>11.454925520672239</v>
      </c>
      <c r="F1272" s="5">
        <v>-3.902939680214601E-2</v>
      </c>
      <c r="G1272" s="5">
        <v>-3.907193441247081E-2</v>
      </c>
    </row>
    <row r="1273" spans="1:7" x14ac:dyDescent="0.25">
      <c r="A1273" s="12">
        <v>45978</v>
      </c>
      <c r="B1273" s="13">
        <v>91826.57</v>
      </c>
      <c r="C1273" s="13">
        <v>91970</v>
      </c>
      <c r="D1273" s="5">
        <v>11.427656968281971</v>
      </c>
      <c r="E1273" s="5">
        <v>11.429217715896744</v>
      </c>
      <c r="F1273" s="5">
        <v>-3.3729277326797202E-2</v>
      </c>
      <c r="G1273" s="5">
        <v>-2.5707804775494836E-2</v>
      </c>
    </row>
    <row r="1274" spans="1:7" x14ac:dyDescent="0.25">
      <c r="A1274" s="12">
        <v>45979</v>
      </c>
      <c r="B1274" s="13">
        <v>92452.39</v>
      </c>
      <c r="C1274" s="13">
        <v>92925</v>
      </c>
      <c r="D1274" s="5">
        <v>11.434449088292908</v>
      </c>
      <c r="E1274" s="5">
        <v>11.439547995165453</v>
      </c>
      <c r="F1274" s="5">
        <v>6.7921200109370972E-3</v>
      </c>
      <c r="G1274" s="5">
        <v>1.0330279268709219E-2</v>
      </c>
    </row>
    <row r="1275" spans="1:7" x14ac:dyDescent="0.25">
      <c r="A1275" s="12">
        <v>45980</v>
      </c>
      <c r="B1275" s="13">
        <v>90506.32</v>
      </c>
      <c r="C1275" s="13">
        <v>89580</v>
      </c>
      <c r="D1275" s="5">
        <v>11.413174961503863</v>
      </c>
      <c r="E1275" s="5">
        <v>11.402887359761291</v>
      </c>
      <c r="F1275" s="5">
        <v>-2.1274126789045056E-2</v>
      </c>
      <c r="G1275" s="5">
        <v>-3.6660635404162534E-2</v>
      </c>
    </row>
    <row r="1276" spans="1:7" x14ac:dyDescent="0.25">
      <c r="A1276" s="12">
        <v>45981</v>
      </c>
      <c r="B1276" s="13">
        <v>87205.26</v>
      </c>
      <c r="C1276" s="13">
        <v>86440</v>
      </c>
      <c r="D1276" s="5">
        <v>11.376019929178744</v>
      </c>
      <c r="E1276" s="5">
        <v>11.367205810620822</v>
      </c>
      <c r="F1276" s="5">
        <v>-3.7155032325118853E-2</v>
      </c>
      <c r="G1276" s="5">
        <v>-3.5681549140468505E-2</v>
      </c>
    </row>
    <row r="1277" spans="1:7" x14ac:dyDescent="0.25">
      <c r="A1277" s="12">
        <v>45982</v>
      </c>
      <c r="B1277" s="13">
        <v>85123.35</v>
      </c>
      <c r="C1277" s="13">
        <v>84600</v>
      </c>
      <c r="D1277" s="5">
        <v>11.351856660004044</v>
      </c>
      <c r="E1277" s="5">
        <v>11.345689545594315</v>
      </c>
      <c r="F1277" s="5">
        <v>-2.4163269174700019E-2</v>
      </c>
      <c r="G1277" s="5">
        <v>-2.1516265026507497E-2</v>
      </c>
    </row>
    <row r="1278" spans="1:7" x14ac:dyDescent="0.25">
      <c r="A1278" s="12">
        <v>45985</v>
      </c>
      <c r="B1278" s="13">
        <v>88763.7</v>
      </c>
      <c r="C1278" s="13">
        <v>89175</v>
      </c>
      <c r="D1278" s="5">
        <v>11.39373306162161</v>
      </c>
      <c r="E1278" s="5">
        <v>11.398356010227092</v>
      </c>
      <c r="F1278" s="5">
        <v>4.1876401617566117E-2</v>
      </c>
      <c r="G1278" s="5">
        <v>5.2666464632777021E-2</v>
      </c>
    </row>
    <row r="1279" spans="1:7" x14ac:dyDescent="0.25">
      <c r="A1279" s="12">
        <v>45986</v>
      </c>
      <c r="B1279" s="13">
        <v>87002.26</v>
      </c>
      <c r="C1279" s="13">
        <v>87420</v>
      </c>
      <c r="D1279" s="5">
        <v>11.373689374310818</v>
      </c>
      <c r="E1279" s="5">
        <v>11.378479368417306</v>
      </c>
      <c r="F1279" s="5">
        <v>-2.0043687310792535E-2</v>
      </c>
      <c r="G1279" s="5">
        <v>-1.9876641809785767E-2</v>
      </c>
    </row>
    <row r="1280" spans="1:7" x14ac:dyDescent="0.25">
      <c r="A1280" s="12">
        <v>45987</v>
      </c>
      <c r="B1280" s="13">
        <v>90189.32</v>
      </c>
      <c r="C1280" s="13">
        <v>89915</v>
      </c>
      <c r="D1280" s="5">
        <v>11.409666295492789</v>
      </c>
      <c r="E1280" s="5">
        <v>11.406620058599298</v>
      </c>
      <c r="F1280" s="5">
        <v>3.5976921181971377E-2</v>
      </c>
      <c r="G1280" s="5">
        <v>2.8140690181992056E-2</v>
      </c>
    </row>
    <row r="1281" spans="1:7" x14ac:dyDescent="0.25">
      <c r="A1281" s="12">
        <v>45988</v>
      </c>
      <c r="B1281" s="13">
        <v>91410.67</v>
      </c>
      <c r="C1281" s="17">
        <v>89915</v>
      </c>
      <c r="D1281" s="5">
        <v>11.42311749023483</v>
      </c>
      <c r="E1281" s="5">
        <v>11.406620058599298</v>
      </c>
      <c r="F1281" s="5">
        <v>1.3451194742041039E-2</v>
      </c>
      <c r="G1281" s="5">
        <v>0</v>
      </c>
    </row>
    <row r="1282" spans="1:7" x14ac:dyDescent="0.25">
      <c r="A1282" s="12">
        <v>45989</v>
      </c>
      <c r="B1282" s="13">
        <v>90914.64</v>
      </c>
      <c r="C1282" s="13">
        <v>92455.97</v>
      </c>
      <c r="D1282" s="5">
        <v>11.417676323303038</v>
      </c>
      <c r="E1282" s="5">
        <v>11.434487810176554</v>
      </c>
      <c r="F1282" s="5">
        <v>-5.4411669317921962E-3</v>
      </c>
      <c r="G1282" s="5">
        <v>2.7867751577256072E-2</v>
      </c>
    </row>
    <row r="1283" spans="1:7" x14ac:dyDescent="0.25">
      <c r="A1283" s="12">
        <v>45992</v>
      </c>
      <c r="B1283" s="13">
        <v>86446.15</v>
      </c>
      <c r="C1283" s="13">
        <v>85760</v>
      </c>
      <c r="D1283" s="5">
        <v>11.367276955706794</v>
      </c>
      <c r="E1283" s="5">
        <v>11.359307976304629</v>
      </c>
      <c r="F1283" s="5">
        <v>-5.0399367596243749E-2</v>
      </c>
      <c r="G1283" s="5">
        <v>-7.5179833871924728E-2</v>
      </c>
    </row>
    <row r="1284" spans="1:7" x14ac:dyDescent="0.25">
      <c r="A1284" s="12">
        <v>45993</v>
      </c>
      <c r="B1284" s="13">
        <v>91610.6</v>
      </c>
      <c r="C1284" s="13">
        <v>91455</v>
      </c>
      <c r="D1284" s="5">
        <v>11.425302264491135</v>
      </c>
      <c r="E1284" s="5">
        <v>11.423602327010027</v>
      </c>
      <c r="F1284" s="5">
        <v>5.8025308784340979E-2</v>
      </c>
      <c r="G1284" s="5">
        <v>6.4294350705397463E-2</v>
      </c>
    </row>
    <row r="1285" spans="1:7" x14ac:dyDescent="0.25">
      <c r="A1285" s="12">
        <v>45994</v>
      </c>
      <c r="B1285" s="13">
        <v>93722.09</v>
      </c>
      <c r="C1285" s="13">
        <v>93265</v>
      </c>
      <c r="D1285" s="5">
        <v>11.448089192842565</v>
      </c>
      <c r="E1285" s="5">
        <v>11.443200182478662</v>
      </c>
      <c r="F1285" s="5">
        <v>2.2786928351429481E-2</v>
      </c>
      <c r="G1285" s="5">
        <v>1.9597855468635572E-2</v>
      </c>
    </row>
    <row r="1286" spans="1:7" x14ac:dyDescent="0.25">
      <c r="A1286" s="12">
        <v>45995</v>
      </c>
      <c r="B1286" s="13">
        <v>92175.09</v>
      </c>
      <c r="C1286" s="13">
        <v>92840</v>
      </c>
      <c r="D1286" s="5">
        <v>11.431445199505449</v>
      </c>
      <c r="E1286" s="5">
        <v>11.438632860388374</v>
      </c>
      <c r="F1286" s="5">
        <v>-1.6643993337115859E-2</v>
      </c>
      <c r="G1286" s="5">
        <v>-4.5673220902884282E-3</v>
      </c>
    </row>
    <row r="1287" spans="1:7" x14ac:dyDescent="0.25">
      <c r="A1287" s="12">
        <v>45996</v>
      </c>
      <c r="B1287" s="13">
        <v>89203.45</v>
      </c>
      <c r="C1287" s="13">
        <v>89600</v>
      </c>
      <c r="D1287" s="5">
        <v>11.398674994950206</v>
      </c>
      <c r="E1287" s="5">
        <v>11.403110598963021</v>
      </c>
      <c r="F1287" s="5">
        <v>-3.2770204555243154E-2</v>
      </c>
      <c r="G1287" s="5">
        <v>-3.5522261425352752E-2</v>
      </c>
    </row>
    <row r="1288" spans="1:7" x14ac:dyDescent="0.25">
      <c r="A1288" s="12">
        <v>45999</v>
      </c>
      <c r="B1288" s="13">
        <v>91331.98</v>
      </c>
      <c r="C1288" s="13">
        <v>90990</v>
      </c>
      <c r="D1288" s="5">
        <v>11.42225627907407</v>
      </c>
      <c r="E1288" s="5">
        <v>11.418504889350736</v>
      </c>
      <c r="F1288" s="5">
        <v>2.3581284123864066E-2</v>
      </c>
      <c r="G1288" s="5">
        <v>1.5394290387714449E-2</v>
      </c>
    </row>
    <row r="1289" spans="1:7" x14ac:dyDescent="0.25">
      <c r="A1289" s="12">
        <v>46000</v>
      </c>
      <c r="B1289" s="13">
        <v>92665.29</v>
      </c>
      <c r="C1289" s="13">
        <v>93340</v>
      </c>
      <c r="D1289" s="5">
        <v>11.436749247779204</v>
      </c>
      <c r="E1289" s="5">
        <v>11.444004019503806</v>
      </c>
      <c r="F1289" s="5">
        <v>1.4492968705134501E-2</v>
      </c>
      <c r="G1289" s="5">
        <v>2.5499130153070482E-2</v>
      </c>
    </row>
    <row r="1290" spans="1:7" x14ac:dyDescent="0.25">
      <c r="A1290" s="12">
        <v>46001</v>
      </c>
      <c r="B1290" s="13">
        <v>92396.1</v>
      </c>
      <c r="C1290" s="13">
        <v>92785</v>
      </c>
      <c r="D1290" s="5">
        <v>11.433840048946793</v>
      </c>
      <c r="E1290" s="5">
        <v>11.438040267778439</v>
      </c>
      <c r="F1290" s="5">
        <v>-2.9091988324108087E-3</v>
      </c>
      <c r="G1290" s="5">
        <v>-5.963751725367672E-3</v>
      </c>
    </row>
    <row r="1291" spans="1:7" x14ac:dyDescent="0.25">
      <c r="A1291" s="12">
        <v>46002</v>
      </c>
      <c r="B1291" s="13">
        <v>92885.26</v>
      </c>
      <c r="C1291" s="13">
        <v>92010</v>
      </c>
      <c r="D1291" s="5">
        <v>11.439120246981838</v>
      </c>
      <c r="E1291" s="5">
        <v>11.429652545776406</v>
      </c>
      <c r="F1291" s="5">
        <v>5.2801980350452027E-3</v>
      </c>
      <c r="G1291" s="5">
        <v>-8.3877220020323051E-3</v>
      </c>
    </row>
    <row r="1292" spans="1:7" x14ac:dyDescent="0.25">
      <c r="A1292" s="12">
        <v>46003</v>
      </c>
      <c r="B1292" s="13">
        <v>90200.1</v>
      </c>
      <c r="C1292" s="13">
        <v>90440</v>
      </c>
      <c r="D1292" s="5">
        <v>11.409785814697551</v>
      </c>
      <c r="E1292" s="5">
        <v>11.412441926391907</v>
      </c>
      <c r="F1292" s="5">
        <v>-2.9334432284287004E-2</v>
      </c>
      <c r="G1292" s="5">
        <v>-1.7210619384499637E-2</v>
      </c>
    </row>
    <row r="1293" spans="1:7" x14ac:dyDescent="0.25">
      <c r="A1293" s="12">
        <v>46006</v>
      </c>
      <c r="B1293" s="13">
        <v>86204.45</v>
      </c>
      <c r="C1293" s="13">
        <v>85985</v>
      </c>
      <c r="D1293" s="5">
        <v>11.364477079449236</v>
      </c>
      <c r="E1293" s="5">
        <v>11.3619281414183</v>
      </c>
      <c r="F1293" s="5">
        <v>-4.5308735248315912E-2</v>
      </c>
      <c r="G1293" s="5">
        <v>-5.051378497360659E-2</v>
      </c>
    </row>
    <row r="1294" spans="1:7" x14ac:dyDescent="0.25">
      <c r="A1294" s="12">
        <v>46007</v>
      </c>
      <c r="B1294" s="13">
        <v>87748.95</v>
      </c>
      <c r="C1294" s="13">
        <v>87795</v>
      </c>
      <c r="D1294" s="5">
        <v>11.382235175444556</v>
      </c>
      <c r="E1294" s="5">
        <v>11.382759830393431</v>
      </c>
      <c r="F1294" s="5">
        <v>1.7758095995320744E-2</v>
      </c>
      <c r="G1294" s="5">
        <v>2.0831688975130547E-2</v>
      </c>
    </row>
    <row r="1295" spans="1:7" x14ac:dyDescent="0.25">
      <c r="A1295" s="12">
        <v>46008</v>
      </c>
      <c r="B1295" s="13">
        <v>85948.73</v>
      </c>
      <c r="C1295" s="13">
        <v>85965</v>
      </c>
      <c r="D1295" s="5">
        <v>11.361506234669251</v>
      </c>
      <c r="E1295" s="5">
        <v>11.361695515653947</v>
      </c>
      <c r="F1295" s="5">
        <v>-2.0728940775304849E-2</v>
      </c>
      <c r="G1295" s="5">
        <v>-2.1064314739483336E-2</v>
      </c>
    </row>
    <row r="1296" spans="1:7" x14ac:dyDescent="0.25">
      <c r="A1296" s="12">
        <v>46009</v>
      </c>
      <c r="B1296" s="13">
        <v>85582.89</v>
      </c>
      <c r="C1296" s="13">
        <v>84820</v>
      </c>
      <c r="D1296" s="5">
        <v>11.357240658972959</v>
      </c>
      <c r="E1296" s="5">
        <v>11.348286643028581</v>
      </c>
      <c r="F1296" s="5">
        <v>-4.2655756962926006E-3</v>
      </c>
      <c r="G1296" s="5">
        <v>-1.3408872625365831E-2</v>
      </c>
    </row>
    <row r="1297" spans="1:7" x14ac:dyDescent="0.25">
      <c r="A1297" s="12">
        <v>46010</v>
      </c>
      <c r="B1297" s="13">
        <v>87787.12</v>
      </c>
      <c r="C1297" s="13">
        <v>88060</v>
      </c>
      <c r="D1297" s="5">
        <v>11.382670071823421</v>
      </c>
      <c r="E1297" s="5">
        <v>11.385773679309745</v>
      </c>
      <c r="F1297" s="5">
        <v>2.5429412850462185E-2</v>
      </c>
      <c r="G1297" s="5">
        <v>3.7487036281163455E-2</v>
      </c>
    </row>
    <row r="1298" spans="1:7" x14ac:dyDescent="0.25">
      <c r="A1298" s="12">
        <v>46013</v>
      </c>
      <c r="B1298" s="13">
        <v>88230.04</v>
      </c>
      <c r="C1298" s="13">
        <v>88390</v>
      </c>
      <c r="D1298" s="5">
        <v>11.387702773576583</v>
      </c>
      <c r="E1298" s="5">
        <v>11.389514120054994</v>
      </c>
      <c r="F1298" s="5">
        <v>5.0327017531621721E-3</v>
      </c>
      <c r="G1298" s="5">
        <v>3.7404407452488186E-3</v>
      </c>
    </row>
    <row r="1299" spans="1:7" x14ac:dyDescent="0.25">
      <c r="A1299" s="12">
        <v>46014</v>
      </c>
      <c r="B1299" s="13">
        <v>87661.45</v>
      </c>
      <c r="C1299" s="13">
        <v>87685</v>
      </c>
      <c r="D1299" s="5">
        <v>11.381237515017835</v>
      </c>
      <c r="E1299" s="5">
        <v>11.381506126103393</v>
      </c>
      <c r="F1299" s="5">
        <v>-6.4652585587481326E-3</v>
      </c>
      <c r="G1299" s="5">
        <v>-8.0079939516011223E-3</v>
      </c>
    </row>
    <row r="1300" spans="1:7" x14ac:dyDescent="0.25">
      <c r="A1300" s="12">
        <v>46015</v>
      </c>
      <c r="B1300" s="13">
        <v>87631.35</v>
      </c>
      <c r="C1300" s="13">
        <v>87245</v>
      </c>
      <c r="D1300" s="5">
        <v>11.380894089614216</v>
      </c>
      <c r="E1300" s="5">
        <v>11.37647553183233</v>
      </c>
      <c r="F1300" s="5">
        <v>-3.4342540361897989E-4</v>
      </c>
      <c r="G1300" s="5">
        <v>-5.0305942710622276E-3</v>
      </c>
    </row>
    <row r="1301" spans="1:7" x14ac:dyDescent="0.25">
      <c r="A1301" s="12">
        <v>46016</v>
      </c>
      <c r="B1301" s="13">
        <v>87844.71</v>
      </c>
      <c r="C1301" s="17">
        <v>87245</v>
      </c>
      <c r="D1301" s="5">
        <v>11.383325875524424</v>
      </c>
      <c r="E1301" s="5">
        <v>11.37647553183233</v>
      </c>
      <c r="F1301" s="5">
        <v>2.4317859102076511E-3</v>
      </c>
      <c r="G1301" s="5">
        <v>0</v>
      </c>
    </row>
    <row r="1302" spans="1:7" x14ac:dyDescent="0.25">
      <c r="A1302" s="12">
        <v>46017</v>
      </c>
      <c r="B1302" s="13">
        <v>87394.85</v>
      </c>
      <c r="C1302" s="13">
        <v>86923.48</v>
      </c>
      <c r="D1302" s="5">
        <v>11.378191635422386</v>
      </c>
      <c r="E1302" s="5">
        <v>11.372783470384377</v>
      </c>
      <c r="F1302" s="5">
        <v>-5.1342401020377793E-3</v>
      </c>
      <c r="G1302" s="5">
        <v>-3.6920614479534208E-3</v>
      </c>
    </row>
    <row r="1303" spans="1:7" x14ac:dyDescent="0.25">
      <c r="A1303" s="12">
        <v>46020</v>
      </c>
      <c r="B1303" s="13">
        <v>87216.14</v>
      </c>
      <c r="C1303" s="13">
        <v>87560</v>
      </c>
      <c r="D1303" s="5">
        <v>11.376144684512827</v>
      </c>
      <c r="E1303" s="5">
        <v>11.380079551636799</v>
      </c>
      <c r="F1303" s="5">
        <v>-2.0469509095590865E-3</v>
      </c>
      <c r="G1303" s="5">
        <v>7.296081252421871E-3</v>
      </c>
    </row>
    <row r="1304" spans="1:7" x14ac:dyDescent="0.25">
      <c r="A1304" s="12">
        <v>46021</v>
      </c>
      <c r="B1304" s="13">
        <v>88185.04</v>
      </c>
      <c r="C1304" s="13">
        <v>88260</v>
      </c>
      <c r="D1304" s="5">
        <v>11.387192613096243</v>
      </c>
      <c r="E1304" s="5">
        <v>11.388042282823537</v>
      </c>
      <c r="F1304" s="5">
        <v>1.1047928583415967E-2</v>
      </c>
      <c r="G1304" s="5">
        <v>7.9627311867387363E-3</v>
      </c>
    </row>
    <row r="1305" spans="1:7" x14ac:dyDescent="0.25">
      <c r="A1305" s="12">
        <v>46022</v>
      </c>
      <c r="B1305" s="13">
        <v>87647.54</v>
      </c>
      <c r="C1305" s="13">
        <v>87885</v>
      </c>
      <c r="D1305" s="5">
        <v>11.381078823783241</v>
      </c>
      <c r="E1305" s="5">
        <v>11.383784420646998</v>
      </c>
      <c r="F1305" s="5">
        <v>-6.1137893130016607E-3</v>
      </c>
      <c r="G1305" s="5">
        <v>-4.2578621765390068E-3</v>
      </c>
    </row>
    <row r="1306" spans="1:7" x14ac:dyDescent="0.25">
      <c r="A1306" s="18"/>
      <c r="B1306" s="19"/>
      <c r="C1306" s="19"/>
    </row>
    <row r="1308" spans="1:7" x14ac:dyDescent="0.25">
      <c r="A1308" s="20"/>
      <c r="B1308" s="11"/>
      <c r="C1308" s="11"/>
    </row>
    <row r="1309" spans="1:7" x14ac:dyDescent="0.25">
      <c r="A1309" s="20"/>
      <c r="B1309" s="11"/>
      <c r="C1309" s="11"/>
    </row>
    <row r="1310" spans="1:7" x14ac:dyDescent="0.25">
      <c r="A1310" s="20"/>
      <c r="B1310" s="11"/>
      <c r="C1310" s="11"/>
    </row>
    <row r="1311" spans="1:7" x14ac:dyDescent="0.25">
      <c r="A1311" s="20"/>
      <c r="B1311" s="11"/>
      <c r="C1311" s="11"/>
    </row>
    <row r="1312" spans="1:7" x14ac:dyDescent="0.25">
      <c r="A1312" s="20"/>
      <c r="B1312" s="11"/>
      <c r="C1312" s="11"/>
    </row>
    <row r="1313" spans="1:3" x14ac:dyDescent="0.25">
      <c r="A1313" s="20"/>
      <c r="B1313" s="11"/>
      <c r="C1313" s="11"/>
    </row>
    <row r="1314" spans="1:3" x14ac:dyDescent="0.25">
      <c r="A1314" s="20"/>
      <c r="B1314" s="11"/>
      <c r="C1314" s="11"/>
    </row>
    <row r="1315" spans="1:3" x14ac:dyDescent="0.25">
      <c r="A1315" s="20"/>
      <c r="B1315" s="11"/>
      <c r="C1315" s="11"/>
    </row>
    <row r="1316" spans="1:3" x14ac:dyDescent="0.25">
      <c r="A1316" s="20"/>
      <c r="B1316" s="11"/>
      <c r="C1316" s="11"/>
    </row>
    <row r="1317" spans="1:3" x14ac:dyDescent="0.25">
      <c r="A1317" s="20"/>
      <c r="B1317" s="11"/>
      <c r="C1317" s="11"/>
    </row>
    <row r="1318" spans="1:3" x14ac:dyDescent="0.25">
      <c r="A1318" s="20"/>
      <c r="B1318" s="11"/>
      <c r="C1318" s="11"/>
    </row>
    <row r="1319" spans="1:3" x14ac:dyDescent="0.25">
      <c r="A1319" s="20"/>
      <c r="B1319" s="11"/>
      <c r="C1319" s="11"/>
    </row>
    <row r="1320" spans="1:3" x14ac:dyDescent="0.25">
      <c r="A1320" s="20"/>
      <c r="B1320" s="11"/>
      <c r="C1320" s="11"/>
    </row>
    <row r="1321" spans="1:3" x14ac:dyDescent="0.25">
      <c r="A1321" s="20"/>
      <c r="B1321" s="11"/>
      <c r="C1321" s="11"/>
    </row>
    <row r="1322" spans="1:3" x14ac:dyDescent="0.25">
      <c r="A1322" s="20"/>
      <c r="B1322" s="11"/>
      <c r="C1322" s="11"/>
    </row>
    <row r="1323" spans="1:3" x14ac:dyDescent="0.25">
      <c r="A1323" s="20"/>
      <c r="B1323" s="11"/>
      <c r="C1323" s="11"/>
    </row>
    <row r="1324" spans="1:3" x14ac:dyDescent="0.25">
      <c r="A1324" s="20"/>
      <c r="B1324" s="11"/>
      <c r="C1324" s="11"/>
    </row>
    <row r="1325" spans="1:3" x14ac:dyDescent="0.25">
      <c r="A1325" s="20"/>
      <c r="B1325" s="11"/>
      <c r="C1325" s="11"/>
    </row>
    <row r="1326" spans="1:3" x14ac:dyDescent="0.25">
      <c r="A1326" s="20"/>
      <c r="B1326" s="11"/>
      <c r="C1326" s="11"/>
    </row>
    <row r="1327" spans="1:3" x14ac:dyDescent="0.25">
      <c r="A1327" s="20"/>
      <c r="B1327" s="11"/>
      <c r="C1327" s="11"/>
    </row>
    <row r="1328" spans="1:3" x14ac:dyDescent="0.25">
      <c r="A1328" s="20"/>
      <c r="B1328" s="11"/>
      <c r="C1328" s="11"/>
    </row>
    <row r="1329" spans="1:3" x14ac:dyDescent="0.25">
      <c r="A1329" s="20"/>
      <c r="B1329" s="11"/>
      <c r="C1329" s="11"/>
    </row>
    <row r="1330" spans="1:3" x14ac:dyDescent="0.25">
      <c r="A1330" s="20"/>
      <c r="B1330" s="11"/>
      <c r="C1330" s="11"/>
    </row>
    <row r="1331" spans="1:3" x14ac:dyDescent="0.25">
      <c r="A1331" s="20"/>
      <c r="B1331" s="11"/>
      <c r="C1331" s="11"/>
    </row>
    <row r="1332" spans="1:3" x14ac:dyDescent="0.25">
      <c r="A1332" s="20"/>
      <c r="B1332" s="11"/>
      <c r="C1332" s="11"/>
    </row>
    <row r="1333" spans="1:3" x14ac:dyDescent="0.25">
      <c r="A1333" s="20"/>
      <c r="B1333" s="11"/>
      <c r="C1333" s="11"/>
    </row>
    <row r="1334" spans="1:3" x14ac:dyDescent="0.25">
      <c r="A1334" s="20"/>
      <c r="B1334" s="11"/>
      <c r="C1334" s="11"/>
    </row>
    <row r="1335" spans="1:3" x14ac:dyDescent="0.25">
      <c r="A1335" s="20"/>
      <c r="B1335" s="11"/>
      <c r="C1335" s="11"/>
    </row>
    <row r="1336" spans="1:3" x14ac:dyDescent="0.25">
      <c r="A1336" s="20"/>
      <c r="B1336" s="11"/>
      <c r="C1336" s="11"/>
    </row>
    <row r="1337" spans="1:3" x14ac:dyDescent="0.25">
      <c r="A1337" s="20"/>
      <c r="B1337" s="11"/>
      <c r="C1337" s="11"/>
    </row>
    <row r="1338" spans="1:3" x14ac:dyDescent="0.25">
      <c r="A1338" s="20"/>
      <c r="B1338" s="11"/>
      <c r="C1338" s="11"/>
    </row>
    <row r="1339" spans="1:3" x14ac:dyDescent="0.25">
      <c r="A1339" s="20"/>
      <c r="B1339" s="11"/>
      <c r="C1339" s="11"/>
    </row>
    <row r="1340" spans="1:3" x14ac:dyDescent="0.25">
      <c r="A1340" s="20"/>
      <c r="B1340" s="11"/>
      <c r="C1340" s="11"/>
    </row>
    <row r="1341" spans="1:3" x14ac:dyDescent="0.25">
      <c r="A1341" s="20"/>
      <c r="B1341" s="11"/>
      <c r="C1341" s="11"/>
    </row>
    <row r="1342" spans="1:3" x14ac:dyDescent="0.25">
      <c r="A1342" s="20"/>
      <c r="B1342" s="11"/>
      <c r="C1342" s="11"/>
    </row>
    <row r="1343" spans="1:3" x14ac:dyDescent="0.25">
      <c r="A1343" s="20"/>
      <c r="B1343" s="11"/>
      <c r="C1343" s="11"/>
    </row>
    <row r="1344" spans="1:3" x14ac:dyDescent="0.25">
      <c r="A1344" s="20"/>
      <c r="B1344" s="11"/>
      <c r="C1344" s="11"/>
    </row>
    <row r="1345" spans="1:3" x14ac:dyDescent="0.25">
      <c r="A1345" s="20"/>
      <c r="B1345" s="11"/>
      <c r="C1345" s="11"/>
    </row>
    <row r="1346" spans="1:3" x14ac:dyDescent="0.25">
      <c r="A1346" s="20"/>
      <c r="B1346" s="11"/>
      <c r="C1346" s="11"/>
    </row>
    <row r="1347" spans="1:3" x14ac:dyDescent="0.25">
      <c r="A1347" s="20"/>
      <c r="B1347" s="11"/>
      <c r="C1347" s="11"/>
    </row>
    <row r="1348" spans="1:3" x14ac:dyDescent="0.25">
      <c r="A1348" s="20"/>
      <c r="B1348" s="11"/>
      <c r="C1348" s="11"/>
    </row>
    <row r="1349" spans="1:3" x14ac:dyDescent="0.25">
      <c r="A1349" s="20"/>
      <c r="B1349" s="11"/>
      <c r="C1349" s="11"/>
    </row>
    <row r="1350" spans="1:3" x14ac:dyDescent="0.25">
      <c r="A1350" s="20"/>
      <c r="B1350" s="11"/>
      <c r="C1350" s="11"/>
    </row>
    <row r="1351" spans="1:3" x14ac:dyDescent="0.25">
      <c r="A1351" s="20"/>
      <c r="B1351" s="11"/>
      <c r="C1351" s="11"/>
    </row>
    <row r="1352" spans="1:3" x14ac:dyDescent="0.25">
      <c r="A1352" s="20"/>
      <c r="B1352" s="11"/>
      <c r="C1352" s="11"/>
    </row>
    <row r="1353" spans="1:3" x14ac:dyDescent="0.25">
      <c r="A1353" s="20"/>
      <c r="B1353" s="11"/>
      <c r="C1353" s="11"/>
    </row>
    <row r="1354" spans="1:3" x14ac:dyDescent="0.25">
      <c r="A1354" s="20"/>
      <c r="B1354" s="11"/>
      <c r="C1354" s="11"/>
    </row>
    <row r="1355" spans="1:3" x14ac:dyDescent="0.25">
      <c r="A1355" s="20"/>
      <c r="B1355" s="11"/>
      <c r="C1355" s="11"/>
    </row>
    <row r="1356" spans="1:3" x14ac:dyDescent="0.25">
      <c r="A1356" s="20"/>
      <c r="B1356" s="11"/>
      <c r="C1356" s="11"/>
    </row>
    <row r="1357" spans="1:3" x14ac:dyDescent="0.25">
      <c r="A1357" s="20"/>
      <c r="B1357" s="11"/>
      <c r="C1357" s="11"/>
    </row>
    <row r="1358" spans="1:3" x14ac:dyDescent="0.25">
      <c r="A1358" s="20"/>
      <c r="B1358" s="11"/>
      <c r="C1358" s="11"/>
    </row>
    <row r="1359" spans="1:3" x14ac:dyDescent="0.25">
      <c r="A1359" s="20"/>
      <c r="B1359" s="11"/>
      <c r="C1359" s="11"/>
    </row>
    <row r="1360" spans="1:3" x14ac:dyDescent="0.25">
      <c r="A1360" s="20"/>
      <c r="B1360" s="11"/>
      <c r="C1360" s="11"/>
    </row>
    <row r="1361" spans="1:3" x14ac:dyDescent="0.25">
      <c r="A1361" s="20"/>
      <c r="B1361" s="11"/>
      <c r="C1361" s="11"/>
    </row>
    <row r="1362" spans="1:3" x14ac:dyDescent="0.25">
      <c r="A1362" s="20"/>
      <c r="B1362" s="11"/>
      <c r="C1362" s="11"/>
    </row>
    <row r="1363" spans="1:3" x14ac:dyDescent="0.25">
      <c r="A1363" s="20"/>
      <c r="B1363" s="11"/>
      <c r="C1363" s="11"/>
    </row>
    <row r="1364" spans="1:3" x14ac:dyDescent="0.25">
      <c r="A1364" s="20"/>
      <c r="B1364" s="11"/>
      <c r="C1364" s="11"/>
    </row>
    <row r="1365" spans="1:3" x14ac:dyDescent="0.25">
      <c r="A1365" s="20"/>
      <c r="B1365" s="11"/>
      <c r="C1365" s="11"/>
    </row>
    <row r="1366" spans="1:3" x14ac:dyDescent="0.25">
      <c r="A1366" s="20"/>
      <c r="B1366" s="11"/>
      <c r="C1366" s="11"/>
    </row>
    <row r="1367" spans="1:3" x14ac:dyDescent="0.25">
      <c r="A1367" s="20"/>
      <c r="B1367" s="11"/>
      <c r="C1367" s="11"/>
    </row>
    <row r="1368" spans="1:3" x14ac:dyDescent="0.25">
      <c r="A1368" s="20"/>
      <c r="B1368" s="11"/>
      <c r="C1368" s="11"/>
    </row>
    <row r="1369" spans="1:3" x14ac:dyDescent="0.25">
      <c r="A1369" s="20"/>
      <c r="B1369" s="11"/>
      <c r="C1369" s="11"/>
    </row>
    <row r="1370" spans="1:3" x14ac:dyDescent="0.25">
      <c r="A1370" s="20"/>
      <c r="B1370" s="11"/>
      <c r="C1370" s="11"/>
    </row>
    <row r="1371" spans="1:3" x14ac:dyDescent="0.25">
      <c r="A1371" s="20"/>
      <c r="B1371" s="11"/>
      <c r="C1371" s="11"/>
    </row>
    <row r="1372" spans="1:3" x14ac:dyDescent="0.25">
      <c r="A1372" s="20"/>
      <c r="B1372" s="11"/>
      <c r="C1372" s="11"/>
    </row>
    <row r="1373" spans="1:3" x14ac:dyDescent="0.25">
      <c r="A1373" s="20"/>
      <c r="B1373" s="11"/>
      <c r="C1373" s="11"/>
    </row>
    <row r="1374" spans="1:3" x14ac:dyDescent="0.25">
      <c r="A1374" s="20"/>
      <c r="B1374" s="11"/>
      <c r="C1374" s="11"/>
    </row>
    <row r="1375" spans="1:3" x14ac:dyDescent="0.25">
      <c r="A1375" s="20"/>
      <c r="B1375" s="11"/>
      <c r="C1375" s="11"/>
    </row>
    <row r="1376" spans="1:3" x14ac:dyDescent="0.25">
      <c r="A1376" s="20"/>
      <c r="B1376" s="11"/>
      <c r="C1376" s="11"/>
    </row>
    <row r="1377" spans="1:3" x14ac:dyDescent="0.25">
      <c r="A1377" s="20"/>
      <c r="B1377" s="11"/>
      <c r="C1377" s="11"/>
    </row>
    <row r="1378" spans="1:3" x14ac:dyDescent="0.25">
      <c r="A1378" s="20"/>
      <c r="B1378" s="11"/>
      <c r="C1378" s="11"/>
    </row>
    <row r="1379" spans="1:3" x14ac:dyDescent="0.25">
      <c r="A1379" s="20"/>
      <c r="B1379" s="11"/>
      <c r="C1379" s="11"/>
    </row>
    <row r="1380" spans="1:3" x14ac:dyDescent="0.25">
      <c r="A1380" s="20"/>
      <c r="B1380" s="11"/>
      <c r="C1380" s="11"/>
    </row>
    <row r="1381" spans="1:3" x14ac:dyDescent="0.25">
      <c r="A1381" s="20"/>
      <c r="B1381" s="11"/>
      <c r="C1381" s="11"/>
    </row>
    <row r="1382" spans="1:3" x14ac:dyDescent="0.25">
      <c r="A1382" s="20"/>
      <c r="B1382" s="11"/>
      <c r="C1382" s="11"/>
    </row>
    <row r="1383" spans="1:3" x14ac:dyDescent="0.25">
      <c r="A1383" s="20"/>
      <c r="B1383" s="11"/>
      <c r="C1383" s="11"/>
    </row>
    <row r="1384" spans="1:3" x14ac:dyDescent="0.25">
      <c r="A1384" s="20"/>
      <c r="B1384" s="11"/>
      <c r="C1384" s="11"/>
    </row>
    <row r="1385" spans="1:3" x14ac:dyDescent="0.25">
      <c r="A1385" s="20"/>
      <c r="B1385" s="11"/>
      <c r="C1385" s="11"/>
    </row>
    <row r="1386" spans="1:3" x14ac:dyDescent="0.25">
      <c r="A1386" s="20"/>
      <c r="B1386" s="11"/>
      <c r="C1386" s="11"/>
    </row>
    <row r="1387" spans="1:3" x14ac:dyDescent="0.25">
      <c r="A1387" s="20"/>
      <c r="B1387" s="11"/>
      <c r="C1387" s="11"/>
    </row>
    <row r="1388" spans="1:3" x14ac:dyDescent="0.25">
      <c r="A1388" s="20"/>
      <c r="B1388" s="11"/>
      <c r="C1388" s="11"/>
    </row>
    <row r="1389" spans="1:3" x14ac:dyDescent="0.25">
      <c r="A1389" s="20"/>
      <c r="B1389" s="11"/>
      <c r="C1389" s="11"/>
    </row>
    <row r="1390" spans="1:3" x14ac:dyDescent="0.25">
      <c r="A1390" s="20"/>
      <c r="B1390" s="11"/>
      <c r="C1390" s="11"/>
    </row>
    <row r="1391" spans="1:3" x14ac:dyDescent="0.25">
      <c r="A1391" s="20"/>
      <c r="B1391" s="11"/>
      <c r="C1391" s="11"/>
    </row>
    <row r="1392" spans="1:3" x14ac:dyDescent="0.25">
      <c r="A1392" s="20"/>
      <c r="B1392" s="11"/>
      <c r="C1392" s="11"/>
    </row>
    <row r="1393" spans="1:3" x14ac:dyDescent="0.25">
      <c r="A1393" s="20"/>
      <c r="B1393" s="11"/>
      <c r="C1393" s="11"/>
    </row>
    <row r="1394" spans="1:3" x14ac:dyDescent="0.25">
      <c r="A1394" s="20"/>
      <c r="B1394" s="11"/>
      <c r="C1394" s="11"/>
    </row>
    <row r="1395" spans="1:3" x14ac:dyDescent="0.25">
      <c r="A1395" s="20"/>
      <c r="B1395" s="11"/>
      <c r="C1395" s="11"/>
    </row>
    <row r="1396" spans="1:3" x14ac:dyDescent="0.25">
      <c r="A1396" s="20"/>
      <c r="B1396" s="11"/>
      <c r="C1396" s="11"/>
    </row>
    <row r="1397" spans="1:3" x14ac:dyDescent="0.25">
      <c r="A1397" s="20"/>
      <c r="B1397" s="11"/>
      <c r="C1397" s="11"/>
    </row>
    <row r="1398" spans="1:3" x14ac:dyDescent="0.25">
      <c r="A1398" s="20"/>
      <c r="B1398" s="11"/>
      <c r="C1398" s="11"/>
    </row>
    <row r="1399" spans="1:3" x14ac:dyDescent="0.25">
      <c r="A1399" s="20"/>
      <c r="B1399" s="11"/>
      <c r="C1399" s="11"/>
    </row>
    <row r="1400" spans="1:3" x14ac:dyDescent="0.25">
      <c r="A1400" s="20"/>
      <c r="B1400" s="11"/>
      <c r="C1400" s="11"/>
    </row>
    <row r="1401" spans="1:3" x14ac:dyDescent="0.25">
      <c r="A1401" s="20"/>
      <c r="B1401" s="11"/>
      <c r="C1401" s="11"/>
    </row>
    <row r="1402" spans="1:3" x14ac:dyDescent="0.25">
      <c r="A1402" s="20"/>
      <c r="B1402" s="11"/>
      <c r="C1402" s="11"/>
    </row>
    <row r="1403" spans="1:3" x14ac:dyDescent="0.25">
      <c r="A1403" s="20"/>
      <c r="B1403" s="11"/>
      <c r="C1403" s="11"/>
    </row>
    <row r="1404" spans="1:3" x14ac:dyDescent="0.25">
      <c r="A1404" s="20"/>
      <c r="B1404" s="11"/>
      <c r="C1404" s="11"/>
    </row>
    <row r="1405" spans="1:3" x14ac:dyDescent="0.25">
      <c r="A1405" s="20"/>
      <c r="B1405" s="11"/>
      <c r="C1405" s="11"/>
    </row>
    <row r="1406" spans="1:3" x14ac:dyDescent="0.25">
      <c r="A1406" s="20"/>
      <c r="B1406" s="11"/>
      <c r="C1406" s="11"/>
    </row>
    <row r="1407" spans="1:3" x14ac:dyDescent="0.25">
      <c r="A1407" s="20"/>
      <c r="B1407" s="11"/>
      <c r="C1407" s="11"/>
    </row>
    <row r="1408" spans="1:3" x14ac:dyDescent="0.25">
      <c r="A1408" s="20"/>
      <c r="B1408" s="11"/>
      <c r="C1408" s="11"/>
    </row>
    <row r="1409" spans="1:3" x14ac:dyDescent="0.25">
      <c r="A1409" s="20"/>
      <c r="B1409" s="11"/>
      <c r="C1409" s="11"/>
    </row>
    <row r="1410" spans="1:3" x14ac:dyDescent="0.25">
      <c r="A1410" s="20"/>
      <c r="B1410" s="11"/>
      <c r="C1410" s="11"/>
    </row>
    <row r="1411" spans="1:3" x14ac:dyDescent="0.25">
      <c r="A1411" s="20"/>
      <c r="B1411" s="11"/>
      <c r="C1411" s="11"/>
    </row>
    <row r="1412" spans="1:3" x14ac:dyDescent="0.25">
      <c r="A1412" s="20"/>
      <c r="B1412" s="11"/>
      <c r="C1412" s="11"/>
    </row>
    <row r="1413" spans="1:3" x14ac:dyDescent="0.25">
      <c r="A1413" s="20"/>
      <c r="B1413" s="11"/>
      <c r="C1413" s="11"/>
    </row>
    <row r="1414" spans="1:3" x14ac:dyDescent="0.25">
      <c r="A1414" s="20"/>
      <c r="B1414" s="11"/>
      <c r="C1414" s="11"/>
    </row>
    <row r="1415" spans="1:3" x14ac:dyDescent="0.25">
      <c r="A1415" s="20"/>
      <c r="B1415" s="11"/>
      <c r="C1415" s="11"/>
    </row>
    <row r="1416" spans="1:3" x14ac:dyDescent="0.25">
      <c r="A1416" s="20"/>
      <c r="B1416" s="11"/>
      <c r="C1416" s="11"/>
    </row>
    <row r="1417" spans="1:3" x14ac:dyDescent="0.25">
      <c r="A1417" s="20"/>
      <c r="B1417" s="11"/>
      <c r="C1417" s="11"/>
    </row>
    <row r="1418" spans="1:3" x14ac:dyDescent="0.25">
      <c r="A1418" s="20"/>
      <c r="B1418" s="11"/>
      <c r="C1418" s="11"/>
    </row>
    <row r="1419" spans="1:3" x14ac:dyDescent="0.25">
      <c r="A1419" s="20"/>
      <c r="B1419" s="11"/>
      <c r="C1419" s="11"/>
    </row>
    <row r="1420" spans="1:3" x14ac:dyDescent="0.25">
      <c r="A1420" s="20"/>
      <c r="B1420" s="11"/>
      <c r="C1420" s="11"/>
    </row>
    <row r="1421" spans="1:3" x14ac:dyDescent="0.25">
      <c r="A1421" s="20"/>
      <c r="B1421" s="11"/>
      <c r="C1421" s="11"/>
    </row>
    <row r="1422" spans="1:3" x14ac:dyDescent="0.25">
      <c r="A1422" s="20"/>
      <c r="B1422" s="11"/>
      <c r="C1422" s="11"/>
    </row>
    <row r="1423" spans="1:3" x14ac:dyDescent="0.25">
      <c r="A1423" s="20"/>
      <c r="B1423" s="11"/>
      <c r="C1423" s="11"/>
    </row>
    <row r="1424" spans="1:3" x14ac:dyDescent="0.25">
      <c r="A1424" s="20"/>
      <c r="B1424" s="11"/>
      <c r="C1424" s="11"/>
    </row>
    <row r="1425" spans="1:3" x14ac:dyDescent="0.25">
      <c r="A1425" s="20"/>
      <c r="B1425" s="11"/>
      <c r="C1425" s="11"/>
    </row>
    <row r="1426" spans="1:3" x14ac:dyDescent="0.25">
      <c r="A1426" s="20"/>
      <c r="B1426" s="11"/>
      <c r="C1426" s="11"/>
    </row>
    <row r="1427" spans="1:3" x14ac:dyDescent="0.25">
      <c r="A1427" s="20"/>
      <c r="B1427" s="11"/>
      <c r="C1427" s="11"/>
    </row>
    <row r="1428" spans="1:3" x14ac:dyDescent="0.25">
      <c r="A1428" s="20"/>
      <c r="B1428" s="11"/>
      <c r="C1428" s="11"/>
    </row>
    <row r="1429" spans="1:3" x14ac:dyDescent="0.25">
      <c r="A1429" s="20"/>
      <c r="B1429" s="11"/>
      <c r="C1429" s="11"/>
    </row>
    <row r="1430" spans="1:3" x14ac:dyDescent="0.25">
      <c r="A1430" s="20"/>
      <c r="B1430" s="11"/>
      <c r="C1430" s="11"/>
    </row>
    <row r="1431" spans="1:3" x14ac:dyDescent="0.25">
      <c r="A1431" s="20"/>
      <c r="B1431" s="11"/>
      <c r="C1431" s="11"/>
    </row>
    <row r="1432" spans="1:3" x14ac:dyDescent="0.25">
      <c r="A1432" s="20"/>
      <c r="B1432" s="11"/>
      <c r="C1432" s="11"/>
    </row>
    <row r="1433" spans="1:3" x14ac:dyDescent="0.25">
      <c r="A1433" s="20"/>
      <c r="B1433" s="11"/>
      <c r="C1433" s="11"/>
    </row>
    <row r="1434" spans="1:3" x14ac:dyDescent="0.25">
      <c r="A1434" s="20"/>
      <c r="B1434" s="11"/>
      <c r="C1434" s="11"/>
    </row>
    <row r="1435" spans="1:3" x14ac:dyDescent="0.25">
      <c r="A1435" s="20"/>
      <c r="B1435" s="11"/>
      <c r="C1435" s="11"/>
    </row>
    <row r="1436" spans="1:3" x14ac:dyDescent="0.25">
      <c r="A1436" s="20"/>
      <c r="B1436" s="11"/>
      <c r="C1436" s="11"/>
    </row>
    <row r="1437" spans="1:3" x14ac:dyDescent="0.25">
      <c r="A1437" s="20"/>
      <c r="B1437" s="11"/>
      <c r="C1437" s="11"/>
    </row>
    <row r="1438" spans="1:3" x14ac:dyDescent="0.25">
      <c r="A1438" s="20"/>
      <c r="B1438" s="11"/>
      <c r="C1438" s="11"/>
    </row>
    <row r="1439" spans="1:3" x14ac:dyDescent="0.25">
      <c r="A1439" s="20"/>
      <c r="B1439" s="11"/>
      <c r="C1439" s="11"/>
    </row>
    <row r="1440" spans="1:3" x14ac:dyDescent="0.25">
      <c r="A1440" s="20"/>
      <c r="B1440" s="11"/>
      <c r="C1440" s="11"/>
    </row>
    <row r="1441" spans="1:3" x14ac:dyDescent="0.25">
      <c r="A1441" s="20"/>
      <c r="B1441" s="11"/>
      <c r="C1441" s="11"/>
    </row>
    <row r="1442" spans="1:3" x14ac:dyDescent="0.25">
      <c r="A1442" s="20"/>
      <c r="B1442" s="11"/>
      <c r="C1442" s="11"/>
    </row>
    <row r="1443" spans="1:3" x14ac:dyDescent="0.25">
      <c r="A1443" s="20"/>
      <c r="B1443" s="11"/>
      <c r="C1443" s="11"/>
    </row>
    <row r="1444" spans="1:3" x14ac:dyDescent="0.25">
      <c r="A1444" s="20"/>
      <c r="B1444" s="11"/>
      <c r="C1444" s="11"/>
    </row>
    <row r="1445" spans="1:3" x14ac:dyDescent="0.25">
      <c r="A1445" s="20"/>
      <c r="B1445" s="11"/>
      <c r="C1445" s="11"/>
    </row>
    <row r="1446" spans="1:3" x14ac:dyDescent="0.25">
      <c r="A1446" s="20"/>
      <c r="B1446" s="11"/>
      <c r="C1446" s="11"/>
    </row>
    <row r="1447" spans="1:3" x14ac:dyDescent="0.25">
      <c r="A1447" s="20"/>
      <c r="B1447" s="11"/>
      <c r="C1447" s="11"/>
    </row>
    <row r="1448" spans="1:3" x14ac:dyDescent="0.25">
      <c r="A1448" s="20"/>
      <c r="B1448" s="11"/>
      <c r="C1448" s="11"/>
    </row>
    <row r="1449" spans="1:3" x14ac:dyDescent="0.25">
      <c r="A1449" s="20"/>
      <c r="B1449" s="11"/>
      <c r="C1449" s="11"/>
    </row>
    <row r="1450" spans="1:3" x14ac:dyDescent="0.25">
      <c r="A1450" s="20"/>
      <c r="B1450" s="11"/>
      <c r="C1450" s="11"/>
    </row>
    <row r="1451" spans="1:3" x14ac:dyDescent="0.25">
      <c r="A1451" s="20"/>
      <c r="B1451" s="11"/>
      <c r="C1451" s="11"/>
    </row>
    <row r="1452" spans="1:3" x14ac:dyDescent="0.25">
      <c r="A1452" s="20"/>
      <c r="B1452" s="11"/>
      <c r="C1452" s="11"/>
    </row>
    <row r="1453" spans="1:3" x14ac:dyDescent="0.25">
      <c r="A1453" s="20"/>
      <c r="B1453" s="11"/>
      <c r="C1453" s="11"/>
    </row>
    <row r="1454" spans="1:3" x14ac:dyDescent="0.25">
      <c r="A1454" s="20"/>
      <c r="B1454" s="11"/>
      <c r="C1454" s="11"/>
    </row>
    <row r="1455" spans="1:3" x14ac:dyDescent="0.25">
      <c r="A1455" s="20"/>
      <c r="B1455" s="11"/>
      <c r="C1455" s="11"/>
    </row>
    <row r="1456" spans="1:3" x14ac:dyDescent="0.25">
      <c r="A1456" s="20"/>
      <c r="B1456" s="11"/>
      <c r="C1456" s="11"/>
    </row>
    <row r="1457" spans="1:3" x14ac:dyDescent="0.25">
      <c r="A1457" s="20"/>
      <c r="B1457" s="11"/>
      <c r="C1457" s="11"/>
    </row>
    <row r="1458" spans="1:3" x14ac:dyDescent="0.25">
      <c r="A1458" s="20"/>
      <c r="B1458" s="11"/>
      <c r="C1458" s="11"/>
    </row>
    <row r="1459" spans="1:3" x14ac:dyDescent="0.25">
      <c r="A1459" s="20"/>
      <c r="B1459" s="11"/>
      <c r="C1459" s="11"/>
    </row>
    <row r="1460" spans="1:3" x14ac:dyDescent="0.25">
      <c r="A1460" s="20"/>
      <c r="B1460" s="11"/>
      <c r="C1460" s="11"/>
    </row>
    <row r="1461" spans="1:3" x14ac:dyDescent="0.25">
      <c r="A1461" s="20"/>
      <c r="B1461" s="11"/>
      <c r="C1461" s="11"/>
    </row>
    <row r="1462" spans="1:3" x14ac:dyDescent="0.25">
      <c r="A1462" s="20"/>
      <c r="B1462" s="11"/>
      <c r="C1462" s="11"/>
    </row>
    <row r="1463" spans="1:3" x14ac:dyDescent="0.25">
      <c r="A1463" s="20"/>
      <c r="B1463" s="11"/>
      <c r="C1463" s="11"/>
    </row>
    <row r="1464" spans="1:3" x14ac:dyDescent="0.25">
      <c r="A1464" s="20"/>
      <c r="B1464" s="11"/>
      <c r="C1464" s="11"/>
    </row>
    <row r="1465" spans="1:3" x14ac:dyDescent="0.25">
      <c r="A1465" s="20"/>
      <c r="B1465" s="11"/>
      <c r="C1465" s="11"/>
    </row>
    <row r="1466" spans="1:3" x14ac:dyDescent="0.25">
      <c r="A1466" s="20"/>
      <c r="B1466" s="11"/>
      <c r="C1466" s="11"/>
    </row>
    <row r="1467" spans="1:3" x14ac:dyDescent="0.25">
      <c r="A1467" s="20"/>
      <c r="B1467" s="11"/>
      <c r="C1467" s="11"/>
    </row>
    <row r="1468" spans="1:3" x14ac:dyDescent="0.25">
      <c r="A1468" s="20"/>
      <c r="B1468" s="11"/>
      <c r="C1468" s="11"/>
    </row>
    <row r="1469" spans="1:3" x14ac:dyDescent="0.25">
      <c r="A1469" s="20"/>
      <c r="B1469" s="11"/>
      <c r="C1469" s="11"/>
    </row>
    <row r="1470" spans="1:3" x14ac:dyDescent="0.25">
      <c r="A1470" s="20"/>
      <c r="B1470" s="11"/>
      <c r="C1470" s="11"/>
    </row>
    <row r="1471" spans="1:3" x14ac:dyDescent="0.25">
      <c r="A1471" s="20"/>
      <c r="B1471" s="11"/>
      <c r="C1471" s="11"/>
    </row>
    <row r="1472" spans="1:3" x14ac:dyDescent="0.25">
      <c r="A1472" s="20"/>
      <c r="B1472" s="11"/>
      <c r="C1472" s="11"/>
    </row>
    <row r="1473" spans="1:3" x14ac:dyDescent="0.25">
      <c r="A1473" s="20"/>
      <c r="B1473" s="11"/>
      <c r="C1473" s="11"/>
    </row>
    <row r="1474" spans="1:3" x14ac:dyDescent="0.25">
      <c r="A1474" s="20"/>
      <c r="B1474" s="11"/>
      <c r="C1474" s="11"/>
    </row>
    <row r="1475" spans="1:3" x14ac:dyDescent="0.25">
      <c r="A1475" s="20"/>
      <c r="B1475" s="11"/>
      <c r="C1475" s="11"/>
    </row>
    <row r="1476" spans="1:3" x14ac:dyDescent="0.25">
      <c r="A1476" s="20"/>
      <c r="B1476" s="11"/>
      <c r="C1476" s="11"/>
    </row>
    <row r="1477" spans="1:3" x14ac:dyDescent="0.25">
      <c r="A1477" s="20"/>
      <c r="B1477" s="11"/>
      <c r="C1477" s="11"/>
    </row>
    <row r="1478" spans="1:3" x14ac:dyDescent="0.25">
      <c r="A1478" s="20"/>
      <c r="B1478" s="11"/>
      <c r="C1478" s="11"/>
    </row>
    <row r="1479" spans="1:3" x14ac:dyDescent="0.25">
      <c r="A1479" s="20"/>
      <c r="B1479" s="11"/>
      <c r="C1479" s="11"/>
    </row>
    <row r="1480" spans="1:3" x14ac:dyDescent="0.25">
      <c r="A1480" s="20"/>
      <c r="B1480" s="11"/>
      <c r="C1480" s="11"/>
    </row>
    <row r="1481" spans="1:3" x14ac:dyDescent="0.25">
      <c r="A1481" s="20"/>
      <c r="B1481" s="11"/>
      <c r="C1481" s="11"/>
    </row>
    <row r="1482" spans="1:3" x14ac:dyDescent="0.25">
      <c r="A1482" s="20"/>
      <c r="B1482" s="11"/>
      <c r="C1482" s="11"/>
    </row>
    <row r="1483" spans="1:3" x14ac:dyDescent="0.25">
      <c r="A1483" s="20"/>
      <c r="B1483" s="11"/>
      <c r="C1483" s="11"/>
    </row>
    <row r="1484" spans="1:3" x14ac:dyDescent="0.25">
      <c r="A1484" s="20"/>
      <c r="B1484" s="11"/>
      <c r="C1484" s="11"/>
    </row>
    <row r="1485" spans="1:3" x14ac:dyDescent="0.25">
      <c r="A1485" s="20"/>
      <c r="B1485" s="11"/>
      <c r="C1485" s="11"/>
    </row>
    <row r="1486" spans="1:3" x14ac:dyDescent="0.25">
      <c r="A1486" s="20"/>
      <c r="B1486" s="11"/>
      <c r="C1486" s="11"/>
    </row>
    <row r="1487" spans="1:3" x14ac:dyDescent="0.25">
      <c r="A1487" s="20"/>
      <c r="B1487" s="11"/>
      <c r="C1487" s="11"/>
    </row>
    <row r="1488" spans="1:3" x14ac:dyDescent="0.25">
      <c r="A1488" s="20"/>
      <c r="B1488" s="11"/>
      <c r="C1488" s="11"/>
    </row>
    <row r="1489" spans="1:3" x14ac:dyDescent="0.25">
      <c r="A1489" s="20"/>
      <c r="B1489" s="11"/>
      <c r="C1489" s="11"/>
    </row>
    <row r="1490" spans="1:3" x14ac:dyDescent="0.25">
      <c r="A1490" s="20"/>
      <c r="B1490" s="11"/>
      <c r="C1490" s="11"/>
    </row>
    <row r="1491" spans="1:3" x14ac:dyDescent="0.25">
      <c r="A1491" s="20"/>
      <c r="B1491" s="11"/>
      <c r="C1491" s="11"/>
    </row>
    <row r="1492" spans="1:3" x14ac:dyDescent="0.25">
      <c r="A1492" s="20"/>
      <c r="B1492" s="11"/>
      <c r="C1492" s="11"/>
    </row>
    <row r="1493" spans="1:3" x14ac:dyDescent="0.25">
      <c r="A1493" s="20"/>
      <c r="B1493" s="11"/>
      <c r="C1493" s="11"/>
    </row>
    <row r="1494" spans="1:3" x14ac:dyDescent="0.25">
      <c r="A1494" s="20"/>
      <c r="B1494" s="11"/>
      <c r="C1494" s="11"/>
    </row>
    <row r="1495" spans="1:3" x14ac:dyDescent="0.25">
      <c r="A1495" s="20"/>
      <c r="B1495" s="11"/>
      <c r="C1495" s="11"/>
    </row>
    <row r="1496" spans="1:3" x14ac:dyDescent="0.25">
      <c r="A1496" s="20"/>
      <c r="B1496" s="11"/>
      <c r="C1496" s="11"/>
    </row>
    <row r="1497" spans="1:3" x14ac:dyDescent="0.25">
      <c r="A1497" s="20"/>
      <c r="B1497" s="11"/>
      <c r="C1497" s="11"/>
    </row>
    <row r="1498" spans="1:3" x14ac:dyDescent="0.25">
      <c r="A1498" s="20"/>
      <c r="B1498" s="11"/>
      <c r="C1498" s="11"/>
    </row>
    <row r="1499" spans="1:3" x14ac:dyDescent="0.25">
      <c r="A1499" s="20"/>
      <c r="B1499" s="11"/>
      <c r="C1499" s="11"/>
    </row>
    <row r="1500" spans="1:3" x14ac:dyDescent="0.25">
      <c r="A1500" s="20"/>
      <c r="B1500" s="11"/>
      <c r="C1500" s="11"/>
    </row>
    <row r="1501" spans="1:3" x14ac:dyDescent="0.25">
      <c r="A1501" s="20"/>
      <c r="B1501" s="11"/>
      <c r="C1501" s="11"/>
    </row>
    <row r="1502" spans="1:3" x14ac:dyDescent="0.25">
      <c r="A1502" s="20"/>
      <c r="B1502" s="11"/>
      <c r="C1502" s="11"/>
    </row>
    <row r="1503" spans="1:3" x14ac:dyDescent="0.25">
      <c r="A1503" s="20"/>
      <c r="B1503" s="11"/>
      <c r="C1503" s="11"/>
    </row>
    <row r="1504" spans="1:3" x14ac:dyDescent="0.25">
      <c r="A1504" s="20"/>
      <c r="B1504" s="11"/>
      <c r="C1504" s="11"/>
    </row>
    <row r="1505" spans="1:3" x14ac:dyDescent="0.25">
      <c r="A1505" s="20"/>
      <c r="B1505" s="11"/>
      <c r="C1505" s="11"/>
    </row>
    <row r="1506" spans="1:3" x14ac:dyDescent="0.25">
      <c r="A1506" s="20"/>
      <c r="B1506" s="11"/>
      <c r="C1506" s="11"/>
    </row>
    <row r="1507" spans="1:3" x14ac:dyDescent="0.25">
      <c r="A1507" s="20"/>
      <c r="B1507" s="11"/>
      <c r="C1507" s="11"/>
    </row>
    <row r="1508" spans="1:3" x14ac:dyDescent="0.25">
      <c r="A1508" s="20"/>
      <c r="B1508" s="11"/>
      <c r="C1508" s="11"/>
    </row>
    <row r="1509" spans="1:3" x14ac:dyDescent="0.25">
      <c r="A1509" s="20"/>
      <c r="B1509" s="11"/>
      <c r="C1509" s="11"/>
    </row>
    <row r="1510" spans="1:3" x14ac:dyDescent="0.25">
      <c r="A1510" s="20"/>
      <c r="B1510" s="11"/>
      <c r="C1510" s="11"/>
    </row>
    <row r="1511" spans="1:3" x14ac:dyDescent="0.25">
      <c r="A1511" s="20"/>
      <c r="B1511" s="11"/>
      <c r="C1511" s="11"/>
    </row>
    <row r="1512" spans="1:3" x14ac:dyDescent="0.25">
      <c r="A1512" s="20"/>
      <c r="B1512" s="11"/>
      <c r="C1512" s="11"/>
    </row>
    <row r="1513" spans="1:3" x14ac:dyDescent="0.25">
      <c r="A1513" s="20"/>
      <c r="B1513" s="11"/>
      <c r="C1513" s="11"/>
    </row>
    <row r="1514" spans="1:3" x14ac:dyDescent="0.25">
      <c r="A1514" s="20"/>
      <c r="B1514" s="11"/>
      <c r="C1514" s="11"/>
    </row>
    <row r="1515" spans="1:3" x14ac:dyDescent="0.25">
      <c r="A1515" s="20"/>
      <c r="B1515" s="11"/>
      <c r="C1515" s="11"/>
    </row>
    <row r="1516" spans="1:3" x14ac:dyDescent="0.25">
      <c r="A1516" s="20"/>
      <c r="B1516" s="11"/>
      <c r="C1516" s="11"/>
    </row>
    <row r="1517" spans="1:3" x14ac:dyDescent="0.25">
      <c r="A1517" s="20"/>
      <c r="B1517" s="11"/>
      <c r="C1517" s="11"/>
    </row>
    <row r="1518" spans="1:3" x14ac:dyDescent="0.25">
      <c r="A1518" s="20"/>
      <c r="B1518" s="11"/>
      <c r="C1518" s="11"/>
    </row>
    <row r="1519" spans="1:3" x14ac:dyDescent="0.25">
      <c r="A1519" s="20"/>
      <c r="B1519" s="11"/>
      <c r="C1519" s="11"/>
    </row>
    <row r="1520" spans="1:3" x14ac:dyDescent="0.25">
      <c r="A1520" s="20"/>
      <c r="B1520" s="11"/>
      <c r="C1520" s="11"/>
    </row>
    <row r="1521" spans="1:3" x14ac:dyDescent="0.25">
      <c r="A1521" s="20"/>
      <c r="B1521" s="11"/>
      <c r="C1521" s="11"/>
    </row>
    <row r="1522" spans="1:3" x14ac:dyDescent="0.25">
      <c r="A1522" s="20"/>
      <c r="B1522" s="11"/>
      <c r="C1522" s="11"/>
    </row>
    <row r="1523" spans="1:3" x14ac:dyDescent="0.25">
      <c r="A1523" s="20"/>
      <c r="B1523" s="11"/>
      <c r="C1523" s="11"/>
    </row>
    <row r="1524" spans="1:3" x14ac:dyDescent="0.25">
      <c r="A1524" s="20"/>
      <c r="B1524" s="11"/>
      <c r="C1524" s="11"/>
    </row>
    <row r="1525" spans="1:3" x14ac:dyDescent="0.25">
      <c r="A1525" s="20"/>
      <c r="B1525" s="11"/>
      <c r="C1525" s="11"/>
    </row>
    <row r="1526" spans="1:3" x14ac:dyDescent="0.25">
      <c r="A1526" s="20"/>
      <c r="B1526" s="11"/>
      <c r="C1526" s="11"/>
    </row>
    <row r="1527" spans="1:3" x14ac:dyDescent="0.25">
      <c r="A1527" s="20"/>
      <c r="B1527" s="11"/>
      <c r="C1527" s="11"/>
    </row>
    <row r="1528" spans="1:3" x14ac:dyDescent="0.25">
      <c r="A1528" s="20"/>
      <c r="B1528" s="11"/>
      <c r="C1528" s="11"/>
    </row>
    <row r="1529" spans="1:3" x14ac:dyDescent="0.25">
      <c r="A1529" s="20"/>
      <c r="B1529" s="11"/>
      <c r="C1529" s="11"/>
    </row>
    <row r="1530" spans="1:3" x14ac:dyDescent="0.25">
      <c r="A1530" s="20"/>
      <c r="B1530" s="11"/>
      <c r="C1530" s="11"/>
    </row>
    <row r="1531" spans="1:3" x14ac:dyDescent="0.25">
      <c r="A1531" s="20"/>
      <c r="B1531" s="11"/>
      <c r="C1531" s="11"/>
    </row>
    <row r="1532" spans="1:3" x14ac:dyDescent="0.25">
      <c r="A1532" s="20"/>
      <c r="B1532" s="11"/>
      <c r="C1532" s="11"/>
    </row>
    <row r="1533" spans="1:3" x14ac:dyDescent="0.25">
      <c r="A1533" s="20"/>
      <c r="B1533" s="11"/>
      <c r="C1533" s="11"/>
    </row>
    <row r="1534" spans="1:3" x14ac:dyDescent="0.25">
      <c r="A1534" s="20"/>
      <c r="B1534" s="11"/>
      <c r="C1534" s="11"/>
    </row>
    <row r="1535" spans="1:3" x14ac:dyDescent="0.25">
      <c r="A1535" s="20"/>
      <c r="B1535" s="11"/>
      <c r="C1535" s="11"/>
    </row>
    <row r="1536" spans="1:3" x14ac:dyDescent="0.25">
      <c r="A1536" s="20"/>
      <c r="B1536" s="11"/>
      <c r="C1536" s="11"/>
    </row>
    <row r="1537" spans="1:3" x14ac:dyDescent="0.25">
      <c r="A1537" s="20"/>
      <c r="B1537" s="11"/>
      <c r="C1537" s="11"/>
    </row>
    <row r="1538" spans="1:3" x14ac:dyDescent="0.25">
      <c r="A1538" s="20"/>
      <c r="B1538" s="11"/>
      <c r="C1538" s="11"/>
    </row>
    <row r="1539" spans="1:3" x14ac:dyDescent="0.25">
      <c r="A1539" s="20"/>
      <c r="B1539" s="11"/>
      <c r="C1539" s="11"/>
    </row>
    <row r="1540" spans="1:3" x14ac:dyDescent="0.25">
      <c r="A1540" s="20"/>
      <c r="B1540" s="11"/>
      <c r="C1540" s="11"/>
    </row>
    <row r="1541" spans="1:3" x14ac:dyDescent="0.25">
      <c r="A1541" s="20"/>
      <c r="B1541" s="11"/>
      <c r="C1541" s="11"/>
    </row>
    <row r="1542" spans="1:3" x14ac:dyDescent="0.25">
      <c r="A1542" s="20"/>
      <c r="B1542" s="11"/>
      <c r="C1542" s="11"/>
    </row>
    <row r="1543" spans="1:3" x14ac:dyDescent="0.25">
      <c r="A1543" s="20"/>
      <c r="B1543" s="11"/>
      <c r="C1543" s="11"/>
    </row>
    <row r="1544" spans="1:3" x14ac:dyDescent="0.25">
      <c r="A1544" s="20"/>
      <c r="B1544" s="11"/>
      <c r="C1544" s="11"/>
    </row>
    <row r="1545" spans="1:3" x14ac:dyDescent="0.25">
      <c r="A1545" s="20"/>
      <c r="B1545" s="11"/>
      <c r="C1545" s="11"/>
    </row>
    <row r="1546" spans="1:3" x14ac:dyDescent="0.25">
      <c r="A1546" s="20"/>
      <c r="B1546" s="11"/>
      <c r="C1546" s="11"/>
    </row>
    <row r="1547" spans="1:3" x14ac:dyDescent="0.25">
      <c r="A1547" s="20"/>
      <c r="B1547" s="11"/>
      <c r="C1547" s="11"/>
    </row>
    <row r="1548" spans="1:3" x14ac:dyDescent="0.25">
      <c r="A1548" s="20"/>
      <c r="B1548" s="11"/>
      <c r="C1548" s="11"/>
    </row>
    <row r="1549" spans="1:3" x14ac:dyDescent="0.25">
      <c r="A1549" s="20"/>
      <c r="B1549" s="11"/>
      <c r="C1549" s="11"/>
    </row>
    <row r="1550" spans="1:3" x14ac:dyDescent="0.25">
      <c r="A1550" s="20"/>
      <c r="B1550" s="11"/>
      <c r="C1550" s="11"/>
    </row>
    <row r="1551" spans="1:3" x14ac:dyDescent="0.25">
      <c r="A1551" s="20"/>
      <c r="B1551" s="11"/>
      <c r="C1551" s="11"/>
    </row>
    <row r="1552" spans="1:3" x14ac:dyDescent="0.25">
      <c r="A1552" s="20"/>
      <c r="B1552" s="11"/>
      <c r="C1552" s="11"/>
    </row>
    <row r="1553" spans="1:3" x14ac:dyDescent="0.25">
      <c r="A1553" s="20"/>
      <c r="B1553" s="11"/>
      <c r="C1553" s="11"/>
    </row>
    <row r="1554" spans="1:3" x14ac:dyDescent="0.25">
      <c r="A1554" s="20"/>
      <c r="B1554" s="11"/>
      <c r="C1554" s="11"/>
    </row>
    <row r="1555" spans="1:3" x14ac:dyDescent="0.25">
      <c r="A1555" s="20"/>
      <c r="B1555" s="11"/>
      <c r="C1555" s="11"/>
    </row>
    <row r="1556" spans="1:3" x14ac:dyDescent="0.25">
      <c r="A1556" s="20"/>
      <c r="B1556" s="11"/>
      <c r="C1556" s="11"/>
    </row>
    <row r="1557" spans="1:3" x14ac:dyDescent="0.25">
      <c r="A1557" s="20"/>
      <c r="B1557" s="11"/>
      <c r="C1557" s="11"/>
    </row>
    <row r="1558" spans="1:3" x14ac:dyDescent="0.25">
      <c r="A1558" s="20"/>
      <c r="B1558" s="11"/>
      <c r="C1558" s="11"/>
    </row>
    <row r="1559" spans="1:3" x14ac:dyDescent="0.25">
      <c r="A1559" s="20"/>
      <c r="B1559" s="11"/>
      <c r="C1559" s="11"/>
    </row>
    <row r="1560" spans="1:3" x14ac:dyDescent="0.25">
      <c r="A1560" s="20"/>
      <c r="B1560" s="11"/>
      <c r="C1560" s="11"/>
    </row>
    <row r="1561" spans="1:3" x14ac:dyDescent="0.25">
      <c r="A1561" s="20"/>
      <c r="B1561" s="11"/>
      <c r="C1561" s="11"/>
    </row>
    <row r="1562" spans="1:3" x14ac:dyDescent="0.25">
      <c r="A1562" s="20"/>
      <c r="B1562" s="11"/>
      <c r="C1562" s="11"/>
    </row>
    <row r="1563" spans="1:3" x14ac:dyDescent="0.25">
      <c r="A1563" s="20"/>
      <c r="B1563" s="11"/>
      <c r="C1563" s="11"/>
    </row>
    <row r="1564" spans="1:3" x14ac:dyDescent="0.25">
      <c r="A1564" s="20"/>
      <c r="B1564" s="11"/>
      <c r="C1564" s="11"/>
    </row>
    <row r="1565" spans="1:3" x14ac:dyDescent="0.25">
      <c r="A1565" s="20"/>
      <c r="B1565" s="11"/>
      <c r="C1565" s="11"/>
    </row>
    <row r="1566" spans="1:3" x14ac:dyDescent="0.25">
      <c r="A1566" s="20"/>
      <c r="B1566" s="11"/>
      <c r="C1566" s="11"/>
    </row>
    <row r="1567" spans="1:3" x14ac:dyDescent="0.25">
      <c r="A1567" s="20"/>
      <c r="B1567" s="11"/>
      <c r="C1567" s="11"/>
    </row>
    <row r="1568" spans="1:3" x14ac:dyDescent="0.25">
      <c r="A1568" s="20"/>
      <c r="B1568" s="11"/>
      <c r="C1568" s="11"/>
    </row>
    <row r="1569" spans="1:3" x14ac:dyDescent="0.25">
      <c r="A1569" s="20"/>
      <c r="B1569" s="11"/>
      <c r="C1569" s="11"/>
    </row>
    <row r="1570" spans="1:3" x14ac:dyDescent="0.25">
      <c r="A1570" s="20"/>
      <c r="B1570" s="11"/>
      <c r="C1570" s="11"/>
    </row>
    <row r="1571" spans="1:3" x14ac:dyDescent="0.25">
      <c r="A1571" s="20"/>
      <c r="B1571" s="11"/>
      <c r="C1571" s="11"/>
    </row>
    <row r="1572" spans="1:3" x14ac:dyDescent="0.25">
      <c r="A1572" s="20"/>
      <c r="B1572" s="11"/>
      <c r="C1572" s="11"/>
    </row>
    <row r="1573" spans="1:3" x14ac:dyDescent="0.25">
      <c r="A1573" s="20"/>
      <c r="B1573" s="11"/>
      <c r="C1573" s="11"/>
    </row>
    <row r="1574" spans="1:3" x14ac:dyDescent="0.25">
      <c r="A1574" s="20"/>
      <c r="B1574" s="11"/>
      <c r="C1574" s="11"/>
    </row>
    <row r="1575" spans="1:3" x14ac:dyDescent="0.25">
      <c r="A1575" s="20"/>
      <c r="B1575" s="11"/>
      <c r="C1575" s="11"/>
    </row>
    <row r="1576" spans="1:3" x14ac:dyDescent="0.25">
      <c r="A1576" s="20"/>
      <c r="B1576" s="11"/>
      <c r="C1576" s="11"/>
    </row>
    <row r="1577" spans="1:3" x14ac:dyDescent="0.25">
      <c r="A1577" s="20"/>
      <c r="B1577" s="11"/>
      <c r="C1577" s="11"/>
    </row>
    <row r="1578" spans="1:3" x14ac:dyDescent="0.25">
      <c r="A1578" s="20"/>
      <c r="B1578" s="11"/>
      <c r="C1578" s="11"/>
    </row>
    <row r="1579" spans="1:3" x14ac:dyDescent="0.25">
      <c r="A1579" s="20"/>
      <c r="B1579" s="11"/>
      <c r="C1579" s="11"/>
    </row>
    <row r="1580" spans="1:3" x14ac:dyDescent="0.25">
      <c r="A1580" s="20"/>
      <c r="B1580" s="11"/>
      <c r="C1580" s="11"/>
    </row>
    <row r="1581" spans="1:3" x14ac:dyDescent="0.25">
      <c r="A1581" s="20"/>
      <c r="B1581" s="11"/>
      <c r="C1581" s="11"/>
    </row>
    <row r="1582" spans="1:3" x14ac:dyDescent="0.25">
      <c r="A1582" s="20"/>
      <c r="B1582" s="11"/>
      <c r="C1582" s="11"/>
    </row>
    <row r="1583" spans="1:3" x14ac:dyDescent="0.25">
      <c r="A1583" s="20"/>
      <c r="B1583" s="11"/>
      <c r="C1583" s="11"/>
    </row>
    <row r="1584" spans="1:3" x14ac:dyDescent="0.25">
      <c r="A1584" s="20"/>
      <c r="B1584" s="11"/>
      <c r="C1584" s="11"/>
    </row>
    <row r="1585" spans="1:3" x14ac:dyDescent="0.25">
      <c r="A1585" s="20"/>
      <c r="B1585" s="11"/>
      <c r="C1585" s="11"/>
    </row>
    <row r="1586" spans="1:3" x14ac:dyDescent="0.25">
      <c r="A1586" s="20"/>
      <c r="B1586" s="11"/>
      <c r="C1586" s="11"/>
    </row>
    <row r="1587" spans="1:3" x14ac:dyDescent="0.25">
      <c r="A1587" s="20"/>
      <c r="B1587" s="11"/>
      <c r="C1587" s="11"/>
    </row>
    <row r="1588" spans="1:3" x14ac:dyDescent="0.25">
      <c r="A1588" s="20"/>
      <c r="B1588" s="11"/>
      <c r="C1588" s="11"/>
    </row>
    <row r="1589" spans="1:3" x14ac:dyDescent="0.25">
      <c r="A1589" s="20"/>
      <c r="B1589" s="11"/>
      <c r="C1589" s="11"/>
    </row>
    <row r="1590" spans="1:3" x14ac:dyDescent="0.25">
      <c r="A1590" s="20"/>
      <c r="B1590" s="11"/>
      <c r="C1590" s="11"/>
    </row>
    <row r="1591" spans="1:3" x14ac:dyDescent="0.25">
      <c r="A1591" s="20"/>
      <c r="B1591" s="11"/>
      <c r="C1591" s="11"/>
    </row>
    <row r="1592" spans="1:3" x14ac:dyDescent="0.25">
      <c r="A1592" s="20"/>
      <c r="B1592" s="11"/>
      <c r="C1592" s="11"/>
    </row>
    <row r="1593" spans="1:3" x14ac:dyDescent="0.25">
      <c r="A1593" s="20"/>
      <c r="B1593" s="11"/>
      <c r="C1593" s="11"/>
    </row>
    <row r="1594" spans="1:3" x14ac:dyDescent="0.25">
      <c r="A1594" s="20"/>
      <c r="B1594" s="11"/>
      <c r="C1594" s="11"/>
    </row>
    <row r="1595" spans="1:3" x14ac:dyDescent="0.25">
      <c r="A1595" s="20"/>
      <c r="B1595" s="11"/>
      <c r="C1595" s="11"/>
    </row>
    <row r="1596" spans="1:3" x14ac:dyDescent="0.25">
      <c r="A1596" s="20"/>
      <c r="B1596" s="11"/>
      <c r="C1596" s="11"/>
    </row>
    <row r="1597" spans="1:3" x14ac:dyDescent="0.25">
      <c r="A1597" s="20"/>
      <c r="B1597" s="11"/>
      <c r="C1597" s="11"/>
    </row>
    <row r="1598" spans="1:3" x14ac:dyDescent="0.25">
      <c r="A1598" s="20"/>
      <c r="B1598" s="11"/>
      <c r="C1598" s="11"/>
    </row>
    <row r="1599" spans="1:3" x14ac:dyDescent="0.25">
      <c r="A1599" s="20"/>
      <c r="B1599" s="11"/>
      <c r="C1599" s="11"/>
    </row>
    <row r="1600" spans="1:3" x14ac:dyDescent="0.25">
      <c r="A1600" s="20"/>
      <c r="B1600" s="11"/>
      <c r="C1600" s="11"/>
    </row>
    <row r="1601" spans="1:3" x14ac:dyDescent="0.25">
      <c r="A1601" s="20"/>
      <c r="B1601" s="11"/>
      <c r="C1601" s="11"/>
    </row>
    <row r="1602" spans="1:3" x14ac:dyDescent="0.25">
      <c r="A1602" s="20"/>
      <c r="B1602" s="11"/>
      <c r="C1602" s="11"/>
    </row>
    <row r="1603" spans="1:3" x14ac:dyDescent="0.25">
      <c r="A1603" s="20"/>
      <c r="B1603" s="11"/>
      <c r="C1603" s="11"/>
    </row>
    <row r="1604" spans="1:3" x14ac:dyDescent="0.25">
      <c r="A1604" s="20"/>
      <c r="B1604" s="11"/>
      <c r="C1604" s="11"/>
    </row>
    <row r="1605" spans="1:3" x14ac:dyDescent="0.25">
      <c r="A1605" s="20"/>
      <c r="B1605" s="11"/>
      <c r="C1605" s="11"/>
    </row>
    <row r="1606" spans="1:3" x14ac:dyDescent="0.25">
      <c r="A1606" s="20"/>
      <c r="B1606" s="11"/>
      <c r="C1606" s="11"/>
    </row>
    <row r="1607" spans="1:3" x14ac:dyDescent="0.25">
      <c r="A1607" s="20"/>
      <c r="B1607" s="11"/>
      <c r="C1607" s="11"/>
    </row>
    <row r="1608" spans="1:3" x14ac:dyDescent="0.25">
      <c r="A1608" s="20"/>
      <c r="B1608" s="11"/>
      <c r="C1608" s="11"/>
    </row>
    <row r="1609" spans="1:3" x14ac:dyDescent="0.25">
      <c r="A1609" s="20"/>
      <c r="B1609" s="11"/>
      <c r="C1609" s="11"/>
    </row>
    <row r="1610" spans="1:3" x14ac:dyDescent="0.25">
      <c r="A1610" s="20"/>
      <c r="B1610" s="11"/>
      <c r="C1610" s="11"/>
    </row>
    <row r="1611" spans="1:3" x14ac:dyDescent="0.25">
      <c r="A1611" s="20"/>
      <c r="B1611" s="11"/>
      <c r="C1611" s="11"/>
    </row>
    <row r="1612" spans="1:3" x14ac:dyDescent="0.25">
      <c r="A1612" s="20"/>
      <c r="B1612" s="11"/>
      <c r="C1612" s="11"/>
    </row>
    <row r="1613" spans="1:3" x14ac:dyDescent="0.25">
      <c r="A1613" s="20"/>
      <c r="B1613" s="11"/>
      <c r="C1613" s="11"/>
    </row>
    <row r="1614" spans="1:3" x14ac:dyDescent="0.25">
      <c r="A1614" s="20"/>
      <c r="B1614" s="11"/>
      <c r="C1614" s="11"/>
    </row>
    <row r="1615" spans="1:3" x14ac:dyDescent="0.25">
      <c r="A1615" s="20"/>
      <c r="B1615" s="11"/>
      <c r="C1615" s="11"/>
    </row>
    <row r="1616" spans="1:3" x14ac:dyDescent="0.25">
      <c r="A1616" s="20"/>
      <c r="B1616" s="11"/>
      <c r="C1616" s="11"/>
    </row>
    <row r="1617" spans="1:3" x14ac:dyDescent="0.25">
      <c r="A1617" s="20"/>
      <c r="B1617" s="11"/>
      <c r="C1617" s="11"/>
    </row>
    <row r="1618" spans="1:3" x14ac:dyDescent="0.25">
      <c r="A1618" s="20"/>
      <c r="B1618" s="11"/>
      <c r="C1618" s="11"/>
    </row>
    <row r="1619" spans="1:3" x14ac:dyDescent="0.25">
      <c r="A1619" s="20"/>
      <c r="B1619" s="11"/>
      <c r="C1619" s="11"/>
    </row>
    <row r="1620" spans="1:3" x14ac:dyDescent="0.25">
      <c r="A1620" s="20"/>
      <c r="B1620" s="11"/>
      <c r="C1620" s="11"/>
    </row>
    <row r="1621" spans="1:3" x14ac:dyDescent="0.25">
      <c r="A1621" s="20"/>
      <c r="B1621" s="11"/>
      <c r="C1621" s="11"/>
    </row>
    <row r="1622" spans="1:3" x14ac:dyDescent="0.25">
      <c r="A1622" s="20"/>
      <c r="B1622" s="11"/>
      <c r="C1622" s="11"/>
    </row>
    <row r="1623" spans="1:3" x14ac:dyDescent="0.25">
      <c r="A1623" s="20"/>
      <c r="B1623" s="11"/>
      <c r="C1623" s="11"/>
    </row>
    <row r="1624" spans="1:3" x14ac:dyDescent="0.25">
      <c r="A1624" s="20"/>
      <c r="B1624" s="11"/>
      <c r="C1624" s="11"/>
    </row>
    <row r="1625" spans="1:3" x14ac:dyDescent="0.25">
      <c r="A1625" s="20"/>
      <c r="B1625" s="11"/>
      <c r="C1625" s="11"/>
    </row>
    <row r="1626" spans="1:3" x14ac:dyDescent="0.25">
      <c r="A1626" s="20"/>
      <c r="B1626" s="11"/>
      <c r="C1626" s="11"/>
    </row>
    <row r="1627" spans="1:3" x14ac:dyDescent="0.25">
      <c r="A1627" s="20"/>
      <c r="B1627" s="11"/>
      <c r="C1627" s="11"/>
    </row>
    <row r="1628" spans="1:3" x14ac:dyDescent="0.25">
      <c r="A1628" s="20"/>
      <c r="B1628" s="11"/>
      <c r="C1628" s="11"/>
    </row>
    <row r="1629" spans="1:3" x14ac:dyDescent="0.25">
      <c r="A1629" s="20"/>
      <c r="B1629" s="11"/>
      <c r="C1629" s="11"/>
    </row>
    <row r="1630" spans="1:3" x14ac:dyDescent="0.25">
      <c r="A1630" s="20"/>
      <c r="B1630" s="11"/>
      <c r="C1630" s="11"/>
    </row>
    <row r="1631" spans="1:3" x14ac:dyDescent="0.25">
      <c r="A1631" s="20"/>
      <c r="B1631" s="11"/>
      <c r="C1631" s="11"/>
    </row>
    <row r="1632" spans="1:3" x14ac:dyDescent="0.25">
      <c r="A1632" s="20"/>
      <c r="B1632" s="11"/>
      <c r="C1632" s="11"/>
    </row>
    <row r="1633" spans="1:3" x14ac:dyDescent="0.25">
      <c r="A1633" s="20"/>
      <c r="B1633" s="11"/>
      <c r="C1633" s="11"/>
    </row>
    <row r="1634" spans="1:3" x14ac:dyDescent="0.25">
      <c r="A1634" s="20"/>
      <c r="B1634" s="11"/>
      <c r="C1634" s="11"/>
    </row>
    <row r="1635" spans="1:3" x14ac:dyDescent="0.25">
      <c r="A1635" s="20"/>
      <c r="B1635" s="11"/>
      <c r="C1635" s="11"/>
    </row>
    <row r="1636" spans="1:3" x14ac:dyDescent="0.25">
      <c r="A1636" s="20"/>
      <c r="B1636" s="11"/>
      <c r="C1636" s="11"/>
    </row>
    <row r="1637" spans="1:3" x14ac:dyDescent="0.25">
      <c r="A1637" s="20"/>
      <c r="B1637" s="11"/>
      <c r="C1637" s="11"/>
    </row>
    <row r="1638" spans="1:3" x14ac:dyDescent="0.25">
      <c r="A1638" s="20"/>
      <c r="B1638" s="11"/>
      <c r="C1638" s="11"/>
    </row>
    <row r="1639" spans="1:3" x14ac:dyDescent="0.25">
      <c r="A1639" s="20"/>
      <c r="B1639" s="11"/>
      <c r="C1639" s="11"/>
    </row>
    <row r="1640" spans="1:3" x14ac:dyDescent="0.25">
      <c r="A1640" s="20"/>
      <c r="B1640" s="11"/>
      <c r="C1640" s="11"/>
    </row>
    <row r="1641" spans="1:3" x14ac:dyDescent="0.25">
      <c r="A1641" s="20"/>
      <c r="B1641" s="11"/>
      <c r="C1641" s="11"/>
    </row>
    <row r="1642" spans="1:3" x14ac:dyDescent="0.25">
      <c r="A1642" s="20"/>
      <c r="B1642" s="11"/>
      <c r="C1642" s="11"/>
    </row>
    <row r="1643" spans="1:3" x14ac:dyDescent="0.25">
      <c r="A1643" s="20"/>
      <c r="B1643" s="11"/>
      <c r="C1643" s="11"/>
    </row>
    <row r="1644" spans="1:3" x14ac:dyDescent="0.25">
      <c r="A1644" s="20"/>
      <c r="B1644" s="11"/>
      <c r="C1644" s="11"/>
    </row>
    <row r="1645" spans="1:3" x14ac:dyDescent="0.25">
      <c r="A1645" s="20"/>
      <c r="B1645" s="11"/>
      <c r="C1645" s="11"/>
    </row>
    <row r="1646" spans="1:3" x14ac:dyDescent="0.25">
      <c r="A1646" s="20"/>
      <c r="B1646" s="11"/>
      <c r="C1646" s="11"/>
    </row>
    <row r="1647" spans="1:3" x14ac:dyDescent="0.25">
      <c r="A1647" s="20"/>
      <c r="B1647" s="11"/>
      <c r="C1647" s="11"/>
    </row>
    <row r="1648" spans="1:3" x14ac:dyDescent="0.25">
      <c r="A1648" s="20"/>
      <c r="B1648" s="11"/>
      <c r="C1648" s="11"/>
    </row>
    <row r="1649" spans="1:3" x14ac:dyDescent="0.25">
      <c r="A1649" s="20"/>
      <c r="B1649" s="11"/>
      <c r="C1649" s="11"/>
    </row>
    <row r="1650" spans="1:3" x14ac:dyDescent="0.25">
      <c r="A1650" s="20"/>
      <c r="B1650" s="11"/>
      <c r="C1650" s="11"/>
    </row>
    <row r="1651" spans="1:3" x14ac:dyDescent="0.25">
      <c r="A1651" s="20"/>
      <c r="B1651" s="11"/>
      <c r="C1651" s="11"/>
    </row>
    <row r="1652" spans="1:3" x14ac:dyDescent="0.25">
      <c r="A1652" s="20"/>
      <c r="B1652" s="11"/>
      <c r="C1652" s="11"/>
    </row>
    <row r="1653" spans="1:3" x14ac:dyDescent="0.25">
      <c r="A1653" s="20"/>
      <c r="B1653" s="11"/>
      <c r="C1653" s="11"/>
    </row>
    <row r="1654" spans="1:3" x14ac:dyDescent="0.25">
      <c r="A1654" s="20"/>
      <c r="B1654" s="11"/>
      <c r="C1654" s="11"/>
    </row>
    <row r="1655" spans="1:3" x14ac:dyDescent="0.25">
      <c r="A1655" s="20"/>
      <c r="B1655" s="11"/>
      <c r="C1655" s="11"/>
    </row>
    <row r="1656" spans="1:3" x14ac:dyDescent="0.25">
      <c r="A1656" s="20"/>
      <c r="B1656" s="11"/>
      <c r="C1656" s="11"/>
    </row>
    <row r="1657" spans="1:3" x14ac:dyDescent="0.25">
      <c r="A1657" s="20"/>
      <c r="B1657" s="11"/>
      <c r="C1657" s="11"/>
    </row>
    <row r="1658" spans="1:3" x14ac:dyDescent="0.25">
      <c r="A1658" s="20"/>
      <c r="B1658" s="11"/>
      <c r="C1658" s="11"/>
    </row>
    <row r="1659" spans="1:3" x14ac:dyDescent="0.25">
      <c r="A1659" s="20"/>
      <c r="B1659" s="11"/>
      <c r="C1659" s="11"/>
    </row>
    <row r="1660" spans="1:3" x14ac:dyDescent="0.25">
      <c r="A1660" s="20"/>
      <c r="B1660" s="11"/>
      <c r="C1660" s="11"/>
    </row>
    <row r="1661" spans="1:3" x14ac:dyDescent="0.25">
      <c r="A1661" s="20"/>
      <c r="B1661" s="11"/>
      <c r="C1661" s="11"/>
    </row>
    <row r="1662" spans="1:3" x14ac:dyDescent="0.25">
      <c r="A1662" s="20"/>
      <c r="B1662" s="11"/>
      <c r="C1662" s="11"/>
    </row>
    <row r="1663" spans="1:3" x14ac:dyDescent="0.25">
      <c r="A1663" s="20"/>
      <c r="B1663" s="11"/>
      <c r="C1663" s="11"/>
    </row>
    <row r="1664" spans="1:3" x14ac:dyDescent="0.25">
      <c r="A1664" s="20"/>
      <c r="B1664" s="11"/>
      <c r="C1664" s="11"/>
    </row>
    <row r="1665" spans="1:3" x14ac:dyDescent="0.25">
      <c r="A1665" s="20"/>
      <c r="B1665" s="11"/>
      <c r="C1665" s="11"/>
    </row>
    <row r="1666" spans="1:3" x14ac:dyDescent="0.25">
      <c r="A1666" s="20"/>
      <c r="B1666" s="11"/>
      <c r="C1666" s="11"/>
    </row>
    <row r="1667" spans="1:3" x14ac:dyDescent="0.25">
      <c r="A1667" s="20"/>
      <c r="B1667" s="11"/>
      <c r="C1667" s="11"/>
    </row>
    <row r="1668" spans="1:3" x14ac:dyDescent="0.25">
      <c r="A1668" s="20"/>
      <c r="B1668" s="11"/>
      <c r="C1668" s="11"/>
    </row>
    <row r="1669" spans="1:3" x14ac:dyDescent="0.25">
      <c r="A1669" s="20"/>
      <c r="B1669" s="11"/>
      <c r="C1669" s="11"/>
    </row>
    <row r="1670" spans="1:3" x14ac:dyDescent="0.25">
      <c r="A1670" s="20"/>
      <c r="B1670" s="11"/>
      <c r="C1670" s="11"/>
    </row>
    <row r="1671" spans="1:3" x14ac:dyDescent="0.25">
      <c r="A1671" s="20"/>
      <c r="B1671" s="11"/>
      <c r="C1671" s="11"/>
    </row>
    <row r="1672" spans="1:3" x14ac:dyDescent="0.25">
      <c r="A1672" s="20"/>
      <c r="B1672" s="11"/>
      <c r="C1672" s="11"/>
    </row>
    <row r="1673" spans="1:3" x14ac:dyDescent="0.25">
      <c r="A1673" s="20"/>
      <c r="B1673" s="11"/>
      <c r="C1673" s="11"/>
    </row>
    <row r="1674" spans="1:3" x14ac:dyDescent="0.25">
      <c r="A1674" s="20"/>
      <c r="B1674" s="11"/>
      <c r="C1674" s="11"/>
    </row>
    <row r="1675" spans="1:3" x14ac:dyDescent="0.25">
      <c r="A1675" s="20"/>
      <c r="B1675" s="11"/>
      <c r="C1675" s="11"/>
    </row>
    <row r="1676" spans="1:3" x14ac:dyDescent="0.25">
      <c r="A1676" s="20"/>
      <c r="B1676" s="11"/>
      <c r="C1676" s="11"/>
    </row>
    <row r="1677" spans="1:3" x14ac:dyDescent="0.25">
      <c r="A1677" s="20"/>
      <c r="B1677" s="11"/>
      <c r="C1677" s="11"/>
    </row>
    <row r="1678" spans="1:3" x14ac:dyDescent="0.25">
      <c r="A1678" s="20"/>
      <c r="B1678" s="11"/>
      <c r="C1678" s="11"/>
    </row>
    <row r="1679" spans="1:3" x14ac:dyDescent="0.25">
      <c r="A1679" s="20"/>
      <c r="B1679" s="11"/>
      <c r="C1679" s="11"/>
    </row>
    <row r="1680" spans="1:3" x14ac:dyDescent="0.25">
      <c r="A1680" s="20"/>
      <c r="B1680" s="11"/>
      <c r="C1680" s="11"/>
    </row>
    <row r="1681" spans="1:3" x14ac:dyDescent="0.25">
      <c r="A1681" s="20"/>
      <c r="B1681" s="11"/>
      <c r="C1681" s="11"/>
    </row>
    <row r="1682" spans="1:3" x14ac:dyDescent="0.25">
      <c r="A1682" s="20"/>
      <c r="B1682" s="11"/>
      <c r="C1682" s="11"/>
    </row>
    <row r="1683" spans="1:3" x14ac:dyDescent="0.25">
      <c r="A1683" s="20"/>
      <c r="B1683" s="11"/>
      <c r="C1683" s="11"/>
    </row>
    <row r="1684" spans="1:3" x14ac:dyDescent="0.25">
      <c r="A1684" s="20"/>
      <c r="B1684" s="11"/>
      <c r="C1684" s="11"/>
    </row>
    <row r="1685" spans="1:3" x14ac:dyDescent="0.25">
      <c r="A1685" s="20"/>
      <c r="B1685" s="11"/>
      <c r="C1685" s="11"/>
    </row>
    <row r="1686" spans="1:3" x14ac:dyDescent="0.25">
      <c r="A1686" s="20"/>
      <c r="B1686" s="11"/>
      <c r="C1686" s="11"/>
    </row>
    <row r="1687" spans="1:3" x14ac:dyDescent="0.25">
      <c r="A1687" s="20"/>
      <c r="B1687" s="11"/>
      <c r="C1687" s="11"/>
    </row>
    <row r="1688" spans="1:3" x14ac:dyDescent="0.25">
      <c r="A1688" s="20"/>
      <c r="B1688" s="11"/>
      <c r="C1688" s="11"/>
    </row>
    <row r="1689" spans="1:3" x14ac:dyDescent="0.25">
      <c r="A1689" s="20"/>
      <c r="B1689" s="11"/>
      <c r="C1689" s="11"/>
    </row>
    <row r="1690" spans="1:3" x14ac:dyDescent="0.25">
      <c r="A1690" s="20"/>
      <c r="B1690" s="11"/>
      <c r="C1690" s="11"/>
    </row>
    <row r="1691" spans="1:3" x14ac:dyDescent="0.25">
      <c r="A1691" s="20"/>
      <c r="B1691" s="11"/>
      <c r="C1691" s="11"/>
    </row>
    <row r="1692" spans="1:3" x14ac:dyDescent="0.25">
      <c r="A1692" s="20"/>
      <c r="B1692" s="11"/>
      <c r="C1692" s="11"/>
    </row>
    <row r="1693" spans="1:3" x14ac:dyDescent="0.25">
      <c r="A1693" s="20"/>
      <c r="B1693" s="11"/>
      <c r="C1693" s="11"/>
    </row>
    <row r="1694" spans="1:3" x14ac:dyDescent="0.25">
      <c r="A1694" s="20"/>
      <c r="B1694" s="11"/>
      <c r="C1694" s="11"/>
    </row>
    <row r="1695" spans="1:3" x14ac:dyDescent="0.25">
      <c r="A1695" s="20"/>
      <c r="B1695" s="11"/>
      <c r="C1695" s="11"/>
    </row>
    <row r="1696" spans="1:3" x14ac:dyDescent="0.25">
      <c r="A1696" s="20"/>
      <c r="B1696" s="11"/>
      <c r="C1696" s="11"/>
    </row>
    <row r="1697" spans="1:3" x14ac:dyDescent="0.25">
      <c r="A1697" s="20"/>
      <c r="B1697" s="11"/>
      <c r="C1697" s="11"/>
    </row>
    <row r="1698" spans="1:3" x14ac:dyDescent="0.25">
      <c r="A1698" s="20"/>
      <c r="B1698" s="11"/>
      <c r="C1698" s="11"/>
    </row>
    <row r="1699" spans="1:3" x14ac:dyDescent="0.25">
      <c r="A1699" s="20"/>
      <c r="B1699" s="11"/>
      <c r="C1699" s="11"/>
    </row>
    <row r="1700" spans="1:3" x14ac:dyDescent="0.25">
      <c r="A1700" s="20"/>
      <c r="B1700" s="11"/>
      <c r="C1700" s="11"/>
    </row>
    <row r="1701" spans="1:3" x14ac:dyDescent="0.25">
      <c r="A1701" s="20"/>
      <c r="B1701" s="11"/>
      <c r="C1701" s="11"/>
    </row>
    <row r="1702" spans="1:3" x14ac:dyDescent="0.25">
      <c r="A1702" s="20"/>
      <c r="B1702" s="11"/>
      <c r="C1702" s="11"/>
    </row>
    <row r="1703" spans="1:3" x14ac:dyDescent="0.25">
      <c r="A1703" s="20"/>
      <c r="B1703" s="11"/>
      <c r="C1703" s="11"/>
    </row>
    <row r="1704" spans="1:3" x14ac:dyDescent="0.25">
      <c r="A1704" s="20"/>
      <c r="B1704" s="11"/>
      <c r="C1704" s="11"/>
    </row>
    <row r="1705" spans="1:3" x14ac:dyDescent="0.25">
      <c r="A1705" s="20"/>
      <c r="B1705" s="11"/>
      <c r="C1705" s="11"/>
    </row>
    <row r="1706" spans="1:3" x14ac:dyDescent="0.25">
      <c r="A1706" s="20"/>
      <c r="B1706" s="11"/>
      <c r="C1706" s="11"/>
    </row>
    <row r="1707" spans="1:3" x14ac:dyDescent="0.25">
      <c r="A1707" s="20"/>
      <c r="B1707" s="11"/>
      <c r="C1707" s="11"/>
    </row>
    <row r="1708" spans="1:3" x14ac:dyDescent="0.25">
      <c r="A1708" s="20"/>
      <c r="B1708" s="11"/>
      <c r="C1708" s="11"/>
    </row>
    <row r="1709" spans="1:3" x14ac:dyDescent="0.25">
      <c r="A1709" s="20"/>
      <c r="B1709" s="11"/>
      <c r="C1709" s="11"/>
    </row>
    <row r="1710" spans="1:3" x14ac:dyDescent="0.25">
      <c r="A1710" s="20"/>
      <c r="B1710" s="11"/>
      <c r="C1710" s="11"/>
    </row>
    <row r="1711" spans="1:3" x14ac:dyDescent="0.25">
      <c r="A1711" s="20"/>
      <c r="B1711" s="11"/>
      <c r="C1711" s="11"/>
    </row>
    <row r="1712" spans="1:3" x14ac:dyDescent="0.25">
      <c r="A1712" s="20"/>
      <c r="B1712" s="11"/>
      <c r="C1712" s="11"/>
    </row>
    <row r="1713" spans="1:3" x14ac:dyDescent="0.25">
      <c r="A1713" s="20"/>
      <c r="B1713" s="11"/>
      <c r="C1713" s="11"/>
    </row>
    <row r="1714" spans="1:3" x14ac:dyDescent="0.25">
      <c r="A1714" s="20"/>
      <c r="B1714" s="11"/>
      <c r="C1714" s="11"/>
    </row>
    <row r="1715" spans="1:3" x14ac:dyDescent="0.25">
      <c r="A1715" s="20"/>
      <c r="B1715" s="11"/>
      <c r="C1715" s="11"/>
    </row>
    <row r="1716" spans="1:3" x14ac:dyDescent="0.25">
      <c r="A1716" s="20"/>
      <c r="B1716" s="11"/>
      <c r="C1716" s="11"/>
    </row>
    <row r="1717" spans="1:3" x14ac:dyDescent="0.25">
      <c r="A1717" s="20"/>
      <c r="B1717" s="11"/>
      <c r="C1717" s="11"/>
    </row>
    <row r="1718" spans="1:3" x14ac:dyDescent="0.25">
      <c r="A1718" s="20"/>
      <c r="B1718" s="11"/>
      <c r="C1718" s="11"/>
    </row>
    <row r="1719" spans="1:3" x14ac:dyDescent="0.25">
      <c r="A1719" s="20"/>
      <c r="B1719" s="11"/>
      <c r="C1719" s="11"/>
    </row>
    <row r="1720" spans="1:3" x14ac:dyDescent="0.25">
      <c r="A1720" s="20"/>
      <c r="B1720" s="11"/>
      <c r="C1720" s="11"/>
    </row>
    <row r="1721" spans="1:3" x14ac:dyDescent="0.25">
      <c r="A1721" s="20"/>
      <c r="B1721" s="11"/>
      <c r="C1721" s="11"/>
    </row>
    <row r="1722" spans="1:3" x14ac:dyDescent="0.25">
      <c r="A1722" s="20"/>
      <c r="B1722" s="11"/>
      <c r="C1722" s="11"/>
    </row>
    <row r="1723" spans="1:3" x14ac:dyDescent="0.25">
      <c r="A1723" s="20"/>
      <c r="B1723" s="11"/>
      <c r="C1723" s="11"/>
    </row>
    <row r="1724" spans="1:3" x14ac:dyDescent="0.25">
      <c r="A1724" s="20"/>
      <c r="B1724" s="11"/>
      <c r="C1724" s="11"/>
    </row>
    <row r="1725" spans="1:3" x14ac:dyDescent="0.25">
      <c r="A1725" s="20"/>
      <c r="B1725" s="11"/>
      <c r="C1725" s="11"/>
    </row>
    <row r="1726" spans="1:3" x14ac:dyDescent="0.25">
      <c r="A1726" s="20"/>
      <c r="B1726" s="11"/>
      <c r="C1726" s="11"/>
    </row>
    <row r="1727" spans="1:3" x14ac:dyDescent="0.25">
      <c r="A1727" s="20"/>
      <c r="B1727" s="11"/>
      <c r="C1727" s="11"/>
    </row>
    <row r="1728" spans="1:3" x14ac:dyDescent="0.25">
      <c r="A1728" s="20"/>
      <c r="B1728" s="11"/>
      <c r="C1728" s="11"/>
    </row>
    <row r="1729" spans="1:3" x14ac:dyDescent="0.25">
      <c r="A1729" s="20"/>
      <c r="B1729" s="11"/>
      <c r="C1729" s="11"/>
    </row>
    <row r="1730" spans="1:3" x14ac:dyDescent="0.25">
      <c r="A1730" s="20"/>
      <c r="B1730" s="11"/>
      <c r="C1730" s="11"/>
    </row>
    <row r="1731" spans="1:3" x14ac:dyDescent="0.25">
      <c r="A1731" s="20"/>
      <c r="B1731" s="11"/>
      <c r="C1731" s="11"/>
    </row>
    <row r="1732" spans="1:3" x14ac:dyDescent="0.25">
      <c r="A1732" s="20"/>
      <c r="B1732" s="11"/>
      <c r="C1732" s="11"/>
    </row>
    <row r="1733" spans="1:3" x14ac:dyDescent="0.25">
      <c r="A1733" s="20"/>
      <c r="B1733" s="11"/>
      <c r="C1733" s="11"/>
    </row>
    <row r="1734" spans="1:3" x14ac:dyDescent="0.25">
      <c r="A1734" s="20"/>
      <c r="B1734" s="11"/>
      <c r="C1734" s="11"/>
    </row>
    <row r="1735" spans="1:3" x14ac:dyDescent="0.25">
      <c r="A1735" s="20"/>
      <c r="B1735" s="11"/>
      <c r="C1735" s="11"/>
    </row>
    <row r="1736" spans="1:3" x14ac:dyDescent="0.25">
      <c r="A1736" s="20"/>
      <c r="B1736" s="11"/>
      <c r="C1736" s="11"/>
    </row>
    <row r="1737" spans="1:3" x14ac:dyDescent="0.25">
      <c r="A1737" s="20"/>
      <c r="B1737" s="11"/>
      <c r="C1737" s="11"/>
    </row>
    <row r="1738" spans="1:3" x14ac:dyDescent="0.25">
      <c r="A1738" s="20"/>
      <c r="B1738" s="11"/>
      <c r="C1738" s="11"/>
    </row>
    <row r="1739" spans="1:3" x14ac:dyDescent="0.25">
      <c r="A1739" s="20"/>
      <c r="B1739" s="11"/>
      <c r="C1739" s="11"/>
    </row>
    <row r="1740" spans="1:3" x14ac:dyDescent="0.25">
      <c r="A1740" s="20"/>
      <c r="B1740" s="11"/>
      <c r="C1740" s="11"/>
    </row>
    <row r="1741" spans="1:3" x14ac:dyDescent="0.25">
      <c r="A1741" s="20"/>
      <c r="B1741" s="11"/>
      <c r="C1741" s="11"/>
    </row>
    <row r="1742" spans="1:3" x14ac:dyDescent="0.25">
      <c r="A1742" s="20"/>
      <c r="B1742" s="11"/>
      <c r="C1742" s="11"/>
    </row>
    <row r="1743" spans="1:3" x14ac:dyDescent="0.25">
      <c r="A1743" s="20"/>
      <c r="B1743" s="11"/>
      <c r="C1743" s="11"/>
    </row>
    <row r="1744" spans="1:3" x14ac:dyDescent="0.25">
      <c r="A1744" s="20"/>
      <c r="B1744" s="11"/>
      <c r="C1744" s="11"/>
    </row>
    <row r="1745" spans="1:3" x14ac:dyDescent="0.25">
      <c r="A1745" s="20"/>
      <c r="B1745" s="11"/>
      <c r="C1745" s="11"/>
    </row>
    <row r="1746" spans="1:3" x14ac:dyDescent="0.25">
      <c r="A1746" s="20"/>
      <c r="B1746" s="11"/>
      <c r="C1746" s="11"/>
    </row>
    <row r="1747" spans="1:3" x14ac:dyDescent="0.25">
      <c r="A1747" s="20"/>
      <c r="B1747" s="11"/>
      <c r="C1747" s="11"/>
    </row>
    <row r="1748" spans="1:3" x14ac:dyDescent="0.25">
      <c r="A1748" s="20"/>
      <c r="B1748" s="11"/>
      <c r="C1748" s="11"/>
    </row>
    <row r="1749" spans="1:3" x14ac:dyDescent="0.25">
      <c r="A1749" s="20"/>
      <c r="B1749" s="11"/>
      <c r="C1749" s="11"/>
    </row>
    <row r="1750" spans="1:3" x14ac:dyDescent="0.25">
      <c r="A1750" s="20"/>
      <c r="B1750" s="11"/>
      <c r="C1750" s="11"/>
    </row>
    <row r="1751" spans="1:3" x14ac:dyDescent="0.25">
      <c r="A1751" s="20"/>
      <c r="B1751" s="11"/>
      <c r="C1751" s="11"/>
    </row>
    <row r="1752" spans="1:3" x14ac:dyDescent="0.25">
      <c r="A1752" s="20"/>
      <c r="B1752" s="11"/>
      <c r="C1752" s="11"/>
    </row>
    <row r="1753" spans="1:3" x14ac:dyDescent="0.25">
      <c r="A1753" s="20"/>
      <c r="B1753" s="11"/>
      <c r="C1753" s="11"/>
    </row>
    <row r="1754" spans="1:3" x14ac:dyDescent="0.25">
      <c r="A1754" s="20"/>
      <c r="B1754" s="11"/>
      <c r="C1754" s="11"/>
    </row>
    <row r="1755" spans="1:3" x14ac:dyDescent="0.25">
      <c r="A1755" s="20"/>
      <c r="B1755" s="11"/>
      <c r="C1755" s="11"/>
    </row>
    <row r="1756" spans="1:3" x14ac:dyDescent="0.25">
      <c r="A1756" s="20"/>
      <c r="B1756" s="11"/>
      <c r="C1756" s="11"/>
    </row>
    <row r="1757" spans="1:3" x14ac:dyDescent="0.25">
      <c r="A1757" s="20"/>
      <c r="B1757" s="11"/>
      <c r="C1757" s="11"/>
    </row>
    <row r="1758" spans="1:3" x14ac:dyDescent="0.25">
      <c r="A1758" s="20"/>
      <c r="B1758" s="11"/>
      <c r="C1758" s="11"/>
    </row>
    <row r="1759" spans="1:3" x14ac:dyDescent="0.25">
      <c r="A1759" s="20"/>
      <c r="B1759" s="11"/>
      <c r="C1759" s="11"/>
    </row>
    <row r="1760" spans="1:3" x14ac:dyDescent="0.25">
      <c r="A1760" s="20"/>
      <c r="B1760" s="11"/>
      <c r="C1760" s="11"/>
    </row>
    <row r="1761" spans="1:3" x14ac:dyDescent="0.25">
      <c r="A1761" s="20"/>
      <c r="B1761" s="11"/>
      <c r="C1761" s="11"/>
    </row>
    <row r="1762" spans="1:3" x14ac:dyDescent="0.25">
      <c r="A1762" s="20"/>
      <c r="B1762" s="11"/>
      <c r="C1762" s="11"/>
    </row>
    <row r="1763" spans="1:3" x14ac:dyDescent="0.25">
      <c r="A1763" s="20"/>
      <c r="B1763" s="11"/>
      <c r="C1763" s="11"/>
    </row>
    <row r="1764" spans="1:3" x14ac:dyDescent="0.25">
      <c r="A1764" s="20"/>
      <c r="B1764" s="11"/>
      <c r="C1764" s="11"/>
    </row>
    <row r="1765" spans="1:3" x14ac:dyDescent="0.25">
      <c r="A1765" s="20"/>
      <c r="B1765" s="11"/>
      <c r="C1765" s="11"/>
    </row>
    <row r="1766" spans="1:3" x14ac:dyDescent="0.25">
      <c r="A1766" s="20"/>
      <c r="B1766" s="11"/>
      <c r="C1766" s="11"/>
    </row>
    <row r="1767" spans="1:3" x14ac:dyDescent="0.25">
      <c r="A1767" s="20"/>
      <c r="B1767" s="11"/>
      <c r="C1767" s="11"/>
    </row>
    <row r="1768" spans="1:3" x14ac:dyDescent="0.25">
      <c r="A1768" s="20"/>
      <c r="B1768" s="11"/>
      <c r="C1768" s="11"/>
    </row>
    <row r="1769" spans="1:3" x14ac:dyDescent="0.25">
      <c r="A1769" s="20"/>
      <c r="B1769" s="11"/>
      <c r="C1769" s="11"/>
    </row>
    <row r="1770" spans="1:3" x14ac:dyDescent="0.25">
      <c r="A1770" s="20"/>
      <c r="B1770" s="11"/>
      <c r="C1770" s="11"/>
    </row>
    <row r="1771" spans="1:3" x14ac:dyDescent="0.25">
      <c r="A1771" s="20"/>
      <c r="B1771" s="11"/>
      <c r="C1771" s="11"/>
    </row>
    <row r="1772" spans="1:3" x14ac:dyDescent="0.25">
      <c r="A1772" s="20"/>
      <c r="B1772" s="11"/>
      <c r="C1772" s="11"/>
    </row>
    <row r="1773" spans="1:3" x14ac:dyDescent="0.25">
      <c r="A1773" s="20"/>
      <c r="B1773" s="11"/>
      <c r="C1773" s="11"/>
    </row>
    <row r="1774" spans="1:3" x14ac:dyDescent="0.25">
      <c r="A1774" s="20"/>
      <c r="B1774" s="11"/>
      <c r="C1774" s="11"/>
    </row>
    <row r="1775" spans="1:3" x14ac:dyDescent="0.25">
      <c r="A1775" s="20"/>
      <c r="B1775" s="11"/>
      <c r="C1775" s="11"/>
    </row>
    <row r="1776" spans="1:3" x14ac:dyDescent="0.25">
      <c r="A1776" s="20"/>
      <c r="B1776" s="11"/>
      <c r="C1776" s="11"/>
    </row>
    <row r="1777" spans="1:3" x14ac:dyDescent="0.25">
      <c r="A1777" s="20"/>
      <c r="B1777" s="11"/>
      <c r="C1777" s="11"/>
    </row>
    <row r="1778" spans="1:3" x14ac:dyDescent="0.25">
      <c r="A1778" s="20"/>
      <c r="B1778" s="11"/>
      <c r="C1778" s="11"/>
    </row>
    <row r="1779" spans="1:3" x14ac:dyDescent="0.25">
      <c r="A1779" s="20"/>
      <c r="B1779" s="11"/>
      <c r="C1779" s="11"/>
    </row>
    <row r="1780" spans="1:3" x14ac:dyDescent="0.25">
      <c r="A1780" s="20"/>
      <c r="B1780" s="11"/>
      <c r="C1780" s="11"/>
    </row>
    <row r="1781" spans="1:3" x14ac:dyDescent="0.25">
      <c r="A1781" s="20"/>
      <c r="B1781" s="11"/>
      <c r="C1781" s="11"/>
    </row>
    <row r="1782" spans="1:3" x14ac:dyDescent="0.25">
      <c r="A1782" s="20"/>
      <c r="B1782" s="11"/>
      <c r="C1782" s="11"/>
    </row>
    <row r="1783" spans="1:3" x14ac:dyDescent="0.25">
      <c r="A1783" s="20"/>
      <c r="B1783" s="11"/>
      <c r="C1783" s="11"/>
    </row>
    <row r="1784" spans="1:3" x14ac:dyDescent="0.25">
      <c r="A1784" s="20"/>
      <c r="B1784" s="11"/>
      <c r="C1784" s="11"/>
    </row>
    <row r="1785" spans="1:3" x14ac:dyDescent="0.25">
      <c r="A1785" s="20"/>
      <c r="B1785" s="11"/>
      <c r="C1785" s="11"/>
    </row>
    <row r="1786" spans="1:3" x14ac:dyDescent="0.25">
      <c r="A1786" s="20"/>
      <c r="B1786" s="11"/>
      <c r="C1786" s="11"/>
    </row>
    <row r="1787" spans="1:3" x14ac:dyDescent="0.25">
      <c r="A1787" s="20"/>
      <c r="B1787" s="11"/>
      <c r="C1787" s="11"/>
    </row>
    <row r="1788" spans="1:3" x14ac:dyDescent="0.25">
      <c r="A1788" s="20"/>
      <c r="B1788" s="11"/>
      <c r="C1788" s="11"/>
    </row>
    <row r="1789" spans="1:3" x14ac:dyDescent="0.25">
      <c r="A1789" s="20"/>
      <c r="B1789" s="11"/>
      <c r="C1789" s="11"/>
    </row>
    <row r="1790" spans="1:3" x14ac:dyDescent="0.25">
      <c r="A1790" s="20"/>
      <c r="B1790" s="11"/>
      <c r="C1790" s="11"/>
    </row>
    <row r="1791" spans="1:3" x14ac:dyDescent="0.25">
      <c r="A1791" s="20"/>
      <c r="B1791" s="11"/>
      <c r="C1791" s="11"/>
    </row>
    <row r="1792" spans="1:3" x14ac:dyDescent="0.25">
      <c r="A1792" s="20"/>
      <c r="B1792" s="11"/>
      <c r="C1792" s="11"/>
    </row>
    <row r="1793" spans="1:3" x14ac:dyDescent="0.25">
      <c r="A1793" s="20"/>
      <c r="B1793" s="11"/>
      <c r="C1793" s="11"/>
    </row>
    <row r="1794" spans="1:3" x14ac:dyDescent="0.25">
      <c r="A1794" s="20"/>
      <c r="B1794" s="11"/>
      <c r="C1794" s="11"/>
    </row>
    <row r="1795" spans="1:3" x14ac:dyDescent="0.25">
      <c r="A1795" s="20"/>
      <c r="B1795" s="11"/>
      <c r="C1795" s="11"/>
    </row>
    <row r="1796" spans="1:3" x14ac:dyDescent="0.25">
      <c r="A1796" s="20"/>
      <c r="B1796" s="11"/>
      <c r="C1796" s="11"/>
    </row>
    <row r="1797" spans="1:3" x14ac:dyDescent="0.25">
      <c r="A1797" s="20"/>
      <c r="B1797" s="11"/>
      <c r="C1797" s="11"/>
    </row>
    <row r="1798" spans="1:3" x14ac:dyDescent="0.25">
      <c r="A1798" s="20"/>
      <c r="B1798" s="11"/>
      <c r="C1798" s="11"/>
    </row>
    <row r="1799" spans="1:3" x14ac:dyDescent="0.25">
      <c r="A1799" s="20"/>
      <c r="B1799" s="11"/>
      <c r="C1799" s="11"/>
    </row>
    <row r="1800" spans="1:3" x14ac:dyDescent="0.25">
      <c r="A1800" s="20"/>
      <c r="B1800" s="11"/>
      <c r="C1800" s="11"/>
    </row>
    <row r="1801" spans="1:3" x14ac:dyDescent="0.25">
      <c r="A1801" s="20"/>
      <c r="B1801" s="11"/>
      <c r="C1801" s="11"/>
    </row>
    <row r="1802" spans="1:3" x14ac:dyDescent="0.25">
      <c r="A1802" s="20"/>
      <c r="B1802" s="11"/>
      <c r="C1802" s="11"/>
    </row>
    <row r="1803" spans="1:3" x14ac:dyDescent="0.25">
      <c r="A1803" s="20"/>
      <c r="B1803" s="11"/>
      <c r="C1803" s="11"/>
    </row>
    <row r="1804" spans="1:3" x14ac:dyDescent="0.25">
      <c r="A1804" s="20"/>
      <c r="B1804" s="11"/>
      <c r="C1804" s="11"/>
    </row>
    <row r="1805" spans="1:3" x14ac:dyDescent="0.25">
      <c r="A1805" s="20"/>
      <c r="B1805" s="11"/>
      <c r="C1805" s="11"/>
    </row>
    <row r="1806" spans="1:3" x14ac:dyDescent="0.25">
      <c r="A1806" s="20"/>
      <c r="B1806" s="11"/>
      <c r="C1806" s="11"/>
    </row>
    <row r="1807" spans="1:3" x14ac:dyDescent="0.25">
      <c r="A1807" s="20"/>
      <c r="B1807" s="11"/>
      <c r="C1807" s="11"/>
    </row>
    <row r="1808" spans="1:3" x14ac:dyDescent="0.25">
      <c r="A1808" s="20"/>
      <c r="B1808" s="11"/>
      <c r="C1808" s="11"/>
    </row>
    <row r="1809" spans="1:3" x14ac:dyDescent="0.25">
      <c r="A1809" s="20"/>
      <c r="B1809" s="11"/>
      <c r="C1809" s="11"/>
    </row>
    <row r="1810" spans="1:3" x14ac:dyDescent="0.25">
      <c r="A1810" s="20"/>
      <c r="B1810" s="11"/>
      <c r="C1810" s="11"/>
    </row>
    <row r="1811" spans="1:3" x14ac:dyDescent="0.25">
      <c r="A1811" s="20"/>
      <c r="B1811" s="11"/>
      <c r="C1811" s="11"/>
    </row>
    <row r="1812" spans="1:3" x14ac:dyDescent="0.25">
      <c r="A1812" s="20"/>
      <c r="B1812" s="11"/>
      <c r="C1812" s="11"/>
    </row>
    <row r="1813" spans="1:3" x14ac:dyDescent="0.25">
      <c r="A1813" s="20"/>
      <c r="B1813" s="11"/>
      <c r="C1813" s="11"/>
    </row>
    <row r="1814" spans="1:3" x14ac:dyDescent="0.25">
      <c r="A1814" s="20"/>
      <c r="B1814" s="11"/>
      <c r="C1814" s="11"/>
    </row>
    <row r="1815" spans="1:3" x14ac:dyDescent="0.25">
      <c r="A1815" s="20"/>
      <c r="B1815" s="11"/>
      <c r="C1815" s="11"/>
    </row>
    <row r="1816" spans="1:3" x14ac:dyDescent="0.25">
      <c r="A1816" s="20"/>
      <c r="B1816" s="11"/>
      <c r="C1816" s="11"/>
    </row>
    <row r="1817" spans="1:3" x14ac:dyDescent="0.25">
      <c r="A1817" s="20"/>
      <c r="B1817" s="11"/>
      <c r="C1817" s="11"/>
    </row>
    <row r="1818" spans="1:3" x14ac:dyDescent="0.25">
      <c r="A1818" s="20"/>
      <c r="B1818" s="11"/>
      <c r="C1818" s="11"/>
    </row>
    <row r="1819" spans="1:3" x14ac:dyDescent="0.25">
      <c r="A1819" s="20"/>
      <c r="B1819" s="11"/>
      <c r="C1819" s="11"/>
    </row>
    <row r="1820" spans="1:3" x14ac:dyDescent="0.25">
      <c r="A1820" s="20"/>
      <c r="B1820" s="11"/>
      <c r="C1820" s="11"/>
    </row>
    <row r="1821" spans="1:3" x14ac:dyDescent="0.25">
      <c r="A1821" s="20"/>
      <c r="B1821" s="11"/>
      <c r="C1821" s="11"/>
    </row>
    <row r="1822" spans="1:3" x14ac:dyDescent="0.25">
      <c r="A1822" s="20"/>
      <c r="B1822" s="11"/>
      <c r="C1822" s="11"/>
    </row>
    <row r="1823" spans="1:3" x14ac:dyDescent="0.25">
      <c r="A1823" s="20"/>
      <c r="B1823" s="11"/>
      <c r="C1823" s="11"/>
    </row>
    <row r="1824" spans="1:3" x14ac:dyDescent="0.25">
      <c r="A1824" s="20"/>
      <c r="B1824" s="11"/>
      <c r="C1824" s="11"/>
    </row>
    <row r="1825" spans="1:3" x14ac:dyDescent="0.25">
      <c r="A1825" s="20"/>
      <c r="B1825" s="11"/>
      <c r="C1825" s="11"/>
    </row>
    <row r="1826" spans="1:3" x14ac:dyDescent="0.25">
      <c r="A1826" s="20"/>
      <c r="B1826" s="11"/>
      <c r="C1826" s="11"/>
    </row>
    <row r="1827" spans="1:3" x14ac:dyDescent="0.25">
      <c r="A1827" s="20"/>
      <c r="B1827" s="11"/>
      <c r="C1827" s="11"/>
    </row>
    <row r="1828" spans="1:3" x14ac:dyDescent="0.25">
      <c r="A1828" s="20"/>
      <c r="B1828" s="11"/>
      <c r="C1828" s="11"/>
    </row>
    <row r="1829" spans="1:3" x14ac:dyDescent="0.25">
      <c r="A1829" s="20"/>
      <c r="B1829" s="11"/>
      <c r="C1829" s="11"/>
    </row>
    <row r="1830" spans="1:3" x14ac:dyDescent="0.25">
      <c r="A1830" s="20"/>
      <c r="B1830" s="11"/>
      <c r="C1830" s="11"/>
    </row>
    <row r="1831" spans="1:3" x14ac:dyDescent="0.25">
      <c r="A1831" s="20"/>
      <c r="B1831" s="11"/>
      <c r="C1831" s="11"/>
    </row>
    <row r="1832" spans="1:3" x14ac:dyDescent="0.25">
      <c r="A1832" s="20"/>
      <c r="B1832" s="11"/>
      <c r="C1832" s="11"/>
    </row>
    <row r="1833" spans="1:3" x14ac:dyDescent="0.25">
      <c r="A1833" s="20"/>
      <c r="B1833" s="11"/>
      <c r="C1833" s="11"/>
    </row>
    <row r="1834" spans="1:3" x14ac:dyDescent="0.25">
      <c r="A1834" s="20"/>
      <c r="B1834" s="11"/>
      <c r="C1834" s="11"/>
    </row>
    <row r="1835" spans="1:3" x14ac:dyDescent="0.25">
      <c r="A1835" s="20"/>
      <c r="B1835" s="11"/>
      <c r="C1835" s="11"/>
    </row>
    <row r="1836" spans="1:3" x14ac:dyDescent="0.25">
      <c r="A1836" s="20"/>
      <c r="B1836" s="11"/>
      <c r="C1836" s="11"/>
    </row>
    <row r="1837" spans="1:3" x14ac:dyDescent="0.25">
      <c r="A1837" s="20"/>
      <c r="B1837" s="11"/>
      <c r="C1837" s="11"/>
    </row>
    <row r="1838" spans="1:3" x14ac:dyDescent="0.25">
      <c r="A1838" s="20"/>
      <c r="B1838" s="11"/>
      <c r="C1838" s="11"/>
    </row>
    <row r="1839" spans="1:3" x14ac:dyDescent="0.25">
      <c r="A1839" s="20"/>
      <c r="B1839" s="11"/>
      <c r="C1839" s="11"/>
    </row>
    <row r="1840" spans="1:3" x14ac:dyDescent="0.25">
      <c r="A1840" s="20"/>
      <c r="B1840" s="11"/>
      <c r="C1840" s="11"/>
    </row>
    <row r="1841" spans="1:3" x14ac:dyDescent="0.25">
      <c r="A1841" s="20"/>
      <c r="B1841" s="11"/>
      <c r="C1841" s="11"/>
    </row>
    <row r="1842" spans="1:3" x14ac:dyDescent="0.25">
      <c r="A1842" s="20"/>
      <c r="B1842" s="11"/>
      <c r="C1842" s="11"/>
    </row>
    <row r="1843" spans="1:3" x14ac:dyDescent="0.25">
      <c r="A1843" s="20"/>
      <c r="B1843" s="11"/>
      <c r="C1843" s="11"/>
    </row>
    <row r="1844" spans="1:3" x14ac:dyDescent="0.25">
      <c r="A1844" s="20"/>
      <c r="B1844" s="11"/>
      <c r="C1844" s="11"/>
    </row>
    <row r="1845" spans="1:3" x14ac:dyDescent="0.25">
      <c r="A1845" s="20"/>
      <c r="B1845" s="11"/>
      <c r="C1845" s="11"/>
    </row>
    <row r="1846" spans="1:3" x14ac:dyDescent="0.25">
      <c r="A1846" s="20"/>
      <c r="B1846" s="11"/>
      <c r="C1846" s="11"/>
    </row>
    <row r="1847" spans="1:3" x14ac:dyDescent="0.25">
      <c r="A1847" s="20"/>
      <c r="B1847" s="11"/>
      <c r="C1847" s="11"/>
    </row>
    <row r="1848" spans="1:3" x14ac:dyDescent="0.25">
      <c r="A1848" s="20"/>
      <c r="B1848" s="11"/>
      <c r="C1848" s="11"/>
    </row>
    <row r="1849" spans="1:3" x14ac:dyDescent="0.25">
      <c r="A1849" s="20"/>
      <c r="B1849" s="11"/>
      <c r="C1849" s="11"/>
    </row>
    <row r="1850" spans="1:3" x14ac:dyDescent="0.25">
      <c r="A1850" s="20"/>
      <c r="B1850" s="11"/>
      <c r="C1850" s="11"/>
    </row>
    <row r="1851" spans="1:3" x14ac:dyDescent="0.25">
      <c r="A1851" s="20"/>
      <c r="B1851" s="11"/>
      <c r="C1851" s="11"/>
    </row>
    <row r="1852" spans="1:3" x14ac:dyDescent="0.25">
      <c r="A1852" s="20"/>
      <c r="B1852" s="11"/>
      <c r="C1852" s="11"/>
    </row>
    <row r="1853" spans="1:3" x14ac:dyDescent="0.25">
      <c r="A1853" s="20"/>
      <c r="B1853" s="11"/>
      <c r="C1853" s="11"/>
    </row>
    <row r="1854" spans="1:3" x14ac:dyDescent="0.25">
      <c r="A1854" s="20"/>
      <c r="B1854" s="11"/>
      <c r="C1854" s="11"/>
    </row>
    <row r="1855" spans="1:3" x14ac:dyDescent="0.25">
      <c r="A1855" s="20"/>
      <c r="B1855" s="11"/>
      <c r="C1855" s="11"/>
    </row>
    <row r="1856" spans="1:3" x14ac:dyDescent="0.25">
      <c r="A1856" s="20"/>
      <c r="B1856" s="11"/>
      <c r="C1856" s="11"/>
    </row>
    <row r="1857" spans="1:3" x14ac:dyDescent="0.25">
      <c r="A1857" s="20"/>
      <c r="B1857" s="11"/>
      <c r="C1857" s="11"/>
    </row>
    <row r="1858" spans="1:3" x14ac:dyDescent="0.25">
      <c r="A1858" s="20"/>
      <c r="B1858" s="11"/>
      <c r="C1858" s="11"/>
    </row>
    <row r="1859" spans="1:3" x14ac:dyDescent="0.25">
      <c r="A1859" s="20"/>
      <c r="B1859" s="11"/>
      <c r="C1859" s="11"/>
    </row>
    <row r="1860" spans="1:3" x14ac:dyDescent="0.25">
      <c r="A1860" s="20"/>
      <c r="B1860" s="11"/>
      <c r="C1860" s="11"/>
    </row>
    <row r="1861" spans="1:3" x14ac:dyDescent="0.25">
      <c r="A1861" s="20"/>
      <c r="B1861" s="11"/>
      <c r="C1861" s="11"/>
    </row>
    <row r="1862" spans="1:3" x14ac:dyDescent="0.25">
      <c r="A1862" s="20"/>
      <c r="B1862" s="11"/>
      <c r="C1862" s="11"/>
    </row>
    <row r="1863" spans="1:3" x14ac:dyDescent="0.25">
      <c r="A1863" s="20"/>
      <c r="B1863" s="11"/>
      <c r="C1863" s="11"/>
    </row>
    <row r="1864" spans="1:3" x14ac:dyDescent="0.25">
      <c r="A1864" s="20"/>
      <c r="B1864" s="11"/>
      <c r="C1864" s="11"/>
    </row>
    <row r="1865" spans="1:3" x14ac:dyDescent="0.25">
      <c r="A1865" s="20"/>
      <c r="B1865" s="11"/>
      <c r="C1865" s="11"/>
    </row>
    <row r="1866" spans="1:3" x14ac:dyDescent="0.25">
      <c r="A1866" s="20"/>
      <c r="B1866" s="11"/>
      <c r="C1866" s="11"/>
    </row>
    <row r="1867" spans="1:3" x14ac:dyDescent="0.25">
      <c r="A1867" s="20"/>
      <c r="B1867" s="11"/>
      <c r="C1867" s="11"/>
    </row>
    <row r="1868" spans="1:3" x14ac:dyDescent="0.25">
      <c r="A1868" s="20"/>
      <c r="B1868" s="11"/>
      <c r="C1868" s="11"/>
    </row>
    <row r="1869" spans="1:3" x14ac:dyDescent="0.25">
      <c r="A1869" s="20"/>
      <c r="B1869" s="11"/>
      <c r="C1869" s="11"/>
    </row>
    <row r="1870" spans="1:3" x14ac:dyDescent="0.25">
      <c r="A1870" s="20"/>
      <c r="B1870" s="11"/>
      <c r="C1870" s="11"/>
    </row>
    <row r="1871" spans="1:3" x14ac:dyDescent="0.25">
      <c r="A1871" s="20"/>
      <c r="B1871" s="11"/>
      <c r="C1871" s="11"/>
    </row>
    <row r="1872" spans="1:3" x14ac:dyDescent="0.25">
      <c r="A1872" s="20"/>
      <c r="B1872" s="11"/>
      <c r="C1872" s="11"/>
    </row>
    <row r="1873" spans="1:3" x14ac:dyDescent="0.25">
      <c r="A1873" s="20"/>
      <c r="B1873" s="11"/>
      <c r="C1873" s="11"/>
    </row>
    <row r="1874" spans="1:3" x14ac:dyDescent="0.25">
      <c r="A1874" s="20"/>
      <c r="B1874" s="11"/>
      <c r="C1874" s="11"/>
    </row>
    <row r="1875" spans="1:3" x14ac:dyDescent="0.25">
      <c r="A1875" s="20"/>
      <c r="B1875" s="11"/>
      <c r="C1875" s="11"/>
    </row>
    <row r="1876" spans="1:3" x14ac:dyDescent="0.25">
      <c r="A1876" s="20"/>
      <c r="B1876" s="11"/>
      <c r="C1876" s="11"/>
    </row>
    <row r="1877" spans="1:3" x14ac:dyDescent="0.25">
      <c r="A1877" s="20"/>
      <c r="B1877" s="11"/>
      <c r="C1877" s="11"/>
    </row>
    <row r="1878" spans="1:3" x14ac:dyDescent="0.25">
      <c r="A1878" s="20"/>
      <c r="B1878" s="11"/>
      <c r="C1878" s="11"/>
    </row>
    <row r="1879" spans="1:3" x14ac:dyDescent="0.25">
      <c r="A1879" s="20"/>
      <c r="B1879" s="11"/>
      <c r="C1879" s="11"/>
    </row>
    <row r="1880" spans="1:3" x14ac:dyDescent="0.25">
      <c r="A1880" s="20"/>
      <c r="B1880" s="11"/>
      <c r="C1880" s="11"/>
    </row>
    <row r="1881" spans="1:3" x14ac:dyDescent="0.25">
      <c r="A1881" s="20"/>
      <c r="B1881" s="11"/>
      <c r="C1881" s="11"/>
    </row>
    <row r="1882" spans="1:3" x14ac:dyDescent="0.25">
      <c r="A1882" s="20"/>
      <c r="B1882" s="11"/>
      <c r="C1882" s="11"/>
    </row>
    <row r="1883" spans="1:3" x14ac:dyDescent="0.25">
      <c r="A1883" s="20"/>
      <c r="B1883" s="11"/>
      <c r="C1883" s="11"/>
    </row>
    <row r="1884" spans="1:3" x14ac:dyDescent="0.25">
      <c r="A1884" s="20"/>
      <c r="B1884" s="11"/>
      <c r="C1884" s="11"/>
    </row>
    <row r="1885" spans="1:3" x14ac:dyDescent="0.25">
      <c r="A1885" s="20"/>
      <c r="B1885" s="11"/>
      <c r="C1885" s="11"/>
    </row>
    <row r="1886" spans="1:3" x14ac:dyDescent="0.25">
      <c r="A1886" s="20"/>
      <c r="B1886" s="11"/>
      <c r="C1886" s="11"/>
    </row>
    <row r="1887" spans="1:3" x14ac:dyDescent="0.25">
      <c r="A1887" s="20"/>
      <c r="B1887" s="11"/>
      <c r="C1887" s="11"/>
    </row>
    <row r="1888" spans="1:3" x14ac:dyDescent="0.25">
      <c r="A1888" s="20"/>
      <c r="B1888" s="11"/>
      <c r="C1888" s="11"/>
    </row>
    <row r="1889" spans="1:3" x14ac:dyDescent="0.25">
      <c r="A1889" s="20"/>
      <c r="B1889" s="11"/>
      <c r="C1889" s="11"/>
    </row>
    <row r="1890" spans="1:3" x14ac:dyDescent="0.25">
      <c r="A1890" s="20"/>
      <c r="B1890" s="11"/>
      <c r="C1890" s="11"/>
    </row>
    <row r="1891" spans="1:3" x14ac:dyDescent="0.25">
      <c r="A1891" s="20"/>
      <c r="B1891" s="11"/>
      <c r="C1891" s="11"/>
    </row>
    <row r="1892" spans="1:3" x14ac:dyDescent="0.25">
      <c r="A1892" s="20"/>
      <c r="B1892" s="11"/>
      <c r="C1892" s="11"/>
    </row>
    <row r="1893" spans="1:3" x14ac:dyDescent="0.25">
      <c r="A1893" s="20"/>
      <c r="B1893" s="11"/>
      <c r="C1893" s="11"/>
    </row>
    <row r="1894" spans="1:3" x14ac:dyDescent="0.25">
      <c r="A1894" s="20"/>
      <c r="B1894" s="11"/>
      <c r="C1894" s="11"/>
    </row>
    <row r="1895" spans="1:3" x14ac:dyDescent="0.25">
      <c r="A1895" s="20"/>
      <c r="B1895" s="11"/>
      <c r="C1895" s="11"/>
    </row>
    <row r="1896" spans="1:3" x14ac:dyDescent="0.25">
      <c r="A1896" s="20"/>
      <c r="B1896" s="11"/>
      <c r="C1896" s="11"/>
    </row>
    <row r="1897" spans="1:3" x14ac:dyDescent="0.25">
      <c r="A1897" s="20"/>
      <c r="B1897" s="11"/>
      <c r="C1897" s="11"/>
    </row>
    <row r="1898" spans="1:3" x14ac:dyDescent="0.25">
      <c r="A1898" s="20"/>
      <c r="B1898" s="11"/>
      <c r="C1898" s="11"/>
    </row>
    <row r="1899" spans="1:3" x14ac:dyDescent="0.25">
      <c r="A1899" s="20"/>
      <c r="B1899" s="11"/>
      <c r="C1899" s="11"/>
    </row>
    <row r="1900" spans="1:3" x14ac:dyDescent="0.25">
      <c r="A1900" s="20"/>
      <c r="B1900" s="11"/>
      <c r="C1900" s="11"/>
    </row>
    <row r="1901" spans="1:3" x14ac:dyDescent="0.25">
      <c r="A1901" s="20"/>
      <c r="B1901" s="11"/>
      <c r="C1901" s="11"/>
    </row>
    <row r="1902" spans="1:3" x14ac:dyDescent="0.25">
      <c r="A1902" s="20"/>
      <c r="B1902" s="11"/>
      <c r="C1902" s="11"/>
    </row>
    <row r="1903" spans="1:3" x14ac:dyDescent="0.25">
      <c r="A1903" s="20"/>
      <c r="B1903" s="11"/>
      <c r="C1903" s="11"/>
    </row>
    <row r="1904" spans="1:3" x14ac:dyDescent="0.25">
      <c r="A1904" s="20"/>
      <c r="B1904" s="11"/>
      <c r="C1904" s="11"/>
    </row>
    <row r="1905" spans="1:3" x14ac:dyDescent="0.25">
      <c r="A1905" s="20"/>
      <c r="B1905" s="11"/>
      <c r="C1905" s="11"/>
    </row>
    <row r="1906" spans="1:3" x14ac:dyDescent="0.25">
      <c r="A1906" s="20"/>
      <c r="B1906" s="11"/>
      <c r="C1906" s="11"/>
    </row>
    <row r="1907" spans="1:3" x14ac:dyDescent="0.25">
      <c r="A1907" s="20"/>
      <c r="B1907" s="11"/>
      <c r="C1907" s="11"/>
    </row>
    <row r="1908" spans="1:3" x14ac:dyDescent="0.25">
      <c r="A1908" s="20"/>
      <c r="B1908" s="11"/>
      <c r="C1908" s="11"/>
    </row>
    <row r="1909" spans="1:3" x14ac:dyDescent="0.25">
      <c r="A1909" s="20"/>
      <c r="B1909" s="11"/>
      <c r="C1909" s="11"/>
    </row>
    <row r="1910" spans="1:3" x14ac:dyDescent="0.25">
      <c r="A1910" s="20"/>
      <c r="B1910" s="11"/>
      <c r="C1910" s="11"/>
    </row>
    <row r="1911" spans="1:3" x14ac:dyDescent="0.25">
      <c r="A1911" s="20"/>
      <c r="B1911" s="11"/>
      <c r="C1911" s="11"/>
    </row>
    <row r="1912" spans="1:3" x14ac:dyDescent="0.25">
      <c r="A1912" s="20"/>
      <c r="B1912" s="11"/>
      <c r="C1912" s="11"/>
    </row>
    <row r="1913" spans="1:3" x14ac:dyDescent="0.25">
      <c r="A1913" s="20"/>
      <c r="B1913" s="11"/>
      <c r="C1913" s="11"/>
    </row>
    <row r="1914" spans="1:3" x14ac:dyDescent="0.25">
      <c r="A1914" s="20"/>
      <c r="B1914" s="11"/>
      <c r="C1914" s="11"/>
    </row>
    <row r="1915" spans="1:3" x14ac:dyDescent="0.25">
      <c r="A1915" s="20"/>
      <c r="B1915" s="11"/>
      <c r="C1915" s="11"/>
    </row>
    <row r="1916" spans="1:3" x14ac:dyDescent="0.25">
      <c r="A1916" s="20"/>
      <c r="B1916" s="11"/>
      <c r="C1916" s="11"/>
    </row>
    <row r="1917" spans="1:3" x14ac:dyDescent="0.25">
      <c r="A1917" s="20"/>
      <c r="B1917" s="11"/>
      <c r="C1917" s="11"/>
    </row>
    <row r="1918" spans="1:3" x14ac:dyDescent="0.25">
      <c r="A1918" s="20"/>
      <c r="B1918" s="11"/>
      <c r="C1918" s="11"/>
    </row>
    <row r="1919" spans="1:3" x14ac:dyDescent="0.25">
      <c r="A1919" s="20"/>
      <c r="B1919" s="11"/>
      <c r="C1919" s="11"/>
    </row>
    <row r="1920" spans="1:3" x14ac:dyDescent="0.25">
      <c r="A1920" s="20"/>
      <c r="B1920" s="11"/>
      <c r="C1920" s="11"/>
    </row>
    <row r="1921" spans="1:3" x14ac:dyDescent="0.25">
      <c r="A1921" s="20"/>
      <c r="B1921" s="11"/>
      <c r="C1921" s="11"/>
    </row>
    <row r="1922" spans="1:3" x14ac:dyDescent="0.25">
      <c r="A1922" s="20"/>
      <c r="B1922" s="11"/>
      <c r="C1922" s="11"/>
    </row>
    <row r="1923" spans="1:3" x14ac:dyDescent="0.25">
      <c r="A1923" s="20"/>
      <c r="B1923" s="11"/>
      <c r="C1923" s="11"/>
    </row>
    <row r="1924" spans="1:3" x14ac:dyDescent="0.25">
      <c r="A1924" s="20"/>
      <c r="B1924" s="11"/>
      <c r="C1924" s="11"/>
    </row>
    <row r="1925" spans="1:3" x14ac:dyDescent="0.25">
      <c r="A1925" s="20"/>
      <c r="B1925" s="11"/>
      <c r="C1925" s="11"/>
    </row>
    <row r="1926" spans="1:3" x14ac:dyDescent="0.25">
      <c r="A1926" s="20"/>
      <c r="B1926" s="11"/>
      <c r="C1926" s="11"/>
    </row>
    <row r="1927" spans="1:3" x14ac:dyDescent="0.25">
      <c r="A1927" s="20"/>
      <c r="B1927" s="11"/>
      <c r="C1927" s="11"/>
    </row>
    <row r="1928" spans="1:3" x14ac:dyDescent="0.25">
      <c r="A1928" s="20"/>
      <c r="B1928" s="11"/>
      <c r="C1928" s="11"/>
    </row>
    <row r="1929" spans="1:3" x14ac:dyDescent="0.25">
      <c r="A1929" s="20"/>
      <c r="B1929" s="11"/>
      <c r="C1929" s="11"/>
    </row>
    <row r="1930" spans="1:3" x14ac:dyDescent="0.25">
      <c r="A1930" s="20"/>
      <c r="B1930" s="11"/>
      <c r="C1930" s="11"/>
    </row>
    <row r="1931" spans="1:3" x14ac:dyDescent="0.25">
      <c r="A1931" s="20"/>
      <c r="B1931" s="11"/>
      <c r="C1931" s="11"/>
    </row>
    <row r="1932" spans="1:3" x14ac:dyDescent="0.25">
      <c r="A1932" s="20"/>
      <c r="B1932" s="11"/>
      <c r="C1932" s="11"/>
    </row>
    <row r="1933" spans="1:3" x14ac:dyDescent="0.25">
      <c r="A1933" s="20"/>
      <c r="B1933" s="11"/>
      <c r="C1933" s="11"/>
    </row>
    <row r="1934" spans="1:3" x14ac:dyDescent="0.25">
      <c r="A1934" s="20"/>
      <c r="B1934" s="11"/>
      <c r="C1934" s="11"/>
    </row>
    <row r="1935" spans="1:3" x14ac:dyDescent="0.25">
      <c r="A1935" s="20"/>
      <c r="B1935" s="11"/>
      <c r="C1935" s="11"/>
    </row>
    <row r="1936" spans="1:3" x14ac:dyDescent="0.25">
      <c r="A1936" s="20"/>
      <c r="B1936" s="11"/>
      <c r="C1936" s="11"/>
    </row>
    <row r="1937" spans="1:3" x14ac:dyDescent="0.25">
      <c r="A1937" s="20"/>
      <c r="B1937" s="11"/>
      <c r="C1937" s="11"/>
    </row>
    <row r="1938" spans="1:3" x14ac:dyDescent="0.25">
      <c r="A1938" s="20"/>
      <c r="B1938" s="11"/>
      <c r="C1938" s="11"/>
    </row>
    <row r="1939" spans="1:3" x14ac:dyDescent="0.25">
      <c r="A1939" s="20"/>
      <c r="B1939" s="11"/>
      <c r="C1939" s="11"/>
    </row>
    <row r="1940" spans="1:3" x14ac:dyDescent="0.25">
      <c r="A1940" s="20"/>
      <c r="B1940" s="11"/>
      <c r="C1940" s="11"/>
    </row>
    <row r="1941" spans="1:3" x14ac:dyDescent="0.25">
      <c r="A1941" s="20"/>
      <c r="B1941" s="11"/>
      <c r="C1941" s="11"/>
    </row>
    <row r="1942" spans="1:3" x14ac:dyDescent="0.25">
      <c r="A1942" s="20"/>
      <c r="B1942" s="11"/>
      <c r="C1942" s="11"/>
    </row>
    <row r="1943" spans="1:3" x14ac:dyDescent="0.25">
      <c r="A1943" s="20"/>
      <c r="B1943" s="11"/>
      <c r="C1943" s="11"/>
    </row>
    <row r="1944" spans="1:3" x14ac:dyDescent="0.25">
      <c r="A1944" s="20"/>
      <c r="B1944" s="11"/>
      <c r="C1944" s="11"/>
    </row>
    <row r="1945" spans="1:3" x14ac:dyDescent="0.25">
      <c r="A1945" s="20"/>
      <c r="B1945" s="11"/>
      <c r="C1945" s="11"/>
    </row>
    <row r="1946" spans="1:3" x14ac:dyDescent="0.25">
      <c r="A1946" s="20"/>
      <c r="B1946" s="11"/>
      <c r="C1946" s="11"/>
    </row>
    <row r="1947" spans="1:3" x14ac:dyDescent="0.25">
      <c r="A1947" s="20"/>
      <c r="B1947" s="11"/>
      <c r="C1947" s="11"/>
    </row>
    <row r="1948" spans="1:3" x14ac:dyDescent="0.25">
      <c r="A1948" s="20"/>
      <c r="B1948" s="11"/>
      <c r="C1948" s="11"/>
    </row>
    <row r="1949" spans="1:3" x14ac:dyDescent="0.25">
      <c r="A1949" s="20"/>
      <c r="B1949" s="11"/>
      <c r="C1949" s="11"/>
    </row>
    <row r="1950" spans="1:3" x14ac:dyDescent="0.25">
      <c r="A1950" s="20"/>
      <c r="B1950" s="11"/>
      <c r="C1950" s="11"/>
    </row>
    <row r="1951" spans="1:3" x14ac:dyDescent="0.25">
      <c r="A1951" s="20"/>
      <c r="B1951" s="11"/>
      <c r="C1951" s="11"/>
    </row>
    <row r="1952" spans="1:3" x14ac:dyDescent="0.25">
      <c r="A1952" s="20"/>
      <c r="B1952" s="11"/>
      <c r="C1952" s="11"/>
    </row>
    <row r="1953" spans="1:3" x14ac:dyDescent="0.25">
      <c r="A1953" s="20"/>
      <c r="B1953" s="11"/>
      <c r="C1953" s="11"/>
    </row>
    <row r="1954" spans="1:3" x14ac:dyDescent="0.25">
      <c r="A1954" s="20"/>
      <c r="B1954" s="11"/>
      <c r="C1954" s="11"/>
    </row>
    <row r="1955" spans="1:3" x14ac:dyDescent="0.25">
      <c r="A1955" s="20"/>
      <c r="B1955" s="11"/>
      <c r="C1955" s="11"/>
    </row>
    <row r="1956" spans="1:3" x14ac:dyDescent="0.25">
      <c r="A1956" s="20"/>
      <c r="B1956" s="11"/>
      <c r="C1956" s="11"/>
    </row>
    <row r="1957" spans="1:3" x14ac:dyDescent="0.25">
      <c r="A1957" s="20"/>
      <c r="B1957" s="11"/>
      <c r="C1957" s="11"/>
    </row>
    <row r="1958" spans="1:3" x14ac:dyDescent="0.25">
      <c r="A1958" s="20"/>
      <c r="B1958" s="11"/>
      <c r="C1958" s="11"/>
    </row>
    <row r="1959" spans="1:3" x14ac:dyDescent="0.25">
      <c r="A1959" s="20"/>
      <c r="B1959" s="11"/>
      <c r="C1959" s="11"/>
    </row>
    <row r="1960" spans="1:3" x14ac:dyDescent="0.25">
      <c r="A1960" s="20"/>
      <c r="B1960" s="11"/>
      <c r="C1960" s="11"/>
    </row>
    <row r="1961" spans="1:3" x14ac:dyDescent="0.25">
      <c r="A1961" s="20"/>
      <c r="B1961" s="11"/>
      <c r="C1961" s="11"/>
    </row>
    <row r="1962" spans="1:3" x14ac:dyDescent="0.25">
      <c r="A1962" s="20"/>
      <c r="B1962" s="11"/>
      <c r="C1962" s="11"/>
    </row>
    <row r="1963" spans="1:3" x14ac:dyDescent="0.25">
      <c r="A1963" s="20"/>
      <c r="B1963" s="11"/>
      <c r="C1963" s="11"/>
    </row>
    <row r="1964" spans="1:3" x14ac:dyDescent="0.25">
      <c r="A1964" s="20"/>
      <c r="B1964" s="11"/>
      <c r="C1964" s="11"/>
    </row>
    <row r="1965" spans="1:3" x14ac:dyDescent="0.25">
      <c r="A1965" s="20"/>
      <c r="B1965" s="11"/>
      <c r="C1965" s="11"/>
    </row>
    <row r="1966" spans="1:3" x14ac:dyDescent="0.25">
      <c r="A1966" s="20"/>
      <c r="B1966" s="11"/>
      <c r="C1966" s="11"/>
    </row>
    <row r="1967" spans="1:3" x14ac:dyDescent="0.25">
      <c r="A1967" s="20"/>
      <c r="B1967" s="11"/>
      <c r="C1967" s="11"/>
    </row>
    <row r="1968" spans="1:3" x14ac:dyDescent="0.25">
      <c r="A1968" s="20"/>
      <c r="B1968" s="11"/>
      <c r="C1968" s="11"/>
    </row>
    <row r="1969" spans="1:3" x14ac:dyDescent="0.25">
      <c r="A1969" s="20"/>
      <c r="B1969" s="11"/>
      <c r="C1969" s="11"/>
    </row>
    <row r="1970" spans="1:3" x14ac:dyDescent="0.25">
      <c r="A1970" s="20"/>
      <c r="B1970" s="11"/>
      <c r="C1970" s="11"/>
    </row>
    <row r="1971" spans="1:3" x14ac:dyDescent="0.25">
      <c r="A1971" s="20"/>
      <c r="B1971" s="11"/>
      <c r="C1971" s="11"/>
    </row>
    <row r="1972" spans="1:3" x14ac:dyDescent="0.25">
      <c r="A1972" s="20"/>
      <c r="B1972" s="11"/>
      <c r="C1972" s="11"/>
    </row>
    <row r="1973" spans="1:3" x14ac:dyDescent="0.25">
      <c r="A1973" s="20"/>
      <c r="B1973" s="11"/>
      <c r="C1973" s="11"/>
    </row>
    <row r="1974" spans="1:3" x14ac:dyDescent="0.25">
      <c r="A1974" s="20"/>
      <c r="B1974" s="11"/>
      <c r="C1974" s="11"/>
    </row>
    <row r="1975" spans="1:3" x14ac:dyDescent="0.25">
      <c r="A1975" s="20"/>
      <c r="B1975" s="11"/>
      <c r="C1975" s="11"/>
    </row>
    <row r="1976" spans="1:3" x14ac:dyDescent="0.25">
      <c r="A1976" s="20"/>
      <c r="B1976" s="11"/>
      <c r="C1976" s="11"/>
    </row>
    <row r="1977" spans="1:3" x14ac:dyDescent="0.25">
      <c r="A1977" s="20"/>
      <c r="B1977" s="11"/>
      <c r="C1977" s="11"/>
    </row>
    <row r="1978" spans="1:3" x14ac:dyDescent="0.25">
      <c r="A1978" s="20"/>
      <c r="B1978" s="11"/>
      <c r="C1978" s="11"/>
    </row>
    <row r="1979" spans="1:3" x14ac:dyDescent="0.25">
      <c r="A1979" s="20"/>
      <c r="B1979" s="11"/>
      <c r="C1979" s="11"/>
    </row>
    <row r="1980" spans="1:3" x14ac:dyDescent="0.25">
      <c r="A1980" s="20"/>
      <c r="B1980" s="11"/>
      <c r="C1980" s="11"/>
    </row>
    <row r="1981" spans="1:3" x14ac:dyDescent="0.25">
      <c r="A1981" s="20"/>
      <c r="B1981" s="11"/>
      <c r="C1981" s="11"/>
    </row>
    <row r="1982" spans="1:3" x14ac:dyDescent="0.25">
      <c r="A1982" s="20"/>
      <c r="B1982" s="11"/>
      <c r="C1982" s="11"/>
    </row>
    <row r="1983" spans="1:3" x14ac:dyDescent="0.25">
      <c r="A1983" s="20"/>
      <c r="B1983" s="11"/>
      <c r="C1983" s="11"/>
    </row>
    <row r="1984" spans="1:3" x14ac:dyDescent="0.25">
      <c r="A1984" s="20"/>
      <c r="B1984" s="11"/>
      <c r="C1984" s="11"/>
    </row>
    <row r="1985" spans="1:3" x14ac:dyDescent="0.25">
      <c r="A1985" s="20"/>
      <c r="B1985" s="11"/>
      <c r="C1985" s="11"/>
    </row>
    <row r="1986" spans="1:3" x14ac:dyDescent="0.25">
      <c r="A1986" s="20"/>
      <c r="B1986" s="11"/>
      <c r="C1986" s="11"/>
    </row>
    <row r="1987" spans="1:3" x14ac:dyDescent="0.25">
      <c r="A1987" s="20"/>
      <c r="B1987" s="11"/>
      <c r="C1987" s="11"/>
    </row>
    <row r="1988" spans="1:3" x14ac:dyDescent="0.25">
      <c r="A1988" s="20"/>
      <c r="B1988" s="11"/>
      <c r="C1988" s="11"/>
    </row>
    <row r="1989" spans="1:3" x14ac:dyDescent="0.25">
      <c r="A1989" s="20"/>
      <c r="B1989" s="11"/>
      <c r="C1989" s="11"/>
    </row>
    <row r="1990" spans="1:3" x14ac:dyDescent="0.25">
      <c r="A1990" s="20"/>
      <c r="B1990" s="11"/>
      <c r="C1990" s="11"/>
    </row>
    <row r="1991" spans="1:3" x14ac:dyDescent="0.25">
      <c r="A1991" s="20"/>
      <c r="B1991" s="11"/>
      <c r="C1991" s="11"/>
    </row>
    <row r="1992" spans="1:3" x14ac:dyDescent="0.25">
      <c r="A1992" s="20"/>
      <c r="B1992" s="11"/>
      <c r="C1992" s="11"/>
    </row>
    <row r="1993" spans="1:3" x14ac:dyDescent="0.25">
      <c r="A1993" s="20"/>
      <c r="B1993" s="11"/>
      <c r="C1993" s="11"/>
    </row>
    <row r="1994" spans="1:3" x14ac:dyDescent="0.25">
      <c r="A1994" s="20"/>
      <c r="B1994" s="11"/>
      <c r="C1994" s="11"/>
    </row>
    <row r="1995" spans="1:3" x14ac:dyDescent="0.25">
      <c r="A1995" s="20"/>
      <c r="B1995" s="11"/>
      <c r="C1995" s="11"/>
    </row>
    <row r="1996" spans="1:3" x14ac:dyDescent="0.25">
      <c r="A1996" s="20"/>
      <c r="B1996" s="11"/>
      <c r="C1996" s="11"/>
    </row>
    <row r="1997" spans="1:3" x14ac:dyDescent="0.25">
      <c r="A1997" s="20"/>
      <c r="B1997" s="11"/>
      <c r="C1997" s="11"/>
    </row>
    <row r="1998" spans="1:3" x14ac:dyDescent="0.25">
      <c r="A1998" s="20"/>
      <c r="B1998" s="11"/>
      <c r="C1998" s="11"/>
    </row>
    <row r="1999" spans="1:3" x14ac:dyDescent="0.25">
      <c r="A1999" s="20"/>
      <c r="B1999" s="11"/>
      <c r="C1999" s="11"/>
    </row>
    <row r="2000" spans="1:3" x14ac:dyDescent="0.25">
      <c r="A2000" s="20"/>
      <c r="B2000" s="11"/>
      <c r="C2000" s="11"/>
    </row>
    <row r="2001" spans="1:3" x14ac:dyDescent="0.25">
      <c r="A2001" s="20"/>
      <c r="B2001" s="11"/>
      <c r="C2001" s="11"/>
    </row>
    <row r="2002" spans="1:3" x14ac:dyDescent="0.25">
      <c r="A2002" s="20"/>
      <c r="B2002" s="11"/>
      <c r="C2002" s="11"/>
    </row>
    <row r="2003" spans="1:3" x14ac:dyDescent="0.25">
      <c r="A2003" s="20"/>
      <c r="B2003" s="11"/>
      <c r="C2003" s="11"/>
    </row>
    <row r="2004" spans="1:3" x14ac:dyDescent="0.25">
      <c r="A2004" s="20"/>
      <c r="B2004" s="11"/>
      <c r="C2004" s="11"/>
    </row>
    <row r="2005" spans="1:3" x14ac:dyDescent="0.25">
      <c r="A2005" s="20"/>
      <c r="B2005" s="11"/>
      <c r="C2005" s="11"/>
    </row>
    <row r="2006" spans="1:3" x14ac:dyDescent="0.25">
      <c r="A2006" s="20"/>
      <c r="B2006" s="11"/>
      <c r="C2006" s="11"/>
    </row>
    <row r="2007" spans="1:3" x14ac:dyDescent="0.25">
      <c r="A2007" s="20"/>
      <c r="B2007" s="11"/>
      <c r="C2007" s="11"/>
    </row>
    <row r="2008" spans="1:3" x14ac:dyDescent="0.25">
      <c r="A2008" s="20"/>
      <c r="B2008" s="11"/>
      <c r="C2008" s="11"/>
    </row>
    <row r="2009" spans="1:3" x14ac:dyDescent="0.25">
      <c r="A2009" s="20"/>
      <c r="B2009" s="11"/>
      <c r="C2009" s="11"/>
    </row>
    <row r="2010" spans="1:3" x14ac:dyDescent="0.25">
      <c r="A2010" s="20"/>
      <c r="B2010" s="11"/>
      <c r="C2010" s="11"/>
    </row>
    <row r="2011" spans="1:3" x14ac:dyDescent="0.25">
      <c r="A2011" s="20"/>
      <c r="B2011" s="11"/>
      <c r="C2011" s="11"/>
    </row>
    <row r="2012" spans="1:3" x14ac:dyDescent="0.25">
      <c r="A2012" s="20"/>
      <c r="B2012" s="11"/>
      <c r="C2012" s="11"/>
    </row>
    <row r="2013" spans="1:3" x14ac:dyDescent="0.25">
      <c r="A2013" s="20"/>
      <c r="B2013" s="11"/>
      <c r="C2013" s="11"/>
    </row>
    <row r="2014" spans="1:3" x14ac:dyDescent="0.25">
      <c r="A2014" s="20"/>
      <c r="B2014" s="11"/>
      <c r="C2014" s="11"/>
    </row>
    <row r="2015" spans="1:3" x14ac:dyDescent="0.25">
      <c r="A2015" s="20"/>
      <c r="B2015" s="11"/>
      <c r="C2015" s="11"/>
    </row>
    <row r="2016" spans="1:3" x14ac:dyDescent="0.25">
      <c r="A2016" s="20"/>
      <c r="B2016" s="11"/>
      <c r="C2016" s="11"/>
    </row>
    <row r="2017" spans="1:3" x14ac:dyDescent="0.25">
      <c r="A2017" s="20"/>
      <c r="B2017" s="11"/>
      <c r="C2017" s="11"/>
    </row>
    <row r="2018" spans="1:3" x14ac:dyDescent="0.25">
      <c r="A2018" s="20"/>
      <c r="B2018" s="11"/>
      <c r="C2018" s="11"/>
    </row>
    <row r="2019" spans="1:3" x14ac:dyDescent="0.25">
      <c r="A2019" s="20"/>
      <c r="B2019" s="11"/>
      <c r="C2019" s="11"/>
    </row>
    <row r="2020" spans="1:3" x14ac:dyDescent="0.25">
      <c r="A2020" s="20"/>
      <c r="B2020" s="11"/>
      <c r="C2020" s="11"/>
    </row>
    <row r="2021" spans="1:3" x14ac:dyDescent="0.25">
      <c r="A2021" s="20"/>
      <c r="B2021" s="11"/>
      <c r="C2021" s="11"/>
    </row>
    <row r="2022" spans="1:3" x14ac:dyDescent="0.25">
      <c r="A2022" s="20"/>
      <c r="B2022" s="11"/>
      <c r="C2022" s="11"/>
    </row>
    <row r="2023" spans="1:3" x14ac:dyDescent="0.25">
      <c r="A2023" s="20"/>
      <c r="B2023" s="11"/>
      <c r="C2023" s="11"/>
    </row>
    <row r="2024" spans="1:3" x14ac:dyDescent="0.25">
      <c r="A2024" s="20"/>
      <c r="B2024" s="11"/>
      <c r="C2024" s="11"/>
    </row>
    <row r="2025" spans="1:3" x14ac:dyDescent="0.25">
      <c r="A2025" s="20"/>
      <c r="B2025" s="11"/>
      <c r="C2025" s="11"/>
    </row>
    <row r="2026" spans="1:3" x14ac:dyDescent="0.25">
      <c r="A2026" s="20"/>
      <c r="B2026" s="11"/>
      <c r="C2026" s="11"/>
    </row>
    <row r="2027" spans="1:3" x14ac:dyDescent="0.25">
      <c r="A2027" s="20"/>
      <c r="B2027" s="11"/>
      <c r="C2027" s="11"/>
    </row>
    <row r="2028" spans="1:3" x14ac:dyDescent="0.25">
      <c r="A2028" s="20"/>
      <c r="B2028" s="11"/>
      <c r="C2028" s="11"/>
    </row>
    <row r="2029" spans="1:3" x14ac:dyDescent="0.25">
      <c r="A2029" s="20"/>
      <c r="B2029" s="11"/>
      <c r="C2029" s="11"/>
    </row>
    <row r="2030" spans="1:3" x14ac:dyDescent="0.25">
      <c r="A2030" s="20"/>
      <c r="B2030" s="11"/>
      <c r="C2030" s="11"/>
    </row>
    <row r="2031" spans="1:3" x14ac:dyDescent="0.25">
      <c r="A2031" s="20"/>
      <c r="B2031" s="11"/>
      <c r="C2031" s="11"/>
    </row>
    <row r="2032" spans="1:3" x14ac:dyDescent="0.25">
      <c r="A2032" s="20"/>
      <c r="B2032" s="11"/>
      <c r="C2032" s="11"/>
    </row>
    <row r="2033" spans="1:3" x14ac:dyDescent="0.25">
      <c r="A2033" s="20"/>
      <c r="B2033" s="11"/>
      <c r="C2033" s="11"/>
    </row>
    <row r="2034" spans="1:3" x14ac:dyDescent="0.25">
      <c r="A2034" s="20"/>
      <c r="B2034" s="11"/>
      <c r="C2034" s="11"/>
    </row>
    <row r="2035" spans="1:3" x14ac:dyDescent="0.25">
      <c r="A2035" s="20"/>
      <c r="B2035" s="11"/>
      <c r="C2035" s="11"/>
    </row>
    <row r="2036" spans="1:3" x14ac:dyDescent="0.25">
      <c r="A2036" s="20"/>
      <c r="B2036" s="11"/>
      <c r="C2036" s="11"/>
    </row>
    <row r="2037" spans="1:3" x14ac:dyDescent="0.25">
      <c r="A2037" s="20"/>
      <c r="B2037" s="11"/>
      <c r="C2037" s="11"/>
    </row>
    <row r="2038" spans="1:3" x14ac:dyDescent="0.25">
      <c r="A2038" s="20"/>
      <c r="B2038" s="11"/>
      <c r="C2038" s="11"/>
    </row>
    <row r="2039" spans="1:3" x14ac:dyDescent="0.25">
      <c r="A2039" s="20"/>
      <c r="B2039" s="11"/>
      <c r="C2039" s="11"/>
    </row>
    <row r="2040" spans="1:3" x14ac:dyDescent="0.25">
      <c r="A2040" s="20"/>
      <c r="B2040" s="11"/>
      <c r="C2040" s="11"/>
    </row>
    <row r="2041" spans="1:3" x14ac:dyDescent="0.25">
      <c r="A2041" s="20"/>
      <c r="B2041" s="11"/>
      <c r="C2041" s="11"/>
    </row>
    <row r="2042" spans="1:3" x14ac:dyDescent="0.25">
      <c r="A2042" s="20"/>
      <c r="B2042" s="11"/>
      <c r="C2042" s="11"/>
    </row>
    <row r="2043" spans="1:3" x14ac:dyDescent="0.25">
      <c r="A2043" s="20"/>
      <c r="B2043" s="11"/>
      <c r="C2043" s="11"/>
    </row>
    <row r="2044" spans="1:3" x14ac:dyDescent="0.25">
      <c r="A2044" s="20"/>
      <c r="B2044" s="11"/>
      <c r="C2044" s="11"/>
    </row>
    <row r="2045" spans="1:3" x14ac:dyDescent="0.25">
      <c r="A2045" s="20"/>
      <c r="B2045" s="11"/>
      <c r="C2045" s="11"/>
    </row>
    <row r="2046" spans="1:3" x14ac:dyDescent="0.25">
      <c r="A2046" s="20"/>
      <c r="B2046" s="11"/>
      <c r="C2046" s="11"/>
    </row>
    <row r="2047" spans="1:3" x14ac:dyDescent="0.25">
      <c r="A2047" s="20"/>
      <c r="B2047" s="11"/>
      <c r="C2047" s="11"/>
    </row>
    <row r="2048" spans="1:3" x14ac:dyDescent="0.25">
      <c r="A2048" s="20"/>
      <c r="B2048" s="11"/>
      <c r="C2048" s="11"/>
    </row>
    <row r="2049" spans="1:3" x14ac:dyDescent="0.25">
      <c r="A2049" s="20"/>
      <c r="B2049" s="11"/>
      <c r="C2049" s="11"/>
    </row>
    <row r="2050" spans="1:3" x14ac:dyDescent="0.25">
      <c r="A2050" s="20"/>
      <c r="B2050" s="11"/>
      <c r="C2050" s="11"/>
    </row>
    <row r="2051" spans="1:3" x14ac:dyDescent="0.25">
      <c r="A2051" s="20"/>
      <c r="B2051" s="11"/>
      <c r="C2051" s="11"/>
    </row>
    <row r="2052" spans="1:3" x14ac:dyDescent="0.25">
      <c r="A2052" s="20"/>
      <c r="B2052" s="11"/>
      <c r="C2052" s="11"/>
    </row>
    <row r="2053" spans="1:3" x14ac:dyDescent="0.25">
      <c r="A2053" s="20"/>
      <c r="B2053" s="11"/>
      <c r="C2053" s="11"/>
    </row>
    <row r="2054" spans="1:3" x14ac:dyDescent="0.25">
      <c r="A2054" s="20"/>
      <c r="B2054" s="11"/>
      <c r="C2054" s="11"/>
    </row>
    <row r="2055" spans="1:3" x14ac:dyDescent="0.25">
      <c r="A2055" s="20"/>
      <c r="B2055" s="11"/>
      <c r="C2055" s="11"/>
    </row>
    <row r="2056" spans="1:3" x14ac:dyDescent="0.25">
      <c r="A2056" s="20"/>
      <c r="B2056" s="11"/>
      <c r="C2056" s="11"/>
    </row>
    <row r="2057" spans="1:3" x14ac:dyDescent="0.25">
      <c r="A2057" s="20"/>
      <c r="B2057" s="11"/>
      <c r="C2057" s="11"/>
    </row>
    <row r="2058" spans="1:3" x14ac:dyDescent="0.25">
      <c r="A2058" s="20"/>
      <c r="B2058" s="11"/>
      <c r="C2058" s="11"/>
    </row>
    <row r="2059" spans="1:3" x14ac:dyDescent="0.25">
      <c r="A2059" s="20"/>
      <c r="B2059" s="11"/>
      <c r="C2059" s="11"/>
    </row>
    <row r="2060" spans="1:3" x14ac:dyDescent="0.25">
      <c r="A2060" s="20"/>
      <c r="B2060" s="11"/>
      <c r="C2060" s="11"/>
    </row>
    <row r="2061" spans="1:3" x14ac:dyDescent="0.25">
      <c r="A2061" s="20"/>
      <c r="B2061" s="11"/>
      <c r="C2061" s="11"/>
    </row>
    <row r="2062" spans="1:3" x14ac:dyDescent="0.25">
      <c r="A2062" s="20"/>
      <c r="B2062" s="11"/>
      <c r="C2062" s="11"/>
    </row>
    <row r="2063" spans="1:3" x14ac:dyDescent="0.25">
      <c r="A2063" s="20"/>
      <c r="B2063" s="11"/>
      <c r="C2063" s="11"/>
    </row>
    <row r="2064" spans="1:3" x14ac:dyDescent="0.25">
      <c r="A2064" s="20"/>
      <c r="B2064" s="11"/>
      <c r="C2064" s="11"/>
    </row>
    <row r="2065" spans="1:3" x14ac:dyDescent="0.25">
      <c r="A2065" s="20"/>
      <c r="B2065" s="11"/>
      <c r="C2065" s="11"/>
    </row>
    <row r="2066" spans="1:3" x14ac:dyDescent="0.25">
      <c r="A2066" s="20"/>
      <c r="B2066" s="11"/>
      <c r="C2066" s="11"/>
    </row>
    <row r="2067" spans="1:3" x14ac:dyDescent="0.25">
      <c r="A2067" s="20"/>
      <c r="B2067" s="11"/>
      <c r="C2067" s="11"/>
    </row>
    <row r="2068" spans="1:3" x14ac:dyDescent="0.25">
      <c r="A2068" s="20"/>
      <c r="B2068" s="11"/>
      <c r="C2068" s="11"/>
    </row>
    <row r="2069" spans="1:3" x14ac:dyDescent="0.25">
      <c r="A2069" s="20"/>
      <c r="B2069" s="11"/>
      <c r="C2069" s="11"/>
    </row>
    <row r="2070" spans="1:3" x14ac:dyDescent="0.25">
      <c r="A2070" s="20"/>
      <c r="B2070" s="11"/>
      <c r="C2070" s="11"/>
    </row>
    <row r="2071" spans="1:3" x14ac:dyDescent="0.25">
      <c r="A2071" s="20"/>
      <c r="B2071" s="11"/>
      <c r="C2071" s="11"/>
    </row>
    <row r="2072" spans="1:3" x14ac:dyDescent="0.25">
      <c r="A2072" s="20"/>
      <c r="B2072" s="11"/>
      <c r="C2072" s="11"/>
    </row>
    <row r="2073" spans="1:3" x14ac:dyDescent="0.25">
      <c r="A2073" s="20"/>
      <c r="B2073" s="11"/>
      <c r="C2073" s="11"/>
    </row>
    <row r="2074" spans="1:3" x14ac:dyDescent="0.25">
      <c r="A2074" s="20"/>
      <c r="B2074" s="11"/>
      <c r="C2074" s="11"/>
    </row>
    <row r="2075" spans="1:3" x14ac:dyDescent="0.25">
      <c r="A2075" s="20"/>
      <c r="B2075" s="11"/>
      <c r="C2075" s="11"/>
    </row>
    <row r="2076" spans="1:3" x14ac:dyDescent="0.25">
      <c r="A2076" s="20"/>
      <c r="B2076" s="11"/>
      <c r="C2076" s="11"/>
    </row>
    <row r="2077" spans="1:3" x14ac:dyDescent="0.25">
      <c r="A2077" s="20"/>
      <c r="B2077" s="11"/>
      <c r="C2077" s="11"/>
    </row>
    <row r="2078" spans="1:3" x14ac:dyDescent="0.25">
      <c r="A2078" s="20"/>
      <c r="B2078" s="11"/>
      <c r="C2078" s="11"/>
    </row>
    <row r="2079" spans="1:3" x14ac:dyDescent="0.25">
      <c r="A2079" s="20"/>
      <c r="B2079" s="11"/>
      <c r="C2079" s="11"/>
    </row>
    <row r="2080" spans="1:3" x14ac:dyDescent="0.25">
      <c r="A2080" s="20"/>
      <c r="B2080" s="11"/>
      <c r="C2080" s="11"/>
    </row>
    <row r="2081" spans="1:3" x14ac:dyDescent="0.25">
      <c r="A2081" s="20"/>
      <c r="B2081" s="11"/>
      <c r="C2081" s="11"/>
    </row>
    <row r="2082" spans="1:3" x14ac:dyDescent="0.25">
      <c r="A2082" s="20"/>
      <c r="B2082" s="11"/>
      <c r="C2082" s="11"/>
    </row>
    <row r="2083" spans="1:3" x14ac:dyDescent="0.25">
      <c r="A2083" s="20"/>
      <c r="B2083" s="11"/>
      <c r="C2083" s="11"/>
    </row>
    <row r="2084" spans="1:3" x14ac:dyDescent="0.25">
      <c r="A2084" s="20"/>
      <c r="B2084" s="11"/>
      <c r="C2084" s="11"/>
    </row>
    <row r="2085" spans="1:3" x14ac:dyDescent="0.25">
      <c r="A2085" s="20"/>
      <c r="B2085" s="11"/>
      <c r="C2085" s="11"/>
    </row>
    <row r="2086" spans="1:3" x14ac:dyDescent="0.25">
      <c r="A2086" s="20"/>
      <c r="B2086" s="11"/>
      <c r="C2086" s="11"/>
    </row>
    <row r="2087" spans="1:3" x14ac:dyDescent="0.25">
      <c r="A2087" s="20"/>
      <c r="B2087" s="11"/>
      <c r="C2087" s="11"/>
    </row>
    <row r="2088" spans="1:3" x14ac:dyDescent="0.25">
      <c r="A2088" s="20"/>
      <c r="B2088" s="11"/>
      <c r="C2088" s="11"/>
    </row>
    <row r="2089" spans="1:3" x14ac:dyDescent="0.25">
      <c r="A2089" s="20"/>
      <c r="B2089" s="11"/>
      <c r="C2089" s="11"/>
    </row>
    <row r="2090" spans="1:3" x14ac:dyDescent="0.25">
      <c r="A2090" s="20"/>
      <c r="B2090" s="11"/>
      <c r="C2090" s="11"/>
    </row>
    <row r="2091" spans="1:3" x14ac:dyDescent="0.25">
      <c r="A2091" s="20"/>
      <c r="B2091" s="11"/>
      <c r="C2091" s="11"/>
    </row>
    <row r="2092" spans="1:3" x14ac:dyDescent="0.25">
      <c r="A2092" s="20"/>
      <c r="B2092" s="11"/>
      <c r="C2092" s="11"/>
    </row>
    <row r="2093" spans="1:3" x14ac:dyDescent="0.25">
      <c r="A2093" s="20"/>
      <c r="B2093" s="11"/>
      <c r="C2093" s="11"/>
    </row>
    <row r="2094" spans="1:3" x14ac:dyDescent="0.25">
      <c r="A2094" s="20"/>
      <c r="B2094" s="11"/>
      <c r="C2094" s="11"/>
    </row>
    <row r="2095" spans="1:3" x14ac:dyDescent="0.25">
      <c r="A2095" s="20"/>
      <c r="B2095" s="11"/>
      <c r="C2095" s="11"/>
    </row>
    <row r="2096" spans="1:3" x14ac:dyDescent="0.25">
      <c r="A2096" s="20"/>
      <c r="B2096" s="11"/>
      <c r="C2096" s="11"/>
    </row>
    <row r="2097" spans="1:3" x14ac:dyDescent="0.25">
      <c r="A2097" s="20"/>
      <c r="B2097" s="11"/>
      <c r="C2097" s="11"/>
    </row>
    <row r="2098" spans="1:3" x14ac:dyDescent="0.25">
      <c r="A2098" s="20"/>
      <c r="B2098" s="11"/>
      <c r="C2098" s="11"/>
    </row>
    <row r="2099" spans="1:3" x14ac:dyDescent="0.25">
      <c r="A2099" s="20"/>
      <c r="B2099" s="11"/>
      <c r="C2099" s="11"/>
    </row>
    <row r="2100" spans="1:3" x14ac:dyDescent="0.25">
      <c r="A2100" s="20"/>
      <c r="B2100" s="11"/>
      <c r="C2100" s="11"/>
    </row>
    <row r="2101" spans="1:3" x14ac:dyDescent="0.25">
      <c r="A2101" s="20"/>
      <c r="B2101" s="11"/>
      <c r="C2101" s="11"/>
    </row>
    <row r="2102" spans="1:3" x14ac:dyDescent="0.25">
      <c r="A2102" s="20"/>
      <c r="B2102" s="11"/>
      <c r="C2102" s="11"/>
    </row>
    <row r="2103" spans="1:3" x14ac:dyDescent="0.25">
      <c r="A2103" s="20"/>
      <c r="B2103" s="11"/>
      <c r="C2103" s="11"/>
    </row>
    <row r="2104" spans="1:3" x14ac:dyDescent="0.25">
      <c r="A2104" s="20"/>
      <c r="B2104" s="11"/>
      <c r="C2104" s="11"/>
    </row>
    <row r="2105" spans="1:3" x14ac:dyDescent="0.25">
      <c r="A2105" s="20"/>
      <c r="B2105" s="11"/>
      <c r="C2105" s="11"/>
    </row>
    <row r="2106" spans="1:3" x14ac:dyDescent="0.25">
      <c r="A2106" s="20"/>
      <c r="B2106" s="11"/>
      <c r="C2106" s="11"/>
    </row>
    <row r="2107" spans="1:3" x14ac:dyDescent="0.25">
      <c r="A2107" s="20"/>
      <c r="B2107" s="11"/>
      <c r="C2107" s="11"/>
    </row>
    <row r="2108" spans="1:3" x14ac:dyDescent="0.25">
      <c r="A2108" s="20"/>
      <c r="B2108" s="11"/>
      <c r="C2108" s="11"/>
    </row>
    <row r="2109" spans="1:3" x14ac:dyDescent="0.25">
      <c r="A2109" s="20"/>
      <c r="B2109" s="11"/>
      <c r="C2109" s="11"/>
    </row>
    <row r="2110" spans="1:3" x14ac:dyDescent="0.25">
      <c r="A2110" s="20"/>
      <c r="B2110" s="11"/>
      <c r="C2110" s="11"/>
    </row>
    <row r="2111" spans="1:3" x14ac:dyDescent="0.25">
      <c r="A2111" s="20"/>
      <c r="B2111" s="11"/>
      <c r="C2111" s="11"/>
    </row>
    <row r="2112" spans="1:3" x14ac:dyDescent="0.25">
      <c r="A2112" s="20"/>
      <c r="B2112" s="11"/>
      <c r="C2112" s="11"/>
    </row>
    <row r="2113" spans="1:3" x14ac:dyDescent="0.25">
      <c r="A2113" s="20"/>
      <c r="B2113" s="11"/>
      <c r="C2113" s="11"/>
    </row>
    <row r="2114" spans="1:3" x14ac:dyDescent="0.25">
      <c r="A2114" s="20"/>
      <c r="B2114" s="11"/>
      <c r="C2114" s="11"/>
    </row>
    <row r="2115" spans="1:3" x14ac:dyDescent="0.25">
      <c r="A2115" s="20"/>
      <c r="B2115" s="11"/>
      <c r="C2115" s="11"/>
    </row>
    <row r="2116" spans="1:3" x14ac:dyDescent="0.25">
      <c r="A2116" s="20"/>
      <c r="B2116" s="11"/>
      <c r="C2116" s="11"/>
    </row>
    <row r="2117" spans="1:3" x14ac:dyDescent="0.25">
      <c r="A2117" s="20"/>
      <c r="B2117" s="11"/>
      <c r="C2117" s="11"/>
    </row>
    <row r="2118" spans="1:3" x14ac:dyDescent="0.25">
      <c r="A2118" s="20"/>
      <c r="B2118" s="11"/>
      <c r="C2118" s="11"/>
    </row>
    <row r="2119" spans="1:3" x14ac:dyDescent="0.25">
      <c r="A2119" s="20"/>
      <c r="B2119" s="11"/>
      <c r="C2119" s="11"/>
    </row>
    <row r="2120" spans="1:3" x14ac:dyDescent="0.25">
      <c r="A2120" s="20"/>
      <c r="B2120" s="11"/>
      <c r="C2120" s="11"/>
    </row>
    <row r="2121" spans="1:3" x14ac:dyDescent="0.25">
      <c r="A2121" s="20"/>
      <c r="B2121" s="11"/>
      <c r="C2121" s="11"/>
    </row>
    <row r="2122" spans="1:3" x14ac:dyDescent="0.25">
      <c r="A2122" s="20"/>
      <c r="B2122" s="11"/>
      <c r="C2122" s="11"/>
    </row>
    <row r="2123" spans="1:3" x14ac:dyDescent="0.25">
      <c r="A2123" s="20"/>
      <c r="B2123" s="11"/>
      <c r="C2123" s="11"/>
    </row>
    <row r="2124" spans="1:3" x14ac:dyDescent="0.25">
      <c r="A2124" s="20"/>
      <c r="B2124" s="11"/>
      <c r="C2124" s="11"/>
    </row>
    <row r="2125" spans="1:3" x14ac:dyDescent="0.25">
      <c r="A2125" s="20"/>
      <c r="B2125" s="11"/>
      <c r="C2125" s="11"/>
    </row>
    <row r="2126" spans="1:3" x14ac:dyDescent="0.25">
      <c r="A2126" s="20"/>
      <c r="B2126" s="11"/>
      <c r="C2126" s="11"/>
    </row>
    <row r="2127" spans="1:3" x14ac:dyDescent="0.25">
      <c r="A2127" s="20"/>
      <c r="B2127" s="11"/>
      <c r="C2127" s="11"/>
    </row>
    <row r="2128" spans="1:3" x14ac:dyDescent="0.25">
      <c r="A2128" s="20"/>
      <c r="B2128" s="11"/>
      <c r="C2128" s="11"/>
    </row>
    <row r="2129" spans="1:3" x14ac:dyDescent="0.25">
      <c r="A2129" s="20"/>
      <c r="B2129" s="11"/>
      <c r="C2129" s="11"/>
    </row>
    <row r="2130" spans="1:3" x14ac:dyDescent="0.25">
      <c r="A2130" s="20"/>
      <c r="B2130" s="11"/>
      <c r="C2130" s="11"/>
    </row>
    <row r="2131" spans="1:3" x14ac:dyDescent="0.25">
      <c r="A2131" s="20"/>
      <c r="B2131" s="11"/>
      <c r="C2131" s="11"/>
    </row>
    <row r="2132" spans="1:3" x14ac:dyDescent="0.25">
      <c r="A2132" s="20"/>
      <c r="B2132" s="11"/>
      <c r="C2132" s="11"/>
    </row>
    <row r="2133" spans="1:3" x14ac:dyDescent="0.25">
      <c r="A2133" s="20"/>
      <c r="B2133" s="11"/>
      <c r="C2133" s="11"/>
    </row>
    <row r="2134" spans="1:3" x14ac:dyDescent="0.25">
      <c r="A2134" s="20"/>
      <c r="B2134" s="11"/>
      <c r="C2134" s="11"/>
    </row>
    <row r="2135" spans="1:3" x14ac:dyDescent="0.25">
      <c r="A2135" s="20"/>
      <c r="B2135" s="11"/>
      <c r="C2135" s="11"/>
    </row>
    <row r="2136" spans="1:3" x14ac:dyDescent="0.25">
      <c r="A2136" s="20"/>
      <c r="B2136" s="11"/>
      <c r="C2136" s="11"/>
    </row>
    <row r="2137" spans="1:3" x14ac:dyDescent="0.25">
      <c r="A2137" s="20"/>
      <c r="B2137" s="11"/>
      <c r="C2137" s="11"/>
    </row>
    <row r="2138" spans="1:3" x14ac:dyDescent="0.25">
      <c r="A2138" s="20"/>
      <c r="B2138" s="11"/>
      <c r="C2138" s="11"/>
    </row>
    <row r="2139" spans="1:3" x14ac:dyDescent="0.25">
      <c r="A2139" s="20"/>
      <c r="B2139" s="11"/>
      <c r="C2139" s="11"/>
    </row>
    <row r="2140" spans="1:3" x14ac:dyDescent="0.25">
      <c r="A2140" s="20"/>
      <c r="B2140" s="11"/>
      <c r="C2140" s="11"/>
    </row>
    <row r="2141" spans="1:3" x14ac:dyDescent="0.25">
      <c r="A2141" s="20"/>
      <c r="B2141" s="11"/>
      <c r="C2141" s="11"/>
    </row>
    <row r="2142" spans="1:3" x14ac:dyDescent="0.25">
      <c r="A2142" s="20"/>
      <c r="B2142" s="11"/>
      <c r="C2142" s="11"/>
    </row>
    <row r="2143" spans="1:3" x14ac:dyDescent="0.25">
      <c r="A2143" s="20"/>
      <c r="B2143" s="11"/>
      <c r="C2143" s="11"/>
    </row>
    <row r="2144" spans="1:3" x14ac:dyDescent="0.25">
      <c r="A2144" s="20"/>
      <c r="B2144" s="11"/>
      <c r="C2144" s="11"/>
    </row>
    <row r="2145" spans="1:3" x14ac:dyDescent="0.25">
      <c r="A2145" s="20"/>
      <c r="B2145" s="11"/>
      <c r="C2145" s="11"/>
    </row>
    <row r="2146" spans="1:3" x14ac:dyDescent="0.25">
      <c r="A2146" s="20"/>
      <c r="B2146" s="11"/>
      <c r="C2146" s="11"/>
    </row>
    <row r="2147" spans="1:3" x14ac:dyDescent="0.25">
      <c r="A2147" s="20"/>
      <c r="B2147" s="11"/>
      <c r="C2147" s="11"/>
    </row>
    <row r="2148" spans="1:3" x14ac:dyDescent="0.25">
      <c r="A2148" s="20"/>
      <c r="B2148" s="11"/>
      <c r="C2148" s="11"/>
    </row>
    <row r="2149" spans="1:3" x14ac:dyDescent="0.25">
      <c r="A2149" s="20"/>
      <c r="B2149" s="11"/>
      <c r="C2149" s="11"/>
    </row>
    <row r="2150" spans="1:3" x14ac:dyDescent="0.25">
      <c r="A2150" s="20"/>
      <c r="B2150" s="11"/>
      <c r="C2150" s="11"/>
    </row>
    <row r="2151" spans="1:3" x14ac:dyDescent="0.25">
      <c r="A2151" s="20"/>
      <c r="B2151" s="11"/>
      <c r="C2151" s="11"/>
    </row>
    <row r="2152" spans="1:3" x14ac:dyDescent="0.25">
      <c r="A2152" s="20"/>
      <c r="B2152" s="11"/>
      <c r="C2152" s="11"/>
    </row>
    <row r="2153" spans="1:3" x14ac:dyDescent="0.25">
      <c r="A2153" s="20"/>
      <c r="B2153" s="11"/>
      <c r="C2153" s="11"/>
    </row>
    <row r="2154" spans="1:3" x14ac:dyDescent="0.25">
      <c r="A2154" s="20"/>
      <c r="B2154" s="11"/>
      <c r="C2154" s="11"/>
    </row>
    <row r="2155" spans="1:3" x14ac:dyDescent="0.25">
      <c r="A2155" s="20"/>
      <c r="B2155" s="11"/>
      <c r="C2155" s="11"/>
    </row>
    <row r="2156" spans="1:3" x14ac:dyDescent="0.25">
      <c r="A2156" s="20"/>
      <c r="B2156" s="11"/>
      <c r="C2156" s="11"/>
    </row>
    <row r="2157" spans="1:3" x14ac:dyDescent="0.25">
      <c r="A2157" s="20"/>
      <c r="B2157" s="11"/>
      <c r="C2157" s="11"/>
    </row>
    <row r="2158" spans="1:3" x14ac:dyDescent="0.25">
      <c r="A2158" s="20"/>
      <c r="B2158" s="11"/>
      <c r="C2158" s="11"/>
    </row>
    <row r="2159" spans="1:3" x14ac:dyDescent="0.25">
      <c r="A2159" s="20"/>
      <c r="B2159" s="11"/>
      <c r="C2159" s="11"/>
    </row>
    <row r="2160" spans="1:3" x14ac:dyDescent="0.25">
      <c r="A2160" s="20"/>
      <c r="B2160" s="11"/>
      <c r="C2160" s="11"/>
    </row>
    <row r="2161" spans="1:3" x14ac:dyDescent="0.25">
      <c r="A2161" s="20"/>
      <c r="B2161" s="11"/>
      <c r="C2161" s="11"/>
    </row>
    <row r="2162" spans="1:3" x14ac:dyDescent="0.25">
      <c r="A2162" s="20"/>
      <c r="B2162" s="11"/>
      <c r="C2162" s="11"/>
    </row>
    <row r="2163" spans="1:3" x14ac:dyDescent="0.25">
      <c r="A2163" s="20"/>
      <c r="B2163" s="11"/>
      <c r="C2163" s="11"/>
    </row>
    <row r="2164" spans="1:3" x14ac:dyDescent="0.25">
      <c r="A2164" s="20"/>
      <c r="B2164" s="11"/>
      <c r="C2164" s="11"/>
    </row>
    <row r="2165" spans="1:3" x14ac:dyDescent="0.25">
      <c r="A2165" s="20"/>
      <c r="B2165" s="11"/>
      <c r="C2165" s="11"/>
    </row>
    <row r="2166" spans="1:3" x14ac:dyDescent="0.25">
      <c r="A2166" s="20"/>
      <c r="B2166" s="11"/>
      <c r="C2166" s="11"/>
    </row>
    <row r="2167" spans="1:3" x14ac:dyDescent="0.25">
      <c r="A2167" s="20"/>
      <c r="B2167" s="11"/>
      <c r="C2167" s="11"/>
    </row>
    <row r="2168" spans="1:3" x14ac:dyDescent="0.25">
      <c r="A2168" s="20"/>
      <c r="B2168" s="11"/>
      <c r="C2168" s="11"/>
    </row>
    <row r="2169" spans="1:3" x14ac:dyDescent="0.25">
      <c r="A2169" s="20"/>
      <c r="B2169" s="11"/>
      <c r="C2169" s="11"/>
    </row>
    <row r="2170" spans="1:3" x14ac:dyDescent="0.25">
      <c r="A2170" s="20"/>
      <c r="B2170" s="11"/>
      <c r="C2170" s="11"/>
    </row>
    <row r="2171" spans="1:3" x14ac:dyDescent="0.25">
      <c r="A2171" s="20"/>
      <c r="B2171" s="11"/>
      <c r="C2171" s="11"/>
    </row>
    <row r="2172" spans="1:3" x14ac:dyDescent="0.25">
      <c r="A2172" s="20"/>
      <c r="B2172" s="11"/>
      <c r="C2172" s="11"/>
    </row>
    <row r="2173" spans="1:3" x14ac:dyDescent="0.25">
      <c r="A2173" s="20"/>
      <c r="B2173" s="11"/>
      <c r="C2173" s="11"/>
    </row>
    <row r="2174" spans="1:3" x14ac:dyDescent="0.25">
      <c r="A2174" s="20"/>
      <c r="B2174" s="11"/>
      <c r="C2174" s="11"/>
    </row>
    <row r="2175" spans="1:3" x14ac:dyDescent="0.25">
      <c r="A2175" s="20"/>
      <c r="B2175" s="11"/>
      <c r="C2175" s="11"/>
    </row>
    <row r="2176" spans="1:3" x14ac:dyDescent="0.25">
      <c r="A2176" s="20"/>
      <c r="B2176" s="11"/>
      <c r="C2176" s="11"/>
    </row>
    <row r="2177" spans="1:3" x14ac:dyDescent="0.25">
      <c r="A2177" s="20"/>
      <c r="B2177" s="11"/>
      <c r="C2177" s="11"/>
    </row>
    <row r="2178" spans="1:3" x14ac:dyDescent="0.25">
      <c r="A2178" s="20"/>
      <c r="B2178" s="11"/>
      <c r="C2178" s="11"/>
    </row>
    <row r="2179" spans="1:3" x14ac:dyDescent="0.25">
      <c r="A2179" s="20"/>
      <c r="B2179" s="11"/>
      <c r="C2179" s="11"/>
    </row>
    <row r="2180" spans="1:3" x14ac:dyDescent="0.25">
      <c r="A2180" s="20"/>
      <c r="B2180" s="11"/>
      <c r="C2180" s="11"/>
    </row>
    <row r="2181" spans="1:3" x14ac:dyDescent="0.25">
      <c r="A2181" s="20"/>
      <c r="B2181" s="11"/>
      <c r="C2181" s="11"/>
    </row>
    <row r="2182" spans="1:3" x14ac:dyDescent="0.25">
      <c r="A2182" s="20"/>
      <c r="B2182" s="11"/>
      <c r="C2182" s="11"/>
    </row>
    <row r="2183" spans="1:3" x14ac:dyDescent="0.25">
      <c r="A2183" s="20"/>
      <c r="B2183" s="11"/>
      <c r="C2183" s="11"/>
    </row>
    <row r="2184" spans="1:3" x14ac:dyDescent="0.25">
      <c r="A2184" s="20"/>
      <c r="B2184" s="11"/>
      <c r="C2184" s="11"/>
    </row>
    <row r="2185" spans="1:3" x14ac:dyDescent="0.25">
      <c r="A2185" s="20"/>
      <c r="B2185" s="11"/>
      <c r="C2185" s="11"/>
    </row>
    <row r="2186" spans="1:3" x14ac:dyDescent="0.25">
      <c r="A2186" s="20"/>
      <c r="B2186" s="11"/>
      <c r="C2186" s="11"/>
    </row>
    <row r="2187" spans="1:3" x14ac:dyDescent="0.25">
      <c r="A2187" s="20"/>
      <c r="B2187" s="11"/>
      <c r="C2187" s="11"/>
    </row>
    <row r="2188" spans="1:3" x14ac:dyDescent="0.25">
      <c r="A2188" s="20"/>
      <c r="B2188" s="11"/>
      <c r="C2188" s="11"/>
    </row>
    <row r="2189" spans="1:3" x14ac:dyDescent="0.25">
      <c r="A2189" s="20"/>
      <c r="B2189" s="11"/>
      <c r="C2189" s="11"/>
    </row>
    <row r="2190" spans="1:3" x14ac:dyDescent="0.25">
      <c r="A2190" s="20"/>
      <c r="B2190" s="11"/>
      <c r="C2190" s="11"/>
    </row>
    <row r="2191" spans="1:3" x14ac:dyDescent="0.25">
      <c r="A2191" s="20"/>
      <c r="B2191" s="11"/>
      <c r="C2191" s="11"/>
    </row>
    <row r="2192" spans="1:3" x14ac:dyDescent="0.25">
      <c r="A2192" s="20"/>
      <c r="B2192" s="11"/>
      <c r="C2192" s="11"/>
    </row>
    <row r="2193" spans="1:3" x14ac:dyDescent="0.25">
      <c r="A2193" s="20"/>
      <c r="B2193" s="11"/>
      <c r="C2193" s="11"/>
    </row>
    <row r="2194" spans="1:3" x14ac:dyDescent="0.25">
      <c r="A2194" s="20"/>
      <c r="B2194" s="11"/>
      <c r="C2194" s="11"/>
    </row>
    <row r="2195" spans="1:3" x14ac:dyDescent="0.25">
      <c r="A2195" s="20"/>
      <c r="B2195" s="11"/>
      <c r="C2195" s="11"/>
    </row>
    <row r="2196" spans="1:3" x14ac:dyDescent="0.25">
      <c r="A2196" s="20"/>
      <c r="B2196" s="11"/>
      <c r="C2196" s="11"/>
    </row>
    <row r="2197" spans="1:3" x14ac:dyDescent="0.25">
      <c r="A2197" s="20"/>
      <c r="B2197" s="11"/>
      <c r="C2197" s="11"/>
    </row>
    <row r="2198" spans="1:3" x14ac:dyDescent="0.25">
      <c r="A2198" s="20"/>
      <c r="B2198" s="11"/>
      <c r="C2198" s="11"/>
    </row>
    <row r="2199" spans="1:3" x14ac:dyDescent="0.25">
      <c r="A2199" s="20"/>
      <c r="B2199" s="11"/>
      <c r="C2199" s="11"/>
    </row>
    <row r="2200" spans="1:3" x14ac:dyDescent="0.25">
      <c r="A2200" s="20"/>
      <c r="B2200" s="11"/>
      <c r="C2200" s="11"/>
    </row>
    <row r="2201" spans="1:3" x14ac:dyDescent="0.25">
      <c r="A2201" s="20"/>
      <c r="B2201" s="11"/>
      <c r="C2201" s="11"/>
    </row>
    <row r="2202" spans="1:3" x14ac:dyDescent="0.25">
      <c r="A2202" s="20"/>
      <c r="B2202" s="11"/>
      <c r="C2202" s="11"/>
    </row>
    <row r="2203" spans="1:3" x14ac:dyDescent="0.25">
      <c r="A2203" s="20"/>
      <c r="B2203" s="11"/>
      <c r="C2203" s="11"/>
    </row>
    <row r="2204" spans="1:3" x14ac:dyDescent="0.25">
      <c r="A2204" s="20"/>
      <c r="B2204" s="11"/>
      <c r="C2204" s="11"/>
    </row>
    <row r="2205" spans="1:3" x14ac:dyDescent="0.25">
      <c r="A2205" s="20"/>
      <c r="B2205" s="11"/>
      <c r="C2205" s="11"/>
    </row>
    <row r="2206" spans="1:3" x14ac:dyDescent="0.25">
      <c r="A2206" s="20"/>
      <c r="B2206" s="11"/>
      <c r="C2206" s="11"/>
    </row>
    <row r="2207" spans="1:3" x14ac:dyDescent="0.25">
      <c r="A2207" s="20"/>
      <c r="B2207" s="11"/>
      <c r="C2207" s="11"/>
    </row>
    <row r="2208" spans="1:3" x14ac:dyDescent="0.25">
      <c r="A2208" s="20"/>
      <c r="B2208" s="11"/>
      <c r="C2208" s="11"/>
    </row>
    <row r="2209" spans="1:3" x14ac:dyDescent="0.25">
      <c r="A2209" s="20"/>
      <c r="B2209" s="11"/>
      <c r="C2209" s="11"/>
    </row>
    <row r="2210" spans="1:3" x14ac:dyDescent="0.25">
      <c r="A2210" s="20"/>
      <c r="B2210" s="11"/>
      <c r="C2210" s="11"/>
    </row>
    <row r="2211" spans="1:3" x14ac:dyDescent="0.25">
      <c r="A2211" s="20"/>
      <c r="B2211" s="11"/>
      <c r="C2211" s="11"/>
    </row>
    <row r="2212" spans="1:3" x14ac:dyDescent="0.25">
      <c r="A2212" s="20"/>
      <c r="B2212" s="11"/>
      <c r="C2212" s="11"/>
    </row>
    <row r="2213" spans="1:3" x14ac:dyDescent="0.25">
      <c r="A2213" s="20"/>
      <c r="B2213" s="11"/>
      <c r="C2213" s="11"/>
    </row>
    <row r="2214" spans="1:3" x14ac:dyDescent="0.25">
      <c r="A2214" s="20"/>
      <c r="B2214" s="11"/>
      <c r="C2214" s="11"/>
    </row>
    <row r="2215" spans="1:3" x14ac:dyDescent="0.25">
      <c r="A2215" s="20"/>
      <c r="B2215" s="11"/>
      <c r="C2215" s="11"/>
    </row>
    <row r="2216" spans="1:3" x14ac:dyDescent="0.25">
      <c r="A2216" s="20"/>
      <c r="B2216" s="11"/>
      <c r="C2216" s="11"/>
    </row>
    <row r="2217" spans="1:3" x14ac:dyDescent="0.25">
      <c r="A2217" s="20"/>
      <c r="B2217" s="11"/>
      <c r="C2217" s="11"/>
    </row>
    <row r="2218" spans="1:3" x14ac:dyDescent="0.25">
      <c r="A2218" s="20"/>
      <c r="B2218" s="11"/>
      <c r="C2218" s="11"/>
    </row>
    <row r="2219" spans="1:3" x14ac:dyDescent="0.25">
      <c r="A2219" s="20"/>
      <c r="B2219" s="11"/>
      <c r="C2219" s="11"/>
    </row>
    <row r="2220" spans="1:3" x14ac:dyDescent="0.25">
      <c r="A2220" s="20"/>
      <c r="B2220" s="11"/>
      <c r="C2220" s="11"/>
    </row>
    <row r="2221" spans="1:3" x14ac:dyDescent="0.25">
      <c r="A2221" s="20"/>
      <c r="B2221" s="11"/>
      <c r="C2221" s="11"/>
    </row>
    <row r="2222" spans="1:3" x14ac:dyDescent="0.25">
      <c r="A2222" s="20"/>
      <c r="B2222" s="11"/>
      <c r="C2222" s="11"/>
    </row>
    <row r="2223" spans="1:3" x14ac:dyDescent="0.25">
      <c r="A2223" s="20"/>
      <c r="B2223" s="11"/>
      <c r="C2223" s="11"/>
    </row>
    <row r="2224" spans="1:3" x14ac:dyDescent="0.25">
      <c r="A2224" s="20"/>
      <c r="B2224" s="11"/>
      <c r="C2224" s="11"/>
    </row>
    <row r="2225" spans="1:3" x14ac:dyDescent="0.25">
      <c r="A2225" s="20"/>
      <c r="B2225" s="11"/>
      <c r="C2225" s="11"/>
    </row>
    <row r="2226" spans="1:3" x14ac:dyDescent="0.25">
      <c r="A2226" s="20"/>
      <c r="B2226" s="11"/>
      <c r="C2226" s="11"/>
    </row>
    <row r="2227" spans="1:3" x14ac:dyDescent="0.25">
      <c r="A2227" s="20"/>
      <c r="B2227" s="11"/>
      <c r="C2227" s="11"/>
    </row>
    <row r="2228" spans="1:3" x14ac:dyDescent="0.25">
      <c r="A2228" s="20"/>
      <c r="B2228" s="11"/>
      <c r="C2228" s="11"/>
    </row>
    <row r="2229" spans="1:3" x14ac:dyDescent="0.25">
      <c r="A2229" s="20"/>
      <c r="B2229" s="11"/>
      <c r="C2229" s="11"/>
    </row>
    <row r="2230" spans="1:3" x14ac:dyDescent="0.25">
      <c r="A2230" s="20"/>
      <c r="B2230" s="11"/>
      <c r="C2230" s="11"/>
    </row>
    <row r="2231" spans="1:3" x14ac:dyDescent="0.25">
      <c r="A2231" s="20"/>
      <c r="B2231" s="11"/>
      <c r="C2231" s="11"/>
    </row>
    <row r="2232" spans="1:3" x14ac:dyDescent="0.25">
      <c r="A2232" s="20"/>
      <c r="B2232" s="11"/>
      <c r="C2232" s="11"/>
    </row>
    <row r="2233" spans="1:3" x14ac:dyDescent="0.25">
      <c r="A2233" s="20"/>
      <c r="B2233" s="11"/>
      <c r="C2233" s="11"/>
    </row>
    <row r="2234" spans="1:3" x14ac:dyDescent="0.25">
      <c r="A2234" s="20"/>
      <c r="B2234" s="11"/>
      <c r="C2234" s="11"/>
    </row>
    <row r="2235" spans="1:3" x14ac:dyDescent="0.25">
      <c r="A2235" s="20"/>
      <c r="B2235" s="11"/>
      <c r="C2235" s="11"/>
    </row>
    <row r="2236" spans="1:3" x14ac:dyDescent="0.25">
      <c r="A2236" s="20"/>
      <c r="B2236" s="11"/>
      <c r="C2236" s="11"/>
    </row>
    <row r="2237" spans="1:3" x14ac:dyDescent="0.25">
      <c r="A2237" s="20"/>
      <c r="B2237" s="11"/>
      <c r="C2237" s="11"/>
    </row>
    <row r="2238" spans="1:3" x14ac:dyDescent="0.25">
      <c r="A2238" s="20"/>
      <c r="B2238" s="11"/>
      <c r="C2238" s="11"/>
    </row>
    <row r="2239" spans="1:3" x14ac:dyDescent="0.25">
      <c r="A2239" s="20"/>
      <c r="B2239" s="11"/>
      <c r="C2239" s="11"/>
    </row>
    <row r="2240" spans="1:3" x14ac:dyDescent="0.25">
      <c r="A2240" s="20"/>
      <c r="B2240" s="11"/>
      <c r="C2240" s="11"/>
    </row>
    <row r="2241" spans="1:3" x14ac:dyDescent="0.25">
      <c r="A2241" s="20"/>
      <c r="B2241" s="11"/>
      <c r="C2241" s="11"/>
    </row>
    <row r="2242" spans="1:3" x14ac:dyDescent="0.25">
      <c r="A2242" s="20"/>
      <c r="B2242" s="11"/>
      <c r="C2242" s="11"/>
    </row>
    <row r="2243" spans="1:3" x14ac:dyDescent="0.25">
      <c r="A2243" s="20"/>
      <c r="B2243" s="11"/>
      <c r="C2243" s="11"/>
    </row>
    <row r="2244" spans="1:3" x14ac:dyDescent="0.25">
      <c r="A2244" s="20"/>
      <c r="B2244" s="11"/>
      <c r="C2244" s="11"/>
    </row>
    <row r="2245" spans="1:3" x14ac:dyDescent="0.25">
      <c r="A2245" s="20"/>
      <c r="B2245" s="11"/>
      <c r="C2245" s="11"/>
    </row>
    <row r="2246" spans="1:3" x14ac:dyDescent="0.25">
      <c r="A2246" s="20"/>
      <c r="B2246" s="11"/>
      <c r="C2246" s="11"/>
    </row>
    <row r="2247" spans="1:3" x14ac:dyDescent="0.25">
      <c r="A2247" s="20"/>
      <c r="B2247" s="11"/>
      <c r="C2247" s="11"/>
    </row>
    <row r="2248" spans="1:3" x14ac:dyDescent="0.25">
      <c r="A2248" s="20"/>
      <c r="B2248" s="11"/>
      <c r="C2248" s="11"/>
    </row>
    <row r="2249" spans="1:3" x14ac:dyDescent="0.25">
      <c r="A2249" s="20"/>
      <c r="B2249" s="11"/>
      <c r="C2249" s="11"/>
    </row>
    <row r="2250" spans="1:3" x14ac:dyDescent="0.25">
      <c r="A2250" s="20"/>
      <c r="B2250" s="11"/>
      <c r="C2250" s="11"/>
    </row>
    <row r="2251" spans="1:3" x14ac:dyDescent="0.25">
      <c r="A2251" s="20"/>
      <c r="B2251" s="11"/>
      <c r="C2251" s="11"/>
    </row>
    <row r="2252" spans="1:3" x14ac:dyDescent="0.25">
      <c r="A2252" s="20"/>
      <c r="B2252" s="11"/>
      <c r="C2252" s="11"/>
    </row>
    <row r="2253" spans="1:3" x14ac:dyDescent="0.25">
      <c r="A2253" s="20"/>
      <c r="B2253" s="11"/>
      <c r="C2253" s="11"/>
    </row>
    <row r="2254" spans="1:3" x14ac:dyDescent="0.25">
      <c r="A2254" s="20"/>
      <c r="B2254" s="11"/>
      <c r="C2254" s="11"/>
    </row>
    <row r="2255" spans="1:3" x14ac:dyDescent="0.25">
      <c r="A2255" s="20"/>
      <c r="B2255" s="11"/>
      <c r="C2255" s="11"/>
    </row>
    <row r="2256" spans="1:3" x14ac:dyDescent="0.25">
      <c r="A2256" s="20"/>
      <c r="B2256" s="11"/>
      <c r="C2256" s="11"/>
    </row>
    <row r="2257" spans="1:3" x14ac:dyDescent="0.25">
      <c r="A2257" s="20"/>
      <c r="B2257" s="11"/>
      <c r="C2257" s="11"/>
    </row>
    <row r="2258" spans="1:3" x14ac:dyDescent="0.25">
      <c r="A2258" s="20"/>
      <c r="B2258" s="11"/>
      <c r="C2258" s="11"/>
    </row>
    <row r="2259" spans="1:3" x14ac:dyDescent="0.25">
      <c r="A2259" s="20"/>
      <c r="B2259" s="11"/>
      <c r="C2259" s="11"/>
    </row>
    <row r="2260" spans="1:3" x14ac:dyDescent="0.25">
      <c r="A2260" s="20"/>
      <c r="B2260" s="11"/>
      <c r="C2260" s="11"/>
    </row>
    <row r="2261" spans="1:3" x14ac:dyDescent="0.25">
      <c r="A2261" s="20"/>
      <c r="B2261" s="11"/>
      <c r="C2261" s="11"/>
    </row>
    <row r="2262" spans="1:3" x14ac:dyDescent="0.25">
      <c r="A2262" s="20"/>
      <c r="B2262" s="11"/>
      <c r="C2262" s="11"/>
    </row>
    <row r="2263" spans="1:3" x14ac:dyDescent="0.25">
      <c r="A2263" s="20"/>
      <c r="B2263" s="11"/>
      <c r="C2263" s="11"/>
    </row>
    <row r="2264" spans="1:3" x14ac:dyDescent="0.25">
      <c r="A2264" s="20"/>
      <c r="B2264" s="11"/>
      <c r="C2264" s="11"/>
    </row>
    <row r="2265" spans="1:3" x14ac:dyDescent="0.25">
      <c r="A2265" s="20"/>
      <c r="B2265" s="11"/>
      <c r="C2265" s="11"/>
    </row>
    <row r="2266" spans="1:3" x14ac:dyDescent="0.25">
      <c r="A2266" s="20"/>
      <c r="B2266" s="11"/>
      <c r="C2266" s="11"/>
    </row>
    <row r="2267" spans="1:3" x14ac:dyDescent="0.25">
      <c r="A2267" s="20"/>
      <c r="B2267" s="11"/>
      <c r="C2267" s="11"/>
    </row>
    <row r="2268" spans="1:3" x14ac:dyDescent="0.25">
      <c r="A2268" s="20"/>
      <c r="B2268" s="11"/>
      <c r="C2268" s="11"/>
    </row>
    <row r="2269" spans="1:3" x14ac:dyDescent="0.25">
      <c r="A2269" s="20"/>
      <c r="B2269" s="11"/>
      <c r="C2269" s="11"/>
    </row>
    <row r="2270" spans="1:3" x14ac:dyDescent="0.25">
      <c r="A2270" s="20"/>
      <c r="B2270" s="11"/>
      <c r="C2270" s="11"/>
    </row>
    <row r="2271" spans="1:3" x14ac:dyDescent="0.25">
      <c r="A2271" s="20"/>
      <c r="B2271" s="11"/>
      <c r="C2271" s="11"/>
    </row>
    <row r="2272" spans="1:3" x14ac:dyDescent="0.25">
      <c r="A2272" s="20"/>
      <c r="B2272" s="11"/>
      <c r="C2272" s="11"/>
    </row>
    <row r="2273" spans="1:3" x14ac:dyDescent="0.25">
      <c r="A2273" s="20"/>
      <c r="B2273" s="11"/>
      <c r="C2273" s="11"/>
    </row>
    <row r="2274" spans="1:3" x14ac:dyDescent="0.25">
      <c r="A2274" s="20"/>
      <c r="B2274" s="11"/>
      <c r="C2274" s="11"/>
    </row>
    <row r="2275" spans="1:3" x14ac:dyDescent="0.25">
      <c r="A2275" s="20"/>
      <c r="B2275" s="11"/>
      <c r="C2275" s="11"/>
    </row>
    <row r="2276" spans="1:3" x14ac:dyDescent="0.25">
      <c r="A2276" s="20"/>
      <c r="B2276" s="11"/>
      <c r="C2276" s="11"/>
    </row>
    <row r="2277" spans="1:3" x14ac:dyDescent="0.25">
      <c r="A2277" s="20"/>
      <c r="B2277" s="11"/>
      <c r="C2277" s="11"/>
    </row>
    <row r="2278" spans="1:3" x14ac:dyDescent="0.25">
      <c r="A2278" s="20"/>
      <c r="B2278" s="11"/>
      <c r="C2278" s="11"/>
    </row>
    <row r="2279" spans="1:3" x14ac:dyDescent="0.25">
      <c r="A2279" s="20"/>
      <c r="B2279" s="11"/>
      <c r="C2279" s="11"/>
    </row>
    <row r="2280" spans="1:3" x14ac:dyDescent="0.25">
      <c r="A2280" s="20"/>
      <c r="B2280" s="11"/>
      <c r="C2280" s="11"/>
    </row>
    <row r="2281" spans="1:3" x14ac:dyDescent="0.25">
      <c r="A2281" s="20"/>
      <c r="B2281" s="11"/>
      <c r="C2281" s="11"/>
    </row>
    <row r="2282" spans="1:3" x14ac:dyDescent="0.25">
      <c r="A2282" s="20"/>
      <c r="B2282" s="11"/>
      <c r="C2282" s="11"/>
    </row>
    <row r="2283" spans="1:3" x14ac:dyDescent="0.25">
      <c r="A2283" s="20"/>
      <c r="B2283" s="11"/>
      <c r="C2283" s="11"/>
    </row>
    <row r="2284" spans="1:3" x14ac:dyDescent="0.25">
      <c r="A2284" s="20"/>
      <c r="B2284" s="11"/>
      <c r="C2284" s="11"/>
    </row>
    <row r="2285" spans="1:3" x14ac:dyDescent="0.25">
      <c r="A2285" s="20"/>
      <c r="B2285" s="11"/>
      <c r="C2285" s="11"/>
    </row>
    <row r="2286" spans="1:3" x14ac:dyDescent="0.25">
      <c r="A2286" s="20"/>
      <c r="B2286" s="11"/>
      <c r="C2286" s="11"/>
    </row>
    <row r="2287" spans="1:3" x14ac:dyDescent="0.25">
      <c r="A2287" s="20"/>
      <c r="B2287" s="11"/>
      <c r="C2287" s="11"/>
    </row>
    <row r="2288" spans="1:3" x14ac:dyDescent="0.25">
      <c r="A2288" s="20"/>
      <c r="B2288" s="11"/>
      <c r="C2288" s="11"/>
    </row>
    <row r="2289" spans="1:3" x14ac:dyDescent="0.25">
      <c r="A2289" s="20"/>
      <c r="B2289" s="11"/>
      <c r="C2289" s="11"/>
    </row>
    <row r="2290" spans="1:3" x14ac:dyDescent="0.25">
      <c r="A2290" s="20"/>
      <c r="B2290" s="11"/>
      <c r="C2290" s="11"/>
    </row>
    <row r="2291" spans="1:3" x14ac:dyDescent="0.25">
      <c r="A2291" s="20"/>
      <c r="B2291" s="11"/>
      <c r="C2291" s="11"/>
    </row>
    <row r="2292" spans="1:3" x14ac:dyDescent="0.25">
      <c r="A2292" s="20"/>
      <c r="B2292" s="11"/>
      <c r="C2292" s="11"/>
    </row>
    <row r="2293" spans="1:3" x14ac:dyDescent="0.25">
      <c r="A2293" s="20"/>
      <c r="B2293" s="11"/>
      <c r="C2293" s="11"/>
    </row>
    <row r="2294" spans="1:3" x14ac:dyDescent="0.25">
      <c r="A2294" s="20"/>
      <c r="B2294" s="11"/>
      <c r="C2294" s="11"/>
    </row>
    <row r="2295" spans="1:3" x14ac:dyDescent="0.25">
      <c r="A2295" s="20"/>
      <c r="B2295" s="11"/>
      <c r="C2295" s="11"/>
    </row>
    <row r="2296" spans="1:3" x14ac:dyDescent="0.25">
      <c r="A2296" s="20"/>
      <c r="B2296" s="11"/>
      <c r="C2296" s="11"/>
    </row>
    <row r="2297" spans="1:3" x14ac:dyDescent="0.25">
      <c r="A2297" s="20"/>
      <c r="B2297" s="11"/>
      <c r="C2297" s="11"/>
    </row>
    <row r="2298" spans="1:3" x14ac:dyDescent="0.25">
      <c r="A2298" s="20"/>
      <c r="B2298" s="11"/>
      <c r="C2298" s="11"/>
    </row>
    <row r="2299" spans="1:3" x14ac:dyDescent="0.25">
      <c r="A2299" s="20"/>
      <c r="B2299" s="11"/>
      <c r="C2299" s="11"/>
    </row>
    <row r="2300" spans="1:3" x14ac:dyDescent="0.25">
      <c r="A2300" s="20"/>
      <c r="B2300" s="11"/>
      <c r="C2300" s="11"/>
    </row>
    <row r="2301" spans="1:3" x14ac:dyDescent="0.25">
      <c r="A2301" s="20"/>
      <c r="B2301" s="11"/>
      <c r="C2301" s="11"/>
    </row>
    <row r="2302" spans="1:3" x14ac:dyDescent="0.25">
      <c r="A2302" s="20"/>
      <c r="B2302" s="11"/>
      <c r="C2302" s="11"/>
    </row>
    <row r="2303" spans="1:3" x14ac:dyDescent="0.25">
      <c r="A2303" s="20"/>
      <c r="B2303" s="11"/>
      <c r="C2303" s="11"/>
    </row>
    <row r="2304" spans="1:3" x14ac:dyDescent="0.25">
      <c r="A2304" s="20"/>
      <c r="B2304" s="11"/>
      <c r="C2304" s="11"/>
    </row>
    <row r="2305" spans="1:3" x14ac:dyDescent="0.25">
      <c r="A2305" s="20"/>
      <c r="B2305" s="11"/>
      <c r="C2305" s="11"/>
    </row>
    <row r="2306" spans="1:3" x14ac:dyDescent="0.25">
      <c r="A2306" s="20"/>
      <c r="B2306" s="11"/>
      <c r="C2306" s="11"/>
    </row>
    <row r="2307" spans="1:3" x14ac:dyDescent="0.25">
      <c r="A2307" s="20"/>
      <c r="B2307" s="11"/>
      <c r="C2307" s="11"/>
    </row>
    <row r="2308" spans="1:3" x14ac:dyDescent="0.25">
      <c r="A2308" s="20"/>
      <c r="B2308" s="11"/>
      <c r="C2308" s="11"/>
    </row>
    <row r="2309" spans="1:3" x14ac:dyDescent="0.25">
      <c r="A2309" s="20"/>
      <c r="B2309" s="11"/>
      <c r="C2309" s="11"/>
    </row>
    <row r="2310" spans="1:3" x14ac:dyDescent="0.25">
      <c r="A2310" s="20"/>
      <c r="B2310" s="11"/>
      <c r="C2310" s="11"/>
    </row>
    <row r="2311" spans="1:3" x14ac:dyDescent="0.25">
      <c r="A2311" s="20"/>
      <c r="B2311" s="11"/>
      <c r="C2311" s="11"/>
    </row>
    <row r="2312" spans="1:3" x14ac:dyDescent="0.25">
      <c r="A2312" s="20"/>
      <c r="B2312" s="11"/>
      <c r="C2312" s="11"/>
    </row>
    <row r="2313" spans="1:3" x14ac:dyDescent="0.25">
      <c r="A2313" s="20"/>
      <c r="B2313" s="11"/>
      <c r="C2313" s="11"/>
    </row>
    <row r="2314" spans="1:3" x14ac:dyDescent="0.25">
      <c r="A2314" s="20"/>
      <c r="B2314" s="11"/>
      <c r="C2314" s="11"/>
    </row>
    <row r="2315" spans="1:3" x14ac:dyDescent="0.25">
      <c r="A2315" s="20"/>
      <c r="B2315" s="11"/>
      <c r="C2315" s="11"/>
    </row>
    <row r="2316" spans="1:3" x14ac:dyDescent="0.25">
      <c r="A2316" s="20"/>
      <c r="B2316" s="11"/>
      <c r="C2316" s="11"/>
    </row>
    <row r="2317" spans="1:3" x14ac:dyDescent="0.25">
      <c r="A2317" s="20"/>
      <c r="B2317" s="11"/>
      <c r="C2317" s="11"/>
    </row>
    <row r="2318" spans="1:3" x14ac:dyDescent="0.25">
      <c r="A2318" s="20"/>
      <c r="B2318" s="11"/>
      <c r="C2318" s="11"/>
    </row>
    <row r="2319" spans="1:3" x14ac:dyDescent="0.25">
      <c r="A2319" s="20"/>
      <c r="B2319" s="11"/>
      <c r="C2319" s="11"/>
    </row>
    <row r="2320" spans="1:3" x14ac:dyDescent="0.25">
      <c r="A2320" s="20"/>
      <c r="B2320" s="11"/>
      <c r="C2320" s="11"/>
    </row>
    <row r="2321" spans="1:3" x14ac:dyDescent="0.25">
      <c r="A2321" s="20"/>
      <c r="B2321" s="11"/>
      <c r="C2321" s="11"/>
    </row>
    <row r="2322" spans="1:3" x14ac:dyDescent="0.25">
      <c r="A2322" s="20"/>
      <c r="B2322" s="11"/>
      <c r="C2322" s="11"/>
    </row>
    <row r="2323" spans="1:3" x14ac:dyDescent="0.25">
      <c r="A2323" s="20"/>
      <c r="B2323" s="11"/>
      <c r="C2323" s="11"/>
    </row>
    <row r="2324" spans="1:3" x14ac:dyDescent="0.25">
      <c r="A2324" s="20"/>
      <c r="B2324" s="11"/>
      <c r="C2324" s="11"/>
    </row>
    <row r="2325" spans="1:3" x14ac:dyDescent="0.25">
      <c r="A2325" s="20"/>
      <c r="B2325" s="11"/>
      <c r="C2325" s="11"/>
    </row>
    <row r="2326" spans="1:3" x14ac:dyDescent="0.25">
      <c r="A2326" s="20"/>
      <c r="B2326" s="11"/>
      <c r="C2326" s="11"/>
    </row>
    <row r="2327" spans="1:3" x14ac:dyDescent="0.25">
      <c r="A2327" s="20"/>
      <c r="B2327" s="11"/>
      <c r="C2327" s="11"/>
    </row>
    <row r="2328" spans="1:3" x14ac:dyDescent="0.25">
      <c r="A2328" s="20"/>
      <c r="B2328" s="11"/>
      <c r="C2328" s="11"/>
    </row>
    <row r="2329" spans="1:3" x14ac:dyDescent="0.25">
      <c r="A2329" s="20"/>
      <c r="B2329" s="11"/>
      <c r="C2329" s="11"/>
    </row>
    <row r="2330" spans="1:3" x14ac:dyDescent="0.25">
      <c r="A2330" s="20"/>
      <c r="B2330" s="11"/>
      <c r="C2330" s="11"/>
    </row>
    <row r="2331" spans="1:3" x14ac:dyDescent="0.25">
      <c r="A2331" s="20"/>
      <c r="B2331" s="11"/>
      <c r="C2331" s="11"/>
    </row>
    <row r="2332" spans="1:3" x14ac:dyDescent="0.25">
      <c r="A2332" s="20"/>
      <c r="B2332" s="11"/>
      <c r="C2332" s="11"/>
    </row>
    <row r="2333" spans="1:3" x14ac:dyDescent="0.25">
      <c r="A2333" s="20"/>
      <c r="B2333" s="11"/>
      <c r="C2333" s="11"/>
    </row>
    <row r="2334" spans="1:3" x14ac:dyDescent="0.25">
      <c r="A2334" s="20"/>
      <c r="B2334" s="11"/>
      <c r="C2334" s="11"/>
    </row>
    <row r="2335" spans="1:3" x14ac:dyDescent="0.25">
      <c r="A2335" s="20"/>
      <c r="B2335" s="11"/>
      <c r="C2335" s="11"/>
    </row>
    <row r="2336" spans="1:3" x14ac:dyDescent="0.25">
      <c r="A2336" s="20"/>
      <c r="B2336" s="11"/>
      <c r="C2336" s="11"/>
    </row>
    <row r="2337" spans="1:3" x14ac:dyDescent="0.25">
      <c r="A2337" s="20"/>
      <c r="B2337" s="11"/>
      <c r="C2337" s="11"/>
    </row>
    <row r="2338" spans="1:3" x14ac:dyDescent="0.25">
      <c r="A2338" s="20"/>
      <c r="B2338" s="11"/>
      <c r="C2338" s="11"/>
    </row>
    <row r="2339" spans="1:3" x14ac:dyDescent="0.25">
      <c r="A2339" s="20"/>
      <c r="B2339" s="11"/>
      <c r="C2339" s="11"/>
    </row>
    <row r="2340" spans="1:3" x14ac:dyDescent="0.25">
      <c r="A2340" s="20"/>
      <c r="B2340" s="11"/>
      <c r="C2340" s="11"/>
    </row>
    <row r="2341" spans="1:3" x14ac:dyDescent="0.25">
      <c r="A2341" s="20"/>
      <c r="B2341" s="11"/>
      <c r="C2341" s="11"/>
    </row>
    <row r="2342" spans="1:3" x14ac:dyDescent="0.25">
      <c r="A2342" s="20"/>
      <c r="B2342" s="11"/>
      <c r="C2342" s="11"/>
    </row>
    <row r="2343" spans="1:3" x14ac:dyDescent="0.25">
      <c r="A2343" s="20"/>
      <c r="B2343" s="11"/>
      <c r="C2343" s="11"/>
    </row>
    <row r="2344" spans="1:3" x14ac:dyDescent="0.25">
      <c r="A2344" s="20"/>
      <c r="B2344" s="11"/>
      <c r="C2344" s="11"/>
    </row>
    <row r="2345" spans="1:3" x14ac:dyDescent="0.25">
      <c r="A2345" s="20"/>
      <c r="B2345" s="11"/>
      <c r="C2345" s="11"/>
    </row>
    <row r="2346" spans="1:3" x14ac:dyDescent="0.25">
      <c r="A2346" s="20"/>
      <c r="B2346" s="11"/>
      <c r="C2346" s="11"/>
    </row>
    <row r="2347" spans="1:3" x14ac:dyDescent="0.25">
      <c r="A2347" s="20"/>
      <c r="B2347" s="11"/>
      <c r="C2347" s="11"/>
    </row>
    <row r="2348" spans="1:3" x14ac:dyDescent="0.25">
      <c r="A2348" s="20"/>
      <c r="B2348" s="11"/>
      <c r="C2348" s="11"/>
    </row>
    <row r="2349" spans="1:3" x14ac:dyDescent="0.25">
      <c r="A2349" s="20"/>
      <c r="B2349" s="11"/>
      <c r="C2349" s="11"/>
    </row>
    <row r="2350" spans="1:3" x14ac:dyDescent="0.25">
      <c r="A2350" s="20"/>
      <c r="B2350" s="11"/>
      <c r="C2350" s="11"/>
    </row>
    <row r="2351" spans="1:3" x14ac:dyDescent="0.25">
      <c r="A2351" s="20"/>
      <c r="B2351" s="11"/>
      <c r="C2351" s="11"/>
    </row>
    <row r="2352" spans="1:3" x14ac:dyDescent="0.25">
      <c r="A2352" s="20"/>
      <c r="B2352" s="11"/>
      <c r="C2352" s="11"/>
    </row>
    <row r="2353" spans="1:3" x14ac:dyDescent="0.25">
      <c r="A2353" s="20"/>
      <c r="B2353" s="11"/>
      <c r="C2353" s="11"/>
    </row>
    <row r="2354" spans="1:3" x14ac:dyDescent="0.25">
      <c r="A2354" s="20"/>
      <c r="B2354" s="11"/>
      <c r="C2354" s="11"/>
    </row>
    <row r="2355" spans="1:3" x14ac:dyDescent="0.25">
      <c r="A2355" s="20"/>
      <c r="B2355" s="11"/>
      <c r="C2355" s="11"/>
    </row>
    <row r="2356" spans="1:3" x14ac:dyDescent="0.25">
      <c r="A2356" s="20"/>
      <c r="B2356" s="11"/>
      <c r="C2356" s="11"/>
    </row>
    <row r="2357" spans="1:3" x14ac:dyDescent="0.25">
      <c r="A2357" s="20"/>
      <c r="B2357" s="11"/>
      <c r="C2357" s="11"/>
    </row>
    <row r="2358" spans="1:3" x14ac:dyDescent="0.25">
      <c r="A2358" s="20"/>
      <c r="B2358" s="11"/>
      <c r="C2358" s="11"/>
    </row>
    <row r="2359" spans="1:3" x14ac:dyDescent="0.25">
      <c r="A2359" s="20"/>
      <c r="B2359" s="11"/>
      <c r="C2359" s="11"/>
    </row>
    <row r="2360" spans="1:3" x14ac:dyDescent="0.25">
      <c r="A2360" s="20"/>
      <c r="B2360" s="11"/>
      <c r="C2360" s="11"/>
    </row>
    <row r="2361" spans="1:3" x14ac:dyDescent="0.25">
      <c r="A2361" s="20"/>
      <c r="B2361" s="11"/>
      <c r="C2361" s="11"/>
    </row>
    <row r="2362" spans="1:3" x14ac:dyDescent="0.25">
      <c r="A2362" s="20"/>
      <c r="B2362" s="11"/>
      <c r="C2362" s="11"/>
    </row>
    <row r="2363" spans="1:3" x14ac:dyDescent="0.25">
      <c r="A2363" s="20"/>
      <c r="B2363" s="11"/>
      <c r="C2363" s="11"/>
    </row>
    <row r="2364" spans="1:3" x14ac:dyDescent="0.25">
      <c r="A2364" s="20"/>
      <c r="B2364" s="11"/>
      <c r="C2364" s="11"/>
    </row>
    <row r="2365" spans="1:3" x14ac:dyDescent="0.25">
      <c r="A2365" s="20"/>
      <c r="B2365" s="11"/>
      <c r="C2365" s="11"/>
    </row>
    <row r="2366" spans="1:3" x14ac:dyDescent="0.25">
      <c r="A2366" s="20"/>
      <c r="B2366" s="11"/>
      <c r="C2366" s="11"/>
    </row>
    <row r="2367" spans="1:3" x14ac:dyDescent="0.25">
      <c r="A2367" s="20"/>
      <c r="B2367" s="11"/>
      <c r="C2367" s="11"/>
    </row>
    <row r="2368" spans="1:3" x14ac:dyDescent="0.25">
      <c r="A2368" s="20"/>
      <c r="B2368" s="11"/>
      <c r="C2368" s="11"/>
    </row>
    <row r="2369" spans="1:3" x14ac:dyDescent="0.25">
      <c r="A2369" s="20"/>
      <c r="B2369" s="11"/>
      <c r="C2369" s="11"/>
    </row>
    <row r="2370" spans="1:3" x14ac:dyDescent="0.25">
      <c r="A2370" s="20"/>
      <c r="B2370" s="11"/>
      <c r="C2370" s="11"/>
    </row>
    <row r="2371" spans="1:3" x14ac:dyDescent="0.25">
      <c r="A2371" s="20"/>
      <c r="B2371" s="11"/>
      <c r="C2371" s="11"/>
    </row>
    <row r="2372" spans="1:3" x14ac:dyDescent="0.25">
      <c r="A2372" s="20"/>
      <c r="B2372" s="11"/>
      <c r="C2372" s="11"/>
    </row>
    <row r="2373" spans="1:3" x14ac:dyDescent="0.25">
      <c r="A2373" s="20"/>
      <c r="B2373" s="11"/>
      <c r="C2373" s="11"/>
    </row>
    <row r="2374" spans="1:3" x14ac:dyDescent="0.25">
      <c r="A2374" s="20"/>
      <c r="B2374" s="11"/>
      <c r="C2374" s="11"/>
    </row>
    <row r="2375" spans="1:3" x14ac:dyDescent="0.25">
      <c r="A2375" s="20"/>
      <c r="B2375" s="11"/>
      <c r="C2375" s="11"/>
    </row>
    <row r="2376" spans="1:3" x14ac:dyDescent="0.25">
      <c r="A2376" s="20"/>
      <c r="B2376" s="11"/>
      <c r="C2376" s="11"/>
    </row>
    <row r="2377" spans="1:3" x14ac:dyDescent="0.25">
      <c r="A2377" s="20"/>
      <c r="B2377" s="11"/>
      <c r="C2377" s="11"/>
    </row>
    <row r="2378" spans="1:3" x14ac:dyDescent="0.25">
      <c r="A2378" s="20"/>
      <c r="B2378" s="11"/>
      <c r="C2378" s="11"/>
    </row>
    <row r="2379" spans="1:3" x14ac:dyDescent="0.25">
      <c r="A2379" s="20"/>
      <c r="B2379" s="11"/>
      <c r="C2379" s="11"/>
    </row>
    <row r="2380" spans="1:3" x14ac:dyDescent="0.25">
      <c r="A2380" s="20"/>
      <c r="B2380" s="11"/>
      <c r="C2380" s="11"/>
    </row>
    <row r="2381" spans="1:3" x14ac:dyDescent="0.25">
      <c r="A2381" s="20"/>
      <c r="B2381" s="11"/>
      <c r="C2381" s="11"/>
    </row>
    <row r="2382" spans="1:3" x14ac:dyDescent="0.25">
      <c r="A2382" s="20"/>
      <c r="B2382" s="11"/>
      <c r="C2382" s="11"/>
    </row>
    <row r="2383" spans="1:3" x14ac:dyDescent="0.25">
      <c r="A2383" s="20"/>
      <c r="B2383" s="11"/>
      <c r="C2383" s="11"/>
    </row>
    <row r="2384" spans="1:3" x14ac:dyDescent="0.25">
      <c r="A2384" s="20"/>
      <c r="B2384" s="11"/>
      <c r="C2384" s="11"/>
    </row>
    <row r="2385" spans="1:3" x14ac:dyDescent="0.25">
      <c r="A2385" s="20"/>
      <c r="B2385" s="11"/>
      <c r="C2385" s="11"/>
    </row>
    <row r="2386" spans="1:3" x14ac:dyDescent="0.25">
      <c r="A2386" s="20"/>
      <c r="B2386" s="11"/>
      <c r="C2386" s="11"/>
    </row>
    <row r="2387" spans="1:3" x14ac:dyDescent="0.25">
      <c r="A2387" s="20"/>
      <c r="B2387" s="11"/>
      <c r="C2387" s="11"/>
    </row>
    <row r="2388" spans="1:3" x14ac:dyDescent="0.25">
      <c r="A2388" s="20"/>
      <c r="B2388" s="11"/>
      <c r="C2388" s="11"/>
    </row>
    <row r="2389" spans="1:3" x14ac:dyDescent="0.25">
      <c r="A2389" s="20"/>
      <c r="B2389" s="11"/>
      <c r="C2389" s="11"/>
    </row>
    <row r="2390" spans="1:3" x14ac:dyDescent="0.25">
      <c r="A2390" s="20"/>
      <c r="B2390" s="11"/>
      <c r="C2390" s="11"/>
    </row>
    <row r="2391" spans="1:3" x14ac:dyDescent="0.25">
      <c r="A2391" s="20"/>
      <c r="B2391" s="11"/>
      <c r="C2391" s="11"/>
    </row>
    <row r="2392" spans="1:3" x14ac:dyDescent="0.25">
      <c r="A2392" s="20"/>
      <c r="B2392" s="11"/>
      <c r="C2392" s="11"/>
    </row>
    <row r="2393" spans="1:3" x14ac:dyDescent="0.25">
      <c r="A2393" s="20"/>
      <c r="B2393" s="11"/>
      <c r="C2393" s="11"/>
    </row>
    <row r="2394" spans="1:3" x14ac:dyDescent="0.25">
      <c r="A2394" s="20"/>
      <c r="B2394" s="11"/>
      <c r="C2394" s="11"/>
    </row>
    <row r="2395" spans="1:3" x14ac:dyDescent="0.25">
      <c r="A2395" s="20"/>
      <c r="B2395" s="11"/>
      <c r="C2395" s="11"/>
    </row>
    <row r="2396" spans="1:3" x14ac:dyDescent="0.25">
      <c r="A2396" s="20"/>
      <c r="B2396" s="11"/>
      <c r="C2396" s="11"/>
    </row>
    <row r="2397" spans="1:3" x14ac:dyDescent="0.25">
      <c r="A2397" s="20"/>
      <c r="B2397" s="11"/>
      <c r="C2397" s="11"/>
    </row>
    <row r="2398" spans="1:3" x14ac:dyDescent="0.25">
      <c r="A2398" s="20"/>
      <c r="B2398" s="11"/>
      <c r="C2398" s="11"/>
    </row>
    <row r="2399" spans="1:3" x14ac:dyDescent="0.25">
      <c r="A2399" s="20"/>
      <c r="B2399" s="11"/>
      <c r="C2399" s="11"/>
    </row>
    <row r="2400" spans="1:3" x14ac:dyDescent="0.25">
      <c r="A2400" s="20"/>
      <c r="B2400" s="11"/>
      <c r="C2400" s="11"/>
    </row>
    <row r="2401" spans="1:3" x14ac:dyDescent="0.25">
      <c r="A2401" s="20"/>
      <c r="B2401" s="11"/>
      <c r="C2401" s="11"/>
    </row>
    <row r="2402" spans="1:3" x14ac:dyDescent="0.25">
      <c r="A2402" s="20"/>
      <c r="B2402" s="11"/>
      <c r="C2402" s="11"/>
    </row>
    <row r="2403" spans="1:3" x14ac:dyDescent="0.25">
      <c r="A2403" s="20"/>
      <c r="B2403" s="11"/>
      <c r="C2403" s="11"/>
    </row>
    <row r="2404" spans="1:3" x14ac:dyDescent="0.25">
      <c r="A2404" s="20"/>
      <c r="B2404" s="11"/>
      <c r="C2404" s="11"/>
    </row>
    <row r="2405" spans="1:3" x14ac:dyDescent="0.25">
      <c r="A2405" s="20"/>
      <c r="B2405" s="11"/>
      <c r="C2405" s="11"/>
    </row>
    <row r="2406" spans="1:3" x14ac:dyDescent="0.25">
      <c r="A2406" s="20"/>
      <c r="B2406" s="11"/>
      <c r="C2406" s="11"/>
    </row>
    <row r="2407" spans="1:3" x14ac:dyDescent="0.25">
      <c r="A2407" s="20"/>
      <c r="B2407" s="11"/>
      <c r="C2407" s="11"/>
    </row>
    <row r="2408" spans="1:3" x14ac:dyDescent="0.25">
      <c r="A2408" s="20"/>
      <c r="B2408" s="11"/>
      <c r="C2408" s="11"/>
    </row>
    <row r="2409" spans="1:3" x14ac:dyDescent="0.25">
      <c r="A2409" s="20"/>
      <c r="B2409" s="11"/>
      <c r="C2409" s="11"/>
    </row>
    <row r="2410" spans="1:3" x14ac:dyDescent="0.25">
      <c r="A2410" s="20"/>
      <c r="B2410" s="11"/>
      <c r="C2410" s="11"/>
    </row>
    <row r="2411" spans="1:3" x14ac:dyDescent="0.25">
      <c r="A2411" s="20"/>
      <c r="B2411" s="11"/>
      <c r="C2411" s="11"/>
    </row>
    <row r="2412" spans="1:3" x14ac:dyDescent="0.25">
      <c r="A2412" s="20"/>
      <c r="B2412" s="11"/>
      <c r="C2412" s="11"/>
    </row>
    <row r="2413" spans="1:3" x14ac:dyDescent="0.25">
      <c r="A2413" s="20"/>
      <c r="B2413" s="11"/>
      <c r="C2413" s="11"/>
    </row>
    <row r="2414" spans="1:3" x14ac:dyDescent="0.25">
      <c r="A2414" s="20"/>
      <c r="B2414" s="11"/>
      <c r="C2414" s="11"/>
    </row>
    <row r="2415" spans="1:3" x14ac:dyDescent="0.25">
      <c r="A2415" s="20"/>
      <c r="B2415" s="11"/>
      <c r="C2415" s="11"/>
    </row>
    <row r="2416" spans="1:3" x14ac:dyDescent="0.25">
      <c r="A2416" s="20"/>
      <c r="B2416" s="11"/>
      <c r="C2416" s="11"/>
    </row>
    <row r="2417" spans="1:3" x14ac:dyDescent="0.25">
      <c r="A2417" s="20"/>
      <c r="B2417" s="11"/>
      <c r="C2417" s="11"/>
    </row>
    <row r="2418" spans="1:3" x14ac:dyDescent="0.25">
      <c r="A2418" s="20"/>
      <c r="B2418" s="11"/>
      <c r="C2418" s="11"/>
    </row>
    <row r="2419" spans="1:3" x14ac:dyDescent="0.25">
      <c r="A2419" s="20"/>
      <c r="B2419" s="11"/>
      <c r="C2419" s="11"/>
    </row>
    <row r="2420" spans="1:3" x14ac:dyDescent="0.25">
      <c r="A2420" s="20"/>
      <c r="B2420" s="11"/>
      <c r="C2420" s="11"/>
    </row>
    <row r="2421" spans="1:3" x14ac:dyDescent="0.25">
      <c r="A2421" s="20"/>
      <c r="B2421" s="11"/>
      <c r="C2421" s="11"/>
    </row>
    <row r="2422" spans="1:3" x14ac:dyDescent="0.25">
      <c r="A2422" s="20"/>
      <c r="B2422" s="11"/>
      <c r="C2422" s="11"/>
    </row>
    <row r="2423" spans="1:3" x14ac:dyDescent="0.25">
      <c r="A2423" s="20"/>
      <c r="B2423" s="11"/>
      <c r="C2423" s="11"/>
    </row>
    <row r="2424" spans="1:3" x14ac:dyDescent="0.25">
      <c r="A2424" s="20"/>
      <c r="B2424" s="11"/>
      <c r="C2424" s="11"/>
    </row>
    <row r="2425" spans="1:3" x14ac:dyDescent="0.25">
      <c r="A2425" s="20"/>
      <c r="B2425" s="11"/>
      <c r="C2425" s="11"/>
    </row>
    <row r="2426" spans="1:3" x14ac:dyDescent="0.25">
      <c r="A2426" s="20"/>
      <c r="B2426" s="11"/>
      <c r="C2426" s="11"/>
    </row>
    <row r="2427" spans="1:3" x14ac:dyDescent="0.25">
      <c r="A2427" s="20"/>
      <c r="B2427" s="11"/>
      <c r="C2427" s="11"/>
    </row>
    <row r="2428" spans="1:3" x14ac:dyDescent="0.25">
      <c r="A2428" s="20"/>
      <c r="B2428" s="11"/>
      <c r="C2428" s="11"/>
    </row>
    <row r="2429" spans="1:3" x14ac:dyDescent="0.25">
      <c r="A2429" s="20"/>
      <c r="B2429" s="11"/>
      <c r="C2429" s="11"/>
    </row>
    <row r="2430" spans="1:3" x14ac:dyDescent="0.25">
      <c r="A2430" s="20"/>
      <c r="B2430" s="11"/>
      <c r="C2430" s="11"/>
    </row>
    <row r="2431" spans="1:3" x14ac:dyDescent="0.25">
      <c r="A2431" s="20"/>
      <c r="B2431" s="11"/>
      <c r="C2431" s="11"/>
    </row>
    <row r="2432" spans="1:3" x14ac:dyDescent="0.25">
      <c r="A2432" s="20"/>
      <c r="B2432" s="11"/>
      <c r="C2432" s="11"/>
    </row>
    <row r="2433" spans="1:3" x14ac:dyDescent="0.25">
      <c r="A2433" s="20"/>
      <c r="B2433" s="11"/>
      <c r="C2433" s="11"/>
    </row>
    <row r="2434" spans="1:3" x14ac:dyDescent="0.25">
      <c r="A2434" s="20"/>
      <c r="B2434" s="11"/>
      <c r="C2434" s="11"/>
    </row>
    <row r="2435" spans="1:3" x14ac:dyDescent="0.25">
      <c r="A2435" s="20"/>
      <c r="B2435" s="11"/>
      <c r="C2435" s="11"/>
    </row>
    <row r="2436" spans="1:3" x14ac:dyDescent="0.25">
      <c r="A2436" s="20"/>
      <c r="B2436" s="11"/>
      <c r="C2436" s="11"/>
    </row>
    <row r="2437" spans="1:3" x14ac:dyDescent="0.25">
      <c r="A2437" s="20"/>
      <c r="B2437" s="11"/>
      <c r="C2437" s="11"/>
    </row>
    <row r="2438" spans="1:3" x14ac:dyDescent="0.25">
      <c r="A2438" s="20"/>
      <c r="B2438" s="11"/>
      <c r="C2438" s="11"/>
    </row>
    <row r="2439" spans="1:3" x14ac:dyDescent="0.25">
      <c r="A2439" s="20"/>
      <c r="B2439" s="11"/>
      <c r="C2439" s="11"/>
    </row>
    <row r="2440" spans="1:3" x14ac:dyDescent="0.25">
      <c r="A2440" s="20"/>
      <c r="B2440" s="11"/>
      <c r="C2440" s="11"/>
    </row>
    <row r="2441" spans="1:3" x14ac:dyDescent="0.25">
      <c r="A2441" s="20"/>
      <c r="B2441" s="11"/>
      <c r="C2441" s="11"/>
    </row>
    <row r="2442" spans="1:3" x14ac:dyDescent="0.25">
      <c r="A2442" s="20"/>
      <c r="B2442" s="11"/>
      <c r="C2442" s="11"/>
    </row>
    <row r="2443" spans="1:3" x14ac:dyDescent="0.25">
      <c r="A2443" s="20"/>
      <c r="B2443" s="11"/>
      <c r="C2443" s="11"/>
    </row>
    <row r="2444" spans="1:3" x14ac:dyDescent="0.25">
      <c r="A2444" s="20"/>
      <c r="B2444" s="11"/>
      <c r="C2444" s="11"/>
    </row>
    <row r="2445" spans="1:3" x14ac:dyDescent="0.25">
      <c r="A2445" s="20"/>
      <c r="B2445" s="11"/>
      <c r="C2445" s="11"/>
    </row>
    <row r="2446" spans="1:3" x14ac:dyDescent="0.25">
      <c r="A2446" s="20"/>
      <c r="B2446" s="11"/>
      <c r="C2446" s="11"/>
    </row>
    <row r="2447" spans="1:3" x14ac:dyDescent="0.25">
      <c r="A2447" s="20"/>
      <c r="B2447" s="11"/>
      <c r="C2447" s="11"/>
    </row>
    <row r="2448" spans="1:3" x14ac:dyDescent="0.25">
      <c r="A2448" s="20"/>
      <c r="B2448" s="11"/>
      <c r="C2448" s="11"/>
    </row>
    <row r="2449" spans="1:3" x14ac:dyDescent="0.25">
      <c r="A2449" s="20"/>
      <c r="B2449" s="11"/>
      <c r="C2449" s="11"/>
    </row>
    <row r="2450" spans="1:3" x14ac:dyDescent="0.25">
      <c r="A2450" s="20"/>
      <c r="B2450" s="11"/>
      <c r="C2450" s="11"/>
    </row>
    <row r="2451" spans="1:3" x14ac:dyDescent="0.25">
      <c r="A2451" s="20"/>
      <c r="B2451" s="11"/>
      <c r="C2451" s="11"/>
    </row>
    <row r="2452" spans="1:3" x14ac:dyDescent="0.25">
      <c r="A2452" s="20"/>
      <c r="B2452" s="11"/>
      <c r="C2452" s="11"/>
    </row>
    <row r="2453" spans="1:3" x14ac:dyDescent="0.25">
      <c r="A2453" s="20"/>
      <c r="B2453" s="11"/>
      <c r="C2453" s="11"/>
    </row>
    <row r="2454" spans="1:3" x14ac:dyDescent="0.25">
      <c r="A2454" s="20"/>
      <c r="B2454" s="11"/>
      <c r="C2454" s="11"/>
    </row>
    <row r="2455" spans="1:3" x14ac:dyDescent="0.25">
      <c r="A2455" s="20"/>
      <c r="B2455" s="11"/>
      <c r="C2455" s="11"/>
    </row>
    <row r="2456" spans="1:3" x14ac:dyDescent="0.25">
      <c r="A2456" s="20"/>
      <c r="B2456" s="11"/>
      <c r="C2456" s="11"/>
    </row>
    <row r="2457" spans="1:3" x14ac:dyDescent="0.25">
      <c r="A2457" s="20"/>
      <c r="B2457" s="11"/>
      <c r="C2457" s="11"/>
    </row>
    <row r="2458" spans="1:3" x14ac:dyDescent="0.25">
      <c r="A2458" s="20"/>
      <c r="B2458" s="11"/>
      <c r="C2458" s="11"/>
    </row>
    <row r="2459" spans="1:3" x14ac:dyDescent="0.25">
      <c r="A2459" s="20"/>
      <c r="B2459" s="11"/>
      <c r="C2459" s="11"/>
    </row>
    <row r="2460" spans="1:3" x14ac:dyDescent="0.25">
      <c r="A2460" s="20"/>
      <c r="B2460" s="11"/>
      <c r="C2460" s="11"/>
    </row>
    <row r="2461" spans="1:3" x14ac:dyDescent="0.25">
      <c r="A2461" s="20"/>
      <c r="B2461" s="11"/>
      <c r="C2461" s="11"/>
    </row>
    <row r="2462" spans="1:3" x14ac:dyDescent="0.25">
      <c r="A2462" s="20"/>
      <c r="B2462" s="11"/>
      <c r="C2462" s="11"/>
    </row>
    <row r="2463" spans="1:3" x14ac:dyDescent="0.25">
      <c r="A2463" s="20"/>
      <c r="B2463" s="11"/>
      <c r="C2463" s="11"/>
    </row>
    <row r="2464" spans="1:3" x14ac:dyDescent="0.25">
      <c r="A2464" s="20"/>
      <c r="B2464" s="11"/>
      <c r="C2464" s="11"/>
    </row>
    <row r="2465" spans="1:3" x14ac:dyDescent="0.25">
      <c r="A2465" s="20"/>
      <c r="B2465" s="11"/>
      <c r="C2465" s="11"/>
    </row>
    <row r="2466" spans="1:3" x14ac:dyDescent="0.25">
      <c r="A2466" s="20"/>
      <c r="B2466" s="11"/>
      <c r="C2466" s="11"/>
    </row>
    <row r="2467" spans="1:3" x14ac:dyDescent="0.25">
      <c r="A2467" s="20"/>
      <c r="B2467" s="11"/>
      <c r="C2467" s="11"/>
    </row>
    <row r="2468" spans="1:3" x14ac:dyDescent="0.25">
      <c r="A2468" s="20"/>
      <c r="B2468" s="11"/>
      <c r="C2468" s="11"/>
    </row>
    <row r="2469" spans="1:3" x14ac:dyDescent="0.25">
      <c r="A2469" s="20"/>
      <c r="B2469" s="11"/>
      <c r="C2469" s="11"/>
    </row>
    <row r="2470" spans="1:3" x14ac:dyDescent="0.25">
      <c r="A2470" s="20"/>
      <c r="B2470" s="11"/>
      <c r="C2470" s="11"/>
    </row>
    <row r="2471" spans="1:3" x14ac:dyDescent="0.25">
      <c r="A2471" s="20"/>
      <c r="B2471" s="11"/>
      <c r="C2471" s="11"/>
    </row>
    <row r="2472" spans="1:3" x14ac:dyDescent="0.25">
      <c r="A2472" s="20"/>
      <c r="B2472" s="11"/>
      <c r="C2472" s="11"/>
    </row>
    <row r="2473" spans="1:3" x14ac:dyDescent="0.25">
      <c r="A2473" s="20"/>
      <c r="B2473" s="11"/>
      <c r="C2473" s="11"/>
    </row>
    <row r="2474" spans="1:3" x14ac:dyDescent="0.25">
      <c r="A2474" s="20"/>
      <c r="B2474" s="11"/>
      <c r="C2474" s="11"/>
    </row>
    <row r="2475" spans="1:3" x14ac:dyDescent="0.25">
      <c r="A2475" s="20"/>
      <c r="B2475" s="11"/>
      <c r="C2475" s="11"/>
    </row>
    <row r="2476" spans="1:3" x14ac:dyDescent="0.25">
      <c r="A2476" s="20"/>
      <c r="B2476" s="11"/>
      <c r="C2476" s="11"/>
    </row>
    <row r="2477" spans="1:3" x14ac:dyDescent="0.25">
      <c r="A2477" s="20"/>
      <c r="B2477" s="11"/>
      <c r="C2477" s="11"/>
    </row>
    <row r="2478" spans="1:3" x14ac:dyDescent="0.25">
      <c r="A2478" s="20"/>
      <c r="B2478" s="11"/>
      <c r="C2478" s="11"/>
    </row>
    <row r="2479" spans="1:3" x14ac:dyDescent="0.25">
      <c r="A2479" s="20"/>
      <c r="B2479" s="11"/>
      <c r="C2479" s="11"/>
    </row>
    <row r="2480" spans="1:3" x14ac:dyDescent="0.25">
      <c r="A2480" s="20"/>
      <c r="B2480" s="11"/>
      <c r="C2480" s="11"/>
    </row>
    <row r="2481" spans="1:3" x14ac:dyDescent="0.25">
      <c r="A2481" s="20"/>
      <c r="B2481" s="11"/>
      <c r="C2481" s="11"/>
    </row>
    <row r="2482" spans="1:3" x14ac:dyDescent="0.25">
      <c r="A2482" s="20"/>
      <c r="B2482" s="11"/>
      <c r="C2482" s="11"/>
    </row>
    <row r="2483" spans="1:3" x14ac:dyDescent="0.25">
      <c r="A2483" s="20"/>
      <c r="B2483" s="11"/>
      <c r="C2483" s="11"/>
    </row>
    <row r="2484" spans="1:3" x14ac:dyDescent="0.25">
      <c r="A2484" s="20"/>
      <c r="B2484" s="11"/>
      <c r="C2484" s="11"/>
    </row>
    <row r="2485" spans="1:3" x14ac:dyDescent="0.25">
      <c r="A2485" s="20"/>
      <c r="B2485" s="11"/>
      <c r="C2485" s="11"/>
    </row>
    <row r="2486" spans="1:3" x14ac:dyDescent="0.25">
      <c r="A2486" s="20"/>
      <c r="B2486" s="11"/>
      <c r="C2486" s="11"/>
    </row>
    <row r="2487" spans="1:3" x14ac:dyDescent="0.25">
      <c r="A2487" s="20"/>
      <c r="B2487" s="11"/>
      <c r="C2487" s="11"/>
    </row>
    <row r="2488" spans="1:3" x14ac:dyDescent="0.25">
      <c r="A2488" s="20"/>
      <c r="B2488" s="11"/>
      <c r="C2488" s="11"/>
    </row>
    <row r="2489" spans="1:3" x14ac:dyDescent="0.25">
      <c r="A2489" s="20"/>
      <c r="B2489" s="11"/>
      <c r="C2489" s="11"/>
    </row>
    <row r="2490" spans="1:3" x14ac:dyDescent="0.25">
      <c r="A2490" s="20"/>
      <c r="B2490" s="11"/>
      <c r="C2490" s="11"/>
    </row>
    <row r="2491" spans="1:3" x14ac:dyDescent="0.25">
      <c r="A2491" s="20"/>
      <c r="B2491" s="11"/>
      <c r="C2491" s="11"/>
    </row>
    <row r="2492" spans="1:3" x14ac:dyDescent="0.25">
      <c r="A2492" s="20"/>
      <c r="B2492" s="11"/>
      <c r="C2492" s="11"/>
    </row>
    <row r="2493" spans="1:3" x14ac:dyDescent="0.25">
      <c r="A2493" s="20"/>
      <c r="B2493" s="11"/>
      <c r="C2493" s="11"/>
    </row>
    <row r="2494" spans="1:3" x14ac:dyDescent="0.25">
      <c r="A2494" s="20"/>
      <c r="B2494" s="11"/>
      <c r="C2494" s="11"/>
    </row>
    <row r="2495" spans="1:3" x14ac:dyDescent="0.25">
      <c r="A2495" s="20"/>
      <c r="B2495" s="11"/>
      <c r="C2495" s="11"/>
    </row>
    <row r="2496" spans="1:3" x14ac:dyDescent="0.25">
      <c r="A2496" s="20"/>
      <c r="B2496" s="11"/>
      <c r="C2496" s="11"/>
    </row>
    <row r="2497" spans="1:3" x14ac:dyDescent="0.25">
      <c r="A2497" s="20"/>
      <c r="B2497" s="11"/>
      <c r="C2497" s="11"/>
    </row>
    <row r="2498" spans="1:3" x14ac:dyDescent="0.25">
      <c r="A2498" s="20"/>
      <c r="B2498" s="11"/>
      <c r="C2498" s="11"/>
    </row>
    <row r="2499" spans="1:3" x14ac:dyDescent="0.25">
      <c r="A2499" s="20"/>
      <c r="B2499" s="11"/>
      <c r="C2499" s="11"/>
    </row>
    <row r="2500" spans="1:3" x14ac:dyDescent="0.25">
      <c r="A2500" s="20"/>
      <c r="B2500" s="11"/>
      <c r="C2500" s="11"/>
    </row>
    <row r="2501" spans="1:3" x14ac:dyDescent="0.25">
      <c r="A2501" s="20"/>
      <c r="B2501" s="11"/>
      <c r="C2501" s="11"/>
    </row>
    <row r="2502" spans="1:3" x14ac:dyDescent="0.25">
      <c r="A2502" s="20"/>
      <c r="B2502" s="11"/>
      <c r="C2502" s="11"/>
    </row>
    <row r="2503" spans="1:3" x14ac:dyDescent="0.25">
      <c r="A2503" s="20"/>
      <c r="B2503" s="11"/>
      <c r="C2503" s="11"/>
    </row>
    <row r="2504" spans="1:3" x14ac:dyDescent="0.25">
      <c r="A2504" s="20"/>
      <c r="B2504" s="11"/>
      <c r="C2504" s="11"/>
    </row>
    <row r="2505" spans="1:3" x14ac:dyDescent="0.25">
      <c r="A2505" s="20"/>
      <c r="B2505" s="11"/>
      <c r="C2505" s="11"/>
    </row>
    <row r="2506" spans="1:3" x14ac:dyDescent="0.25">
      <c r="A2506" s="20"/>
      <c r="B2506" s="11"/>
      <c r="C2506" s="11"/>
    </row>
    <row r="2507" spans="1:3" x14ac:dyDescent="0.25">
      <c r="A2507" s="20"/>
      <c r="B2507" s="11"/>
      <c r="C2507" s="11"/>
    </row>
    <row r="2508" spans="1:3" x14ac:dyDescent="0.25">
      <c r="A2508" s="20"/>
      <c r="B2508" s="11"/>
      <c r="C2508" s="11"/>
    </row>
    <row r="2509" spans="1:3" x14ac:dyDescent="0.25">
      <c r="A2509" s="20"/>
      <c r="B2509" s="11"/>
      <c r="C2509" s="11"/>
    </row>
    <row r="2510" spans="1:3" x14ac:dyDescent="0.25">
      <c r="A2510" s="20"/>
      <c r="B2510" s="11"/>
      <c r="C2510" s="11"/>
    </row>
    <row r="2511" spans="1:3" x14ac:dyDescent="0.25">
      <c r="A2511" s="20"/>
      <c r="B2511" s="11"/>
      <c r="C2511" s="11"/>
    </row>
    <row r="2512" spans="1:3" x14ac:dyDescent="0.25">
      <c r="A2512" s="20"/>
      <c r="B2512" s="11"/>
      <c r="C2512" s="11"/>
    </row>
    <row r="2513" spans="1:3" x14ac:dyDescent="0.25">
      <c r="A2513" s="20"/>
      <c r="B2513" s="11"/>
      <c r="C2513" s="11"/>
    </row>
    <row r="2514" spans="1:3" x14ac:dyDescent="0.25">
      <c r="A2514" s="20"/>
      <c r="B2514" s="11"/>
      <c r="C2514" s="11"/>
    </row>
    <row r="2515" spans="1:3" x14ac:dyDescent="0.25">
      <c r="A2515" s="20"/>
      <c r="B2515" s="11"/>
      <c r="C2515" s="11"/>
    </row>
    <row r="2516" spans="1:3" x14ac:dyDescent="0.25">
      <c r="A2516" s="20"/>
      <c r="B2516" s="11"/>
      <c r="C2516" s="11"/>
    </row>
    <row r="2517" spans="1:3" x14ac:dyDescent="0.25">
      <c r="A2517" s="20"/>
      <c r="B2517" s="11"/>
      <c r="C2517" s="11"/>
    </row>
    <row r="2518" spans="1:3" x14ac:dyDescent="0.25">
      <c r="A2518" s="20"/>
      <c r="B2518" s="11"/>
      <c r="C2518" s="11"/>
    </row>
    <row r="2519" spans="1:3" x14ac:dyDescent="0.25">
      <c r="A2519" s="20"/>
      <c r="B2519" s="11"/>
      <c r="C2519" s="11"/>
    </row>
    <row r="2520" spans="1:3" x14ac:dyDescent="0.25">
      <c r="A2520" s="20"/>
      <c r="B2520" s="11"/>
      <c r="C2520" s="11"/>
    </row>
    <row r="2521" spans="1:3" x14ac:dyDescent="0.25">
      <c r="A2521" s="20"/>
      <c r="B2521" s="11"/>
      <c r="C2521" s="11"/>
    </row>
    <row r="2522" spans="1:3" x14ac:dyDescent="0.25">
      <c r="A2522" s="20"/>
      <c r="B2522" s="11"/>
      <c r="C2522" s="11"/>
    </row>
    <row r="2523" spans="1:3" x14ac:dyDescent="0.25">
      <c r="A2523" s="20"/>
      <c r="B2523" s="11"/>
      <c r="C2523" s="11"/>
    </row>
    <row r="2524" spans="1:3" x14ac:dyDescent="0.25">
      <c r="A2524" s="20"/>
      <c r="B2524" s="11"/>
      <c r="C2524" s="11"/>
    </row>
    <row r="2525" spans="1:3" x14ac:dyDescent="0.25">
      <c r="A2525" s="20"/>
      <c r="B2525" s="11"/>
      <c r="C2525" s="11"/>
    </row>
    <row r="2526" spans="1:3" x14ac:dyDescent="0.25">
      <c r="A2526" s="20"/>
      <c r="B2526" s="11"/>
      <c r="C2526" s="11"/>
    </row>
    <row r="2527" spans="1:3" x14ac:dyDescent="0.25">
      <c r="A2527" s="20"/>
      <c r="B2527" s="11"/>
      <c r="C2527" s="11"/>
    </row>
    <row r="2528" spans="1:3" x14ac:dyDescent="0.25">
      <c r="A2528" s="20"/>
      <c r="B2528" s="11"/>
      <c r="C2528" s="11"/>
    </row>
    <row r="2529" spans="1:3" x14ac:dyDescent="0.25">
      <c r="A2529" s="20"/>
      <c r="B2529" s="11"/>
      <c r="C2529" s="11"/>
    </row>
    <row r="2530" spans="1:3" x14ac:dyDescent="0.25">
      <c r="A2530" s="20"/>
      <c r="B2530" s="11"/>
      <c r="C2530" s="11"/>
    </row>
    <row r="2531" spans="1:3" x14ac:dyDescent="0.25">
      <c r="A2531" s="20"/>
      <c r="B2531" s="11"/>
      <c r="C2531" s="11"/>
    </row>
    <row r="2532" spans="1:3" x14ac:dyDescent="0.25">
      <c r="A2532" s="20"/>
      <c r="B2532" s="11"/>
      <c r="C2532" s="11"/>
    </row>
    <row r="2533" spans="1:3" x14ac:dyDescent="0.25">
      <c r="A2533" s="20"/>
      <c r="B2533" s="11"/>
      <c r="C2533" s="11"/>
    </row>
    <row r="2534" spans="1:3" x14ac:dyDescent="0.25">
      <c r="A2534" s="20"/>
      <c r="B2534" s="11"/>
      <c r="C2534" s="11"/>
    </row>
    <row r="2535" spans="1:3" x14ac:dyDescent="0.25">
      <c r="A2535" s="20"/>
      <c r="B2535" s="11"/>
      <c r="C2535" s="11"/>
    </row>
    <row r="2536" spans="1:3" x14ac:dyDescent="0.25">
      <c r="A2536" s="20"/>
      <c r="B2536" s="11"/>
      <c r="C2536" s="11"/>
    </row>
    <row r="2537" spans="1:3" x14ac:dyDescent="0.25">
      <c r="A2537" s="20"/>
      <c r="B2537" s="11"/>
      <c r="C2537" s="11"/>
    </row>
    <row r="2538" spans="1:3" x14ac:dyDescent="0.25">
      <c r="A2538" s="20"/>
      <c r="B2538" s="11"/>
      <c r="C2538" s="11"/>
    </row>
    <row r="2539" spans="1:3" x14ac:dyDescent="0.25">
      <c r="A2539" s="20"/>
      <c r="B2539" s="11"/>
      <c r="C2539" s="11"/>
    </row>
    <row r="2540" spans="1:3" x14ac:dyDescent="0.25">
      <c r="A2540" s="20"/>
      <c r="B2540" s="11"/>
      <c r="C2540" s="11"/>
    </row>
    <row r="2541" spans="1:3" x14ac:dyDescent="0.25">
      <c r="A2541" s="20"/>
      <c r="B2541" s="11"/>
      <c r="C2541" s="11"/>
    </row>
    <row r="2542" spans="1:3" x14ac:dyDescent="0.25">
      <c r="A2542" s="20"/>
      <c r="B2542" s="11"/>
      <c r="C2542" s="11"/>
    </row>
    <row r="2543" spans="1:3" x14ac:dyDescent="0.25">
      <c r="A2543" s="20"/>
      <c r="B2543" s="11"/>
      <c r="C2543" s="11"/>
    </row>
    <row r="2544" spans="1:3" x14ac:dyDescent="0.25">
      <c r="A2544" s="20"/>
      <c r="B2544" s="11"/>
      <c r="C2544" s="11"/>
    </row>
    <row r="2545" spans="1:3" x14ac:dyDescent="0.25">
      <c r="A2545" s="20"/>
      <c r="B2545" s="11"/>
      <c r="C2545" s="11"/>
    </row>
    <row r="2546" spans="1:3" x14ac:dyDescent="0.25">
      <c r="A2546" s="20"/>
      <c r="B2546" s="11"/>
      <c r="C2546" s="11"/>
    </row>
    <row r="2547" spans="1:3" x14ac:dyDescent="0.25">
      <c r="A2547" s="20"/>
      <c r="B2547" s="11"/>
      <c r="C2547" s="11"/>
    </row>
    <row r="2548" spans="1:3" x14ac:dyDescent="0.25">
      <c r="A2548" s="20"/>
      <c r="B2548" s="11"/>
      <c r="C2548" s="11"/>
    </row>
    <row r="2549" spans="1:3" x14ac:dyDescent="0.25">
      <c r="A2549" s="20"/>
      <c r="B2549" s="11"/>
      <c r="C2549" s="11"/>
    </row>
    <row r="2550" spans="1:3" x14ac:dyDescent="0.25">
      <c r="A2550" s="20"/>
      <c r="B2550" s="11"/>
      <c r="C2550" s="11"/>
    </row>
    <row r="2551" spans="1:3" x14ac:dyDescent="0.25">
      <c r="A2551" s="20"/>
      <c r="B2551" s="11"/>
      <c r="C2551" s="11"/>
    </row>
    <row r="2552" spans="1:3" x14ac:dyDescent="0.25">
      <c r="A2552" s="20"/>
      <c r="B2552" s="11"/>
      <c r="C2552" s="11"/>
    </row>
    <row r="2553" spans="1:3" x14ac:dyDescent="0.25">
      <c r="A2553" s="20"/>
      <c r="B2553" s="11"/>
      <c r="C2553" s="11"/>
    </row>
    <row r="2554" spans="1:3" x14ac:dyDescent="0.25">
      <c r="A2554" s="20"/>
      <c r="B2554" s="11"/>
      <c r="C2554" s="11"/>
    </row>
    <row r="2555" spans="1:3" x14ac:dyDescent="0.25">
      <c r="A2555" s="20"/>
      <c r="B2555" s="11"/>
      <c r="C2555" s="11"/>
    </row>
    <row r="2556" spans="1:3" x14ac:dyDescent="0.25">
      <c r="A2556" s="20"/>
      <c r="B2556" s="11"/>
      <c r="C2556" s="11"/>
    </row>
    <row r="2557" spans="1:3" x14ac:dyDescent="0.25">
      <c r="A2557" s="20"/>
      <c r="B2557" s="11"/>
      <c r="C2557" s="11"/>
    </row>
    <row r="2558" spans="1:3" x14ac:dyDescent="0.25">
      <c r="A2558" s="20"/>
      <c r="B2558" s="11"/>
      <c r="C2558" s="11"/>
    </row>
    <row r="2559" spans="1:3" x14ac:dyDescent="0.25">
      <c r="A2559" s="20"/>
      <c r="B2559" s="11"/>
      <c r="C2559" s="11"/>
    </row>
    <row r="2560" spans="1:3" x14ac:dyDescent="0.25">
      <c r="A2560" s="20"/>
      <c r="B2560" s="11"/>
      <c r="C2560" s="11"/>
    </row>
    <row r="2561" spans="1:3" x14ac:dyDescent="0.25">
      <c r="A2561" s="20"/>
      <c r="B2561" s="11"/>
      <c r="C2561" s="11"/>
    </row>
    <row r="2562" spans="1:3" x14ac:dyDescent="0.25">
      <c r="A2562" s="20"/>
      <c r="B2562" s="11"/>
      <c r="C2562" s="11"/>
    </row>
    <row r="2563" spans="1:3" x14ac:dyDescent="0.25">
      <c r="A2563" s="20"/>
      <c r="B2563" s="11"/>
      <c r="C2563" s="11"/>
    </row>
    <row r="2564" spans="1:3" x14ac:dyDescent="0.25">
      <c r="A2564" s="20"/>
      <c r="B2564" s="11"/>
      <c r="C2564" s="11"/>
    </row>
    <row r="2565" spans="1:3" x14ac:dyDescent="0.25">
      <c r="A2565" s="20"/>
      <c r="B2565" s="11"/>
      <c r="C2565" s="11"/>
    </row>
    <row r="2566" spans="1:3" x14ac:dyDescent="0.25">
      <c r="A2566" s="20"/>
      <c r="B2566" s="11"/>
      <c r="C2566" s="11"/>
    </row>
    <row r="2567" spans="1:3" x14ac:dyDescent="0.25">
      <c r="A2567" s="20"/>
      <c r="B2567" s="11"/>
      <c r="C2567" s="11"/>
    </row>
    <row r="2568" spans="1:3" x14ac:dyDescent="0.25">
      <c r="A2568" s="20"/>
      <c r="B2568" s="11"/>
      <c r="C2568" s="11"/>
    </row>
    <row r="2569" spans="1:3" x14ac:dyDescent="0.25">
      <c r="A2569" s="20"/>
      <c r="B2569" s="11"/>
      <c r="C2569" s="11"/>
    </row>
    <row r="2570" spans="1:3" x14ac:dyDescent="0.25">
      <c r="A2570" s="20"/>
      <c r="B2570" s="11"/>
      <c r="C2570" s="11"/>
    </row>
    <row r="2571" spans="1:3" x14ac:dyDescent="0.25">
      <c r="A2571" s="20"/>
      <c r="B2571" s="11"/>
      <c r="C2571" s="11"/>
    </row>
    <row r="2572" spans="1:3" x14ac:dyDescent="0.25">
      <c r="A2572" s="20"/>
      <c r="B2572" s="11"/>
      <c r="C2572" s="11"/>
    </row>
    <row r="2573" spans="1:3" x14ac:dyDescent="0.25">
      <c r="A2573" s="20"/>
      <c r="B2573" s="11"/>
      <c r="C2573" s="11"/>
    </row>
    <row r="2574" spans="1:3" x14ac:dyDescent="0.25">
      <c r="A2574" s="20"/>
      <c r="B2574" s="11"/>
      <c r="C2574" s="11"/>
    </row>
    <row r="2575" spans="1:3" x14ac:dyDescent="0.25">
      <c r="A2575" s="20"/>
      <c r="B2575" s="11"/>
      <c r="C2575" s="11"/>
    </row>
    <row r="2576" spans="1:3" x14ac:dyDescent="0.25">
      <c r="A2576" s="20"/>
      <c r="B2576" s="11"/>
      <c r="C2576" s="11"/>
    </row>
    <row r="2577" spans="1:3" x14ac:dyDescent="0.25">
      <c r="A2577" s="20"/>
      <c r="B2577" s="11"/>
      <c r="C2577" s="11"/>
    </row>
    <row r="2578" spans="1:3" x14ac:dyDescent="0.25">
      <c r="A2578" s="20"/>
      <c r="B2578" s="11"/>
      <c r="C2578" s="11"/>
    </row>
    <row r="2579" spans="1:3" x14ac:dyDescent="0.25">
      <c r="A2579" s="20"/>
      <c r="B2579" s="11"/>
      <c r="C2579" s="11"/>
    </row>
    <row r="2580" spans="1:3" x14ac:dyDescent="0.25">
      <c r="A2580" s="20"/>
      <c r="B2580" s="11"/>
      <c r="C2580" s="11"/>
    </row>
    <row r="2581" spans="1:3" x14ac:dyDescent="0.25">
      <c r="A2581" s="20"/>
      <c r="B2581" s="11"/>
      <c r="C2581" s="11"/>
    </row>
    <row r="2582" spans="1:3" x14ac:dyDescent="0.25">
      <c r="A2582" s="20"/>
      <c r="B2582" s="11"/>
      <c r="C2582" s="11"/>
    </row>
    <row r="2583" spans="1:3" x14ac:dyDescent="0.25">
      <c r="A2583" s="20"/>
      <c r="B2583" s="11"/>
      <c r="C2583" s="11"/>
    </row>
    <row r="2584" spans="1:3" x14ac:dyDescent="0.25">
      <c r="A2584" s="20"/>
      <c r="B2584" s="11"/>
      <c r="C2584" s="11"/>
    </row>
    <row r="2585" spans="1:3" x14ac:dyDescent="0.25">
      <c r="A2585" s="20"/>
      <c r="B2585" s="11"/>
      <c r="C2585" s="11"/>
    </row>
    <row r="2586" spans="1:3" x14ac:dyDescent="0.25">
      <c r="A2586" s="20"/>
      <c r="B2586" s="11"/>
      <c r="C2586" s="11"/>
    </row>
    <row r="2587" spans="1:3" x14ac:dyDescent="0.25">
      <c r="A2587" s="20"/>
      <c r="B2587" s="11"/>
      <c r="C2587" s="11"/>
    </row>
    <row r="2588" spans="1:3" x14ac:dyDescent="0.25">
      <c r="A2588" s="20"/>
      <c r="B2588" s="11"/>
      <c r="C2588" s="11"/>
    </row>
    <row r="2589" spans="1:3" x14ac:dyDescent="0.25">
      <c r="A2589" s="20"/>
      <c r="B2589" s="11"/>
      <c r="C2589" s="11"/>
    </row>
    <row r="2590" spans="1:3" x14ac:dyDescent="0.25">
      <c r="A2590" s="20"/>
      <c r="B2590" s="11"/>
      <c r="C2590" s="11"/>
    </row>
    <row r="2591" spans="1:3" x14ac:dyDescent="0.25">
      <c r="A2591" s="20"/>
      <c r="B2591" s="11"/>
      <c r="C2591" s="11"/>
    </row>
    <row r="2592" spans="1:3" x14ac:dyDescent="0.25">
      <c r="A2592" s="20"/>
      <c r="B2592" s="11"/>
      <c r="C2592" s="11"/>
    </row>
    <row r="2593" spans="1:3" x14ac:dyDescent="0.25">
      <c r="A2593" s="20"/>
      <c r="B2593" s="11"/>
      <c r="C2593" s="11"/>
    </row>
    <row r="2594" spans="1:3" x14ac:dyDescent="0.25">
      <c r="A2594" s="20"/>
      <c r="B2594" s="11"/>
      <c r="C2594" s="11"/>
    </row>
    <row r="2595" spans="1:3" x14ac:dyDescent="0.25">
      <c r="A2595" s="20"/>
      <c r="B2595" s="11"/>
      <c r="C2595" s="11"/>
    </row>
    <row r="2596" spans="1:3" x14ac:dyDescent="0.25">
      <c r="A2596" s="20"/>
      <c r="B2596" s="11"/>
      <c r="C2596" s="11"/>
    </row>
    <row r="2597" spans="1:3" x14ac:dyDescent="0.25">
      <c r="A2597" s="20"/>
      <c r="B2597" s="11"/>
      <c r="C2597" s="11"/>
    </row>
    <row r="2598" spans="1:3" x14ac:dyDescent="0.25">
      <c r="A2598" s="20"/>
      <c r="B2598" s="11"/>
      <c r="C2598" s="11"/>
    </row>
    <row r="2599" spans="1:3" x14ac:dyDescent="0.25">
      <c r="A2599" s="20"/>
      <c r="B2599" s="11"/>
      <c r="C2599" s="11"/>
    </row>
    <row r="2600" spans="1:3" x14ac:dyDescent="0.25">
      <c r="A2600" s="20"/>
      <c r="B2600" s="11"/>
      <c r="C2600" s="11"/>
    </row>
    <row r="2601" spans="1:3" x14ac:dyDescent="0.25">
      <c r="A2601" s="20"/>
      <c r="B2601" s="11"/>
      <c r="C2601" s="11"/>
    </row>
    <row r="2602" spans="1:3" x14ac:dyDescent="0.25">
      <c r="A2602" s="20"/>
      <c r="B2602" s="11"/>
      <c r="C2602" s="11"/>
    </row>
    <row r="2603" spans="1:3" x14ac:dyDescent="0.25">
      <c r="A2603" s="20"/>
      <c r="B2603" s="11"/>
      <c r="C2603" s="11"/>
    </row>
    <row r="2604" spans="1:3" x14ac:dyDescent="0.25">
      <c r="A2604" s="20"/>
      <c r="B2604" s="11"/>
      <c r="C2604" s="11"/>
    </row>
    <row r="2605" spans="1:3" x14ac:dyDescent="0.25">
      <c r="A2605" s="20"/>
      <c r="B2605" s="11"/>
      <c r="C2605" s="11"/>
    </row>
    <row r="2606" spans="1:3" x14ac:dyDescent="0.25">
      <c r="A2606" s="20"/>
      <c r="B2606" s="11"/>
      <c r="C2606" s="11"/>
    </row>
    <row r="2607" spans="1:3" x14ac:dyDescent="0.25">
      <c r="A2607" s="20"/>
      <c r="B2607" s="11"/>
      <c r="C2607" s="11"/>
    </row>
    <row r="2608" spans="1:3" x14ac:dyDescent="0.25">
      <c r="A2608" s="20"/>
      <c r="B2608" s="11"/>
      <c r="C2608" s="11"/>
    </row>
    <row r="2609" spans="1:3" x14ac:dyDescent="0.25">
      <c r="A2609" s="20"/>
      <c r="B2609" s="11"/>
      <c r="C2609" s="11"/>
    </row>
    <row r="2610" spans="1:3" x14ac:dyDescent="0.25">
      <c r="A2610" s="20"/>
      <c r="B2610" s="11"/>
      <c r="C2610" s="11"/>
    </row>
    <row r="2611" spans="1:3" x14ac:dyDescent="0.25">
      <c r="A2611" s="20"/>
      <c r="B2611" s="11"/>
      <c r="C2611" s="11"/>
    </row>
    <row r="2612" spans="1:3" x14ac:dyDescent="0.25">
      <c r="A2612" s="20"/>
      <c r="B2612" s="11"/>
      <c r="C2612" s="11"/>
    </row>
    <row r="2613" spans="1:3" x14ac:dyDescent="0.25">
      <c r="A2613" s="20"/>
      <c r="B2613" s="11"/>
      <c r="C2613" s="11"/>
    </row>
    <row r="2614" spans="1:3" x14ac:dyDescent="0.25">
      <c r="A2614" s="20"/>
      <c r="B2614" s="11"/>
      <c r="C2614" s="11"/>
    </row>
    <row r="2615" spans="1:3" x14ac:dyDescent="0.25">
      <c r="A2615" s="20"/>
      <c r="B2615" s="11"/>
      <c r="C2615" s="11"/>
    </row>
    <row r="2616" spans="1:3" x14ac:dyDescent="0.25">
      <c r="A2616" s="20"/>
      <c r="B2616" s="11"/>
      <c r="C2616" s="11"/>
    </row>
    <row r="2617" spans="1:3" x14ac:dyDescent="0.25">
      <c r="A2617" s="20"/>
      <c r="B2617" s="11"/>
      <c r="C2617" s="11"/>
    </row>
    <row r="2618" spans="1:3" x14ac:dyDescent="0.25">
      <c r="A2618" s="20"/>
      <c r="B2618" s="11"/>
      <c r="C2618" s="11"/>
    </row>
    <row r="2619" spans="1:3" x14ac:dyDescent="0.25">
      <c r="A2619" s="20"/>
      <c r="B2619" s="11"/>
      <c r="C2619" s="11"/>
    </row>
    <row r="2620" spans="1:3" x14ac:dyDescent="0.25">
      <c r="A2620" s="20"/>
      <c r="B2620" s="11"/>
      <c r="C2620" s="11"/>
    </row>
    <row r="2621" spans="1:3" x14ac:dyDescent="0.25">
      <c r="A2621" s="20"/>
      <c r="B2621" s="11"/>
      <c r="C2621" s="11"/>
    </row>
    <row r="2622" spans="1:3" x14ac:dyDescent="0.25">
      <c r="A2622" s="20"/>
      <c r="B2622" s="11"/>
      <c r="C2622" s="11"/>
    </row>
    <row r="2623" spans="1:3" x14ac:dyDescent="0.25">
      <c r="A2623" s="20"/>
      <c r="B2623" s="11"/>
      <c r="C2623" s="11"/>
    </row>
    <row r="2624" spans="1:3" x14ac:dyDescent="0.25">
      <c r="A2624" s="20"/>
      <c r="B2624" s="11"/>
      <c r="C2624" s="11"/>
    </row>
    <row r="2625" spans="1:3" x14ac:dyDescent="0.25">
      <c r="A2625" s="20"/>
      <c r="B2625" s="11"/>
      <c r="C2625" s="11"/>
    </row>
    <row r="2626" spans="1:3" x14ac:dyDescent="0.25">
      <c r="A2626" s="20"/>
      <c r="B2626" s="11"/>
      <c r="C2626" s="11"/>
    </row>
    <row r="2627" spans="1:3" x14ac:dyDescent="0.25">
      <c r="A2627" s="20"/>
      <c r="B2627" s="11"/>
      <c r="C2627" s="11"/>
    </row>
    <row r="2628" spans="1:3" x14ac:dyDescent="0.25">
      <c r="A2628" s="20"/>
      <c r="B2628" s="11"/>
      <c r="C2628" s="11"/>
    </row>
    <row r="2629" spans="1:3" x14ac:dyDescent="0.25">
      <c r="A2629" s="20"/>
      <c r="B2629" s="11"/>
      <c r="C2629" s="11"/>
    </row>
    <row r="2630" spans="1:3" x14ac:dyDescent="0.25">
      <c r="A2630" s="20"/>
      <c r="B2630" s="11"/>
      <c r="C2630" s="11"/>
    </row>
    <row r="2631" spans="1:3" x14ac:dyDescent="0.25">
      <c r="A2631" s="20"/>
      <c r="B2631" s="11"/>
      <c r="C2631" s="11"/>
    </row>
    <row r="2632" spans="1:3" x14ac:dyDescent="0.25">
      <c r="A2632" s="20"/>
      <c r="B2632" s="11"/>
      <c r="C2632" s="11"/>
    </row>
    <row r="2633" spans="1:3" x14ac:dyDescent="0.25">
      <c r="A2633" s="20"/>
      <c r="B2633" s="11"/>
      <c r="C2633" s="11"/>
    </row>
    <row r="2634" spans="1:3" x14ac:dyDescent="0.25">
      <c r="A2634" s="20"/>
      <c r="B2634" s="11"/>
      <c r="C2634" s="11"/>
    </row>
    <row r="2635" spans="1:3" x14ac:dyDescent="0.25">
      <c r="A2635" s="20"/>
      <c r="B2635" s="11"/>
      <c r="C2635" s="11"/>
    </row>
    <row r="2636" spans="1:3" x14ac:dyDescent="0.25">
      <c r="A2636" s="20"/>
      <c r="B2636" s="11"/>
      <c r="C2636" s="11"/>
    </row>
    <row r="2637" spans="1:3" x14ac:dyDescent="0.25">
      <c r="A2637" s="20"/>
      <c r="B2637" s="11"/>
      <c r="C2637" s="11"/>
    </row>
    <row r="2638" spans="1:3" x14ac:dyDescent="0.25">
      <c r="A2638" s="20"/>
      <c r="B2638" s="11"/>
      <c r="C2638" s="11"/>
    </row>
    <row r="2639" spans="1:3" x14ac:dyDescent="0.25">
      <c r="A2639" s="20"/>
      <c r="B2639" s="11"/>
      <c r="C2639" s="11"/>
    </row>
    <row r="2640" spans="1:3" x14ac:dyDescent="0.25">
      <c r="A2640" s="20"/>
      <c r="B2640" s="11"/>
      <c r="C2640" s="11"/>
    </row>
    <row r="2641" spans="1:3" x14ac:dyDescent="0.25">
      <c r="A2641" s="20"/>
      <c r="B2641" s="11"/>
      <c r="C2641" s="11"/>
    </row>
    <row r="2642" spans="1:3" x14ac:dyDescent="0.25">
      <c r="A2642" s="20"/>
      <c r="B2642" s="11"/>
      <c r="C2642" s="11"/>
    </row>
    <row r="2643" spans="1:3" x14ac:dyDescent="0.25">
      <c r="A2643" s="20"/>
      <c r="B2643" s="11"/>
      <c r="C2643" s="11"/>
    </row>
    <row r="2644" spans="1:3" x14ac:dyDescent="0.25">
      <c r="A2644" s="20"/>
      <c r="B2644" s="11"/>
      <c r="C2644" s="11"/>
    </row>
    <row r="2645" spans="1:3" x14ac:dyDescent="0.25">
      <c r="A2645" s="20"/>
      <c r="B2645" s="11"/>
      <c r="C2645" s="11"/>
    </row>
    <row r="2646" spans="1:3" x14ac:dyDescent="0.25">
      <c r="A2646" s="20"/>
      <c r="B2646" s="11"/>
      <c r="C2646" s="11"/>
    </row>
    <row r="2647" spans="1:3" x14ac:dyDescent="0.25">
      <c r="A2647" s="20"/>
      <c r="B2647" s="11"/>
      <c r="C2647" s="11"/>
    </row>
    <row r="2648" spans="1:3" x14ac:dyDescent="0.25">
      <c r="A2648" s="20"/>
      <c r="B2648" s="11"/>
      <c r="C2648" s="11"/>
    </row>
    <row r="2649" spans="1:3" x14ac:dyDescent="0.25">
      <c r="A2649" s="20"/>
      <c r="B2649" s="11"/>
      <c r="C2649" s="11"/>
    </row>
    <row r="2650" spans="1:3" x14ac:dyDescent="0.25">
      <c r="A2650" s="20"/>
      <c r="B2650" s="11"/>
      <c r="C2650" s="11"/>
    </row>
    <row r="2651" spans="1:3" x14ac:dyDescent="0.25">
      <c r="A2651" s="20"/>
      <c r="B2651" s="11"/>
      <c r="C2651" s="11"/>
    </row>
    <row r="2652" spans="1:3" x14ac:dyDescent="0.25">
      <c r="A2652" s="20"/>
      <c r="B2652" s="11"/>
      <c r="C2652" s="11"/>
    </row>
    <row r="2653" spans="1:3" x14ac:dyDescent="0.25">
      <c r="A2653" s="20"/>
      <c r="B2653" s="11"/>
      <c r="C2653" s="11"/>
    </row>
    <row r="2654" spans="1:3" x14ac:dyDescent="0.25">
      <c r="A2654" s="20"/>
      <c r="B2654" s="11"/>
      <c r="C2654" s="11"/>
    </row>
    <row r="2655" spans="1:3" x14ac:dyDescent="0.25">
      <c r="A2655" s="20"/>
      <c r="B2655" s="11"/>
      <c r="C2655" s="11"/>
    </row>
    <row r="2656" spans="1:3" x14ac:dyDescent="0.25">
      <c r="A2656" s="20"/>
      <c r="B2656" s="11"/>
      <c r="C2656" s="11"/>
    </row>
    <row r="2657" spans="1:3" x14ac:dyDescent="0.25">
      <c r="A2657" s="20"/>
      <c r="B2657" s="11"/>
      <c r="C2657" s="11"/>
    </row>
    <row r="2658" spans="1:3" x14ac:dyDescent="0.25">
      <c r="A2658" s="20"/>
      <c r="B2658" s="11"/>
      <c r="C2658" s="11"/>
    </row>
    <row r="2659" spans="1:3" x14ac:dyDescent="0.25">
      <c r="A2659" s="20"/>
      <c r="B2659" s="11"/>
      <c r="C2659" s="11"/>
    </row>
    <row r="2660" spans="1:3" x14ac:dyDescent="0.25">
      <c r="A2660" s="20"/>
      <c r="B2660" s="11"/>
      <c r="C2660" s="11"/>
    </row>
    <row r="2661" spans="1:3" x14ac:dyDescent="0.25">
      <c r="A2661" s="20"/>
      <c r="B2661" s="11"/>
      <c r="C2661" s="11"/>
    </row>
    <row r="2662" spans="1:3" x14ac:dyDescent="0.25">
      <c r="A2662" s="20"/>
      <c r="B2662" s="11"/>
      <c r="C2662" s="11"/>
    </row>
    <row r="2663" spans="1:3" x14ac:dyDescent="0.25">
      <c r="A2663" s="20"/>
      <c r="B2663" s="11"/>
      <c r="C2663" s="11"/>
    </row>
    <row r="2664" spans="1:3" x14ac:dyDescent="0.25">
      <c r="A2664" s="20"/>
      <c r="B2664" s="11"/>
      <c r="C2664" s="11"/>
    </row>
    <row r="2665" spans="1:3" x14ac:dyDescent="0.25">
      <c r="A2665" s="20"/>
      <c r="B2665" s="11"/>
      <c r="C2665" s="11"/>
    </row>
    <row r="2666" spans="1:3" x14ac:dyDescent="0.25">
      <c r="A2666" s="20"/>
      <c r="B2666" s="11"/>
      <c r="C2666" s="11"/>
    </row>
    <row r="2667" spans="1:3" x14ac:dyDescent="0.25">
      <c r="A2667" s="20"/>
      <c r="B2667" s="11"/>
      <c r="C2667" s="11"/>
    </row>
    <row r="2668" spans="1:3" x14ac:dyDescent="0.25">
      <c r="A2668" s="20"/>
      <c r="B2668" s="11"/>
      <c r="C2668" s="11"/>
    </row>
    <row r="2669" spans="1:3" x14ac:dyDescent="0.25">
      <c r="A2669" s="20"/>
      <c r="B2669" s="11"/>
      <c r="C2669" s="11"/>
    </row>
    <row r="2670" spans="1:3" x14ac:dyDescent="0.25">
      <c r="A2670" s="20"/>
      <c r="B2670" s="11"/>
      <c r="C2670" s="11"/>
    </row>
    <row r="2671" spans="1:3" x14ac:dyDescent="0.25">
      <c r="A2671" s="20"/>
      <c r="B2671" s="11"/>
      <c r="C2671" s="11"/>
    </row>
    <row r="2672" spans="1:3" x14ac:dyDescent="0.25">
      <c r="A2672" s="20"/>
      <c r="B2672" s="11"/>
      <c r="C2672" s="11"/>
    </row>
    <row r="2673" spans="1:3" x14ac:dyDescent="0.25">
      <c r="A2673" s="20"/>
      <c r="B2673" s="11"/>
      <c r="C2673" s="11"/>
    </row>
    <row r="2674" spans="1:3" x14ac:dyDescent="0.25">
      <c r="A2674" s="20"/>
      <c r="B2674" s="11"/>
      <c r="C2674" s="11"/>
    </row>
    <row r="2675" spans="1:3" x14ac:dyDescent="0.25">
      <c r="A2675" s="20"/>
      <c r="B2675" s="11"/>
      <c r="C2675" s="11"/>
    </row>
    <row r="2676" spans="1:3" x14ac:dyDescent="0.25">
      <c r="A2676" s="20"/>
      <c r="B2676" s="11"/>
      <c r="C2676" s="11"/>
    </row>
    <row r="2677" spans="1:3" x14ac:dyDescent="0.25">
      <c r="A2677" s="20"/>
      <c r="B2677" s="11"/>
      <c r="C2677" s="11"/>
    </row>
    <row r="2678" spans="1:3" x14ac:dyDescent="0.25">
      <c r="A2678" s="20"/>
      <c r="B2678" s="11"/>
      <c r="C2678" s="11"/>
    </row>
    <row r="2679" spans="1:3" x14ac:dyDescent="0.25">
      <c r="A2679" s="20"/>
      <c r="B2679" s="11"/>
      <c r="C2679" s="11"/>
    </row>
    <row r="2680" spans="1:3" x14ac:dyDescent="0.25">
      <c r="A2680" s="20"/>
      <c r="B2680" s="11"/>
      <c r="C2680" s="11"/>
    </row>
    <row r="2681" spans="1:3" x14ac:dyDescent="0.25">
      <c r="A2681" s="20"/>
      <c r="B2681" s="11"/>
      <c r="C2681" s="11"/>
    </row>
    <row r="2682" spans="1:3" x14ac:dyDescent="0.25">
      <c r="A2682" s="20"/>
      <c r="B2682" s="11"/>
      <c r="C2682" s="11"/>
    </row>
    <row r="2683" spans="1:3" x14ac:dyDescent="0.25">
      <c r="A2683" s="20"/>
      <c r="B2683" s="11"/>
      <c r="C2683" s="11"/>
    </row>
    <row r="2684" spans="1:3" x14ac:dyDescent="0.25">
      <c r="A2684" s="20"/>
      <c r="B2684" s="11"/>
      <c r="C2684" s="11"/>
    </row>
    <row r="2685" spans="1:3" x14ac:dyDescent="0.25">
      <c r="A2685" s="20"/>
      <c r="B2685" s="11"/>
      <c r="C2685" s="11"/>
    </row>
    <row r="2686" spans="1:3" x14ac:dyDescent="0.25">
      <c r="A2686" s="20"/>
      <c r="B2686" s="11"/>
      <c r="C2686" s="11"/>
    </row>
    <row r="2687" spans="1:3" x14ac:dyDescent="0.25">
      <c r="A2687" s="20"/>
      <c r="B2687" s="11"/>
      <c r="C2687" s="11"/>
    </row>
    <row r="2688" spans="1:3" x14ac:dyDescent="0.25">
      <c r="A2688" s="20"/>
      <c r="B2688" s="11"/>
      <c r="C2688" s="11"/>
    </row>
    <row r="2689" spans="1:3" x14ac:dyDescent="0.25">
      <c r="A2689" s="20"/>
      <c r="B2689" s="11"/>
      <c r="C2689" s="11"/>
    </row>
    <row r="2690" spans="1:3" x14ac:dyDescent="0.25">
      <c r="A2690" s="20"/>
      <c r="B2690" s="11"/>
      <c r="C2690" s="11"/>
    </row>
    <row r="2691" spans="1:3" x14ac:dyDescent="0.25">
      <c r="A2691" s="20"/>
      <c r="B2691" s="11"/>
      <c r="C2691" s="11"/>
    </row>
    <row r="2692" spans="1:3" x14ac:dyDescent="0.25">
      <c r="A2692" s="20"/>
      <c r="B2692" s="11"/>
      <c r="C2692" s="11"/>
    </row>
    <row r="2693" spans="1:3" x14ac:dyDescent="0.25">
      <c r="A2693" s="20"/>
      <c r="B2693" s="11"/>
      <c r="C2693" s="11"/>
    </row>
    <row r="2694" spans="1:3" x14ac:dyDescent="0.25">
      <c r="A2694" s="20"/>
      <c r="B2694" s="11"/>
      <c r="C2694" s="11"/>
    </row>
    <row r="2695" spans="1:3" x14ac:dyDescent="0.25">
      <c r="A2695" s="20"/>
      <c r="B2695" s="11"/>
      <c r="C2695" s="11"/>
    </row>
    <row r="2696" spans="1:3" x14ac:dyDescent="0.25">
      <c r="A2696" s="20"/>
      <c r="B2696" s="11"/>
      <c r="C2696" s="11"/>
    </row>
    <row r="2697" spans="1:3" x14ac:dyDescent="0.25">
      <c r="A2697" s="20"/>
      <c r="B2697" s="11"/>
      <c r="C2697" s="11"/>
    </row>
    <row r="2698" spans="1:3" x14ac:dyDescent="0.25">
      <c r="A2698" s="20"/>
      <c r="B2698" s="11"/>
      <c r="C2698" s="11"/>
    </row>
    <row r="2699" spans="1:3" x14ac:dyDescent="0.25">
      <c r="A2699" s="20"/>
      <c r="B2699" s="11"/>
      <c r="C2699" s="11"/>
    </row>
    <row r="2700" spans="1:3" x14ac:dyDescent="0.25">
      <c r="A2700" s="20"/>
      <c r="B2700" s="11"/>
      <c r="C2700" s="11"/>
    </row>
    <row r="2701" spans="1:3" x14ac:dyDescent="0.25">
      <c r="A2701" s="20"/>
      <c r="B2701" s="11"/>
      <c r="C2701" s="11"/>
    </row>
    <row r="2702" spans="1:3" x14ac:dyDescent="0.25">
      <c r="A2702" s="20"/>
      <c r="B2702" s="11"/>
      <c r="C2702" s="11"/>
    </row>
    <row r="2703" spans="1:3" x14ac:dyDescent="0.25">
      <c r="A2703" s="20"/>
      <c r="B2703" s="11"/>
      <c r="C2703" s="11"/>
    </row>
    <row r="2704" spans="1:3" x14ac:dyDescent="0.25">
      <c r="A2704" s="20"/>
      <c r="B2704" s="11"/>
      <c r="C2704" s="11"/>
    </row>
    <row r="2705" spans="1:3" x14ac:dyDescent="0.25">
      <c r="A2705" s="20"/>
      <c r="B2705" s="11"/>
      <c r="C2705" s="11"/>
    </row>
    <row r="2706" spans="1:3" x14ac:dyDescent="0.25">
      <c r="A2706" s="20"/>
      <c r="B2706" s="11"/>
      <c r="C2706" s="11"/>
    </row>
    <row r="2707" spans="1:3" x14ac:dyDescent="0.25">
      <c r="A2707" s="20"/>
      <c r="B2707" s="11"/>
      <c r="C2707" s="11"/>
    </row>
    <row r="2708" spans="1:3" x14ac:dyDescent="0.25">
      <c r="A2708" s="20"/>
      <c r="B2708" s="11"/>
      <c r="C2708" s="11"/>
    </row>
    <row r="2709" spans="1:3" x14ac:dyDescent="0.25">
      <c r="A2709" s="20"/>
      <c r="B2709" s="11"/>
      <c r="C2709" s="11"/>
    </row>
    <row r="2710" spans="1:3" x14ac:dyDescent="0.25">
      <c r="A2710" s="20"/>
      <c r="B2710" s="11"/>
      <c r="C2710" s="11"/>
    </row>
    <row r="2711" spans="1:3" x14ac:dyDescent="0.25">
      <c r="A2711" s="20"/>
      <c r="B2711" s="11"/>
      <c r="C2711" s="11"/>
    </row>
    <row r="2712" spans="1:3" x14ac:dyDescent="0.25">
      <c r="A2712" s="20"/>
      <c r="B2712" s="11"/>
      <c r="C2712" s="11"/>
    </row>
    <row r="2713" spans="1:3" x14ac:dyDescent="0.25">
      <c r="A2713" s="20"/>
      <c r="B2713" s="11"/>
      <c r="C2713" s="11"/>
    </row>
    <row r="2714" spans="1:3" x14ac:dyDescent="0.25">
      <c r="A2714" s="20"/>
      <c r="B2714" s="11"/>
      <c r="C2714" s="11"/>
    </row>
    <row r="2715" spans="1:3" x14ac:dyDescent="0.25">
      <c r="A2715" s="20"/>
      <c r="B2715" s="11"/>
      <c r="C2715" s="11"/>
    </row>
    <row r="2716" spans="1:3" x14ac:dyDescent="0.25">
      <c r="A2716" s="20"/>
      <c r="B2716" s="11"/>
      <c r="C2716" s="11"/>
    </row>
    <row r="2717" spans="1:3" x14ac:dyDescent="0.25">
      <c r="A2717" s="20"/>
      <c r="B2717" s="11"/>
      <c r="C2717" s="11"/>
    </row>
    <row r="2718" spans="1:3" x14ac:dyDescent="0.25">
      <c r="A2718" s="20"/>
      <c r="B2718" s="11"/>
      <c r="C2718" s="11"/>
    </row>
    <row r="2719" spans="1:3" x14ac:dyDescent="0.25">
      <c r="A2719" s="20"/>
      <c r="B2719" s="11"/>
      <c r="C2719" s="11"/>
    </row>
    <row r="2720" spans="1:3" x14ac:dyDescent="0.25">
      <c r="A2720" s="20"/>
      <c r="B2720" s="11"/>
      <c r="C2720" s="11"/>
    </row>
    <row r="2721" spans="1:3" x14ac:dyDescent="0.25">
      <c r="A2721" s="20"/>
      <c r="B2721" s="11"/>
      <c r="C2721" s="11"/>
    </row>
    <row r="2722" spans="1:3" x14ac:dyDescent="0.25">
      <c r="A2722" s="20"/>
      <c r="B2722" s="11"/>
      <c r="C2722" s="11"/>
    </row>
    <row r="2723" spans="1:3" x14ac:dyDescent="0.25">
      <c r="A2723" s="20"/>
      <c r="B2723" s="11"/>
      <c r="C2723" s="11"/>
    </row>
    <row r="2724" spans="1:3" x14ac:dyDescent="0.25">
      <c r="A2724" s="20"/>
      <c r="B2724" s="11"/>
      <c r="C2724" s="11"/>
    </row>
    <row r="2725" spans="1:3" x14ac:dyDescent="0.25">
      <c r="A2725" s="20"/>
      <c r="B2725" s="11"/>
      <c r="C2725" s="11"/>
    </row>
    <row r="2726" spans="1:3" x14ac:dyDescent="0.25">
      <c r="A2726" s="20"/>
      <c r="B2726" s="11"/>
      <c r="C2726" s="11"/>
    </row>
    <row r="2727" spans="1:3" x14ac:dyDescent="0.25">
      <c r="A2727" s="20"/>
      <c r="B2727" s="11"/>
      <c r="C2727" s="11"/>
    </row>
    <row r="2728" spans="1:3" x14ac:dyDescent="0.25">
      <c r="A2728" s="20"/>
      <c r="B2728" s="11"/>
      <c r="C2728" s="11"/>
    </row>
    <row r="2729" spans="1:3" x14ac:dyDescent="0.25">
      <c r="A2729" s="20"/>
      <c r="B2729" s="11"/>
      <c r="C2729" s="11"/>
    </row>
    <row r="2730" spans="1:3" x14ac:dyDescent="0.25">
      <c r="A2730" s="20"/>
      <c r="B2730" s="11"/>
      <c r="C2730" s="11"/>
    </row>
    <row r="2731" spans="1:3" x14ac:dyDescent="0.25">
      <c r="A2731" s="20"/>
      <c r="B2731" s="11"/>
      <c r="C2731" s="11"/>
    </row>
    <row r="2732" spans="1:3" x14ac:dyDescent="0.25">
      <c r="A2732" s="20"/>
      <c r="B2732" s="11"/>
      <c r="C2732" s="11"/>
    </row>
    <row r="2733" spans="1:3" x14ac:dyDescent="0.25">
      <c r="A2733" s="20"/>
      <c r="B2733" s="11"/>
      <c r="C2733" s="11"/>
    </row>
    <row r="2734" spans="1:3" x14ac:dyDescent="0.25">
      <c r="A2734" s="20"/>
      <c r="B2734" s="11"/>
      <c r="C2734" s="11"/>
    </row>
    <row r="2735" spans="1:3" x14ac:dyDescent="0.25">
      <c r="A2735" s="20"/>
      <c r="B2735" s="11"/>
      <c r="C2735" s="11"/>
    </row>
    <row r="2736" spans="1:3" x14ac:dyDescent="0.25">
      <c r="A2736" s="20"/>
      <c r="B2736" s="11"/>
      <c r="C2736" s="11"/>
    </row>
    <row r="2737" spans="1:3" x14ac:dyDescent="0.25">
      <c r="A2737" s="20"/>
      <c r="B2737" s="11"/>
      <c r="C2737" s="11"/>
    </row>
    <row r="2738" spans="1:3" x14ac:dyDescent="0.25">
      <c r="A2738" s="20"/>
      <c r="B2738" s="11"/>
      <c r="C2738" s="11"/>
    </row>
    <row r="2739" spans="1:3" x14ac:dyDescent="0.25">
      <c r="A2739" s="20"/>
      <c r="B2739" s="11"/>
      <c r="C2739" s="11"/>
    </row>
    <row r="2740" spans="1:3" x14ac:dyDescent="0.25">
      <c r="A2740" s="20"/>
      <c r="B2740" s="11"/>
      <c r="C2740" s="11"/>
    </row>
    <row r="2741" spans="1:3" x14ac:dyDescent="0.25">
      <c r="A2741" s="20"/>
      <c r="B2741" s="11"/>
      <c r="C2741" s="11"/>
    </row>
    <row r="2742" spans="1:3" x14ac:dyDescent="0.25">
      <c r="A2742" s="20"/>
      <c r="B2742" s="11"/>
      <c r="C2742" s="11"/>
    </row>
    <row r="2743" spans="1:3" x14ac:dyDescent="0.25">
      <c r="A2743" s="20"/>
      <c r="B2743" s="11"/>
      <c r="C2743" s="11"/>
    </row>
    <row r="2744" spans="1:3" x14ac:dyDescent="0.25">
      <c r="A2744" s="20"/>
      <c r="B2744" s="11"/>
      <c r="C2744" s="11"/>
    </row>
    <row r="2745" spans="1:3" x14ac:dyDescent="0.25">
      <c r="A2745" s="20"/>
      <c r="B2745" s="11"/>
      <c r="C2745" s="11"/>
    </row>
    <row r="2746" spans="1:3" x14ac:dyDescent="0.25">
      <c r="A2746" s="20"/>
      <c r="B2746" s="11"/>
      <c r="C2746" s="11"/>
    </row>
    <row r="2747" spans="1:3" x14ac:dyDescent="0.25">
      <c r="A2747" s="20"/>
      <c r="B2747" s="11"/>
      <c r="C2747" s="11"/>
    </row>
    <row r="2748" spans="1:3" x14ac:dyDescent="0.25">
      <c r="A2748" s="20"/>
      <c r="B2748" s="11"/>
      <c r="C2748" s="11"/>
    </row>
    <row r="2749" spans="1:3" x14ac:dyDescent="0.25">
      <c r="A2749" s="20"/>
      <c r="B2749" s="11"/>
      <c r="C2749" s="11"/>
    </row>
    <row r="2750" spans="1:3" x14ac:dyDescent="0.25">
      <c r="A2750" s="20"/>
      <c r="B2750" s="11"/>
      <c r="C2750" s="11"/>
    </row>
    <row r="2751" spans="1:3" x14ac:dyDescent="0.25">
      <c r="A2751" s="20"/>
      <c r="B2751" s="11"/>
      <c r="C2751" s="11"/>
    </row>
    <row r="2752" spans="1:3" x14ac:dyDescent="0.25">
      <c r="A2752" s="20"/>
      <c r="B2752" s="11"/>
      <c r="C2752" s="11"/>
    </row>
    <row r="2753" spans="1:3" x14ac:dyDescent="0.25">
      <c r="A2753" s="20"/>
      <c r="B2753" s="11"/>
      <c r="C2753" s="11"/>
    </row>
    <row r="2754" spans="1:3" x14ac:dyDescent="0.25">
      <c r="A2754" s="20"/>
      <c r="B2754" s="11"/>
      <c r="C2754" s="11"/>
    </row>
    <row r="2755" spans="1:3" x14ac:dyDescent="0.25">
      <c r="A2755" s="20"/>
      <c r="B2755" s="11"/>
      <c r="C2755" s="11"/>
    </row>
    <row r="2756" spans="1:3" x14ac:dyDescent="0.25">
      <c r="A2756" s="20"/>
      <c r="B2756" s="11"/>
      <c r="C2756" s="11"/>
    </row>
    <row r="2757" spans="1:3" x14ac:dyDescent="0.25">
      <c r="A2757" s="20"/>
      <c r="B2757" s="11"/>
      <c r="C2757" s="11"/>
    </row>
    <row r="2758" spans="1:3" x14ac:dyDescent="0.25">
      <c r="A2758" s="20"/>
      <c r="B2758" s="11"/>
      <c r="C2758" s="11"/>
    </row>
    <row r="2759" spans="1:3" x14ac:dyDescent="0.25">
      <c r="A2759" s="20"/>
      <c r="B2759" s="11"/>
      <c r="C2759" s="11"/>
    </row>
    <row r="2760" spans="1:3" x14ac:dyDescent="0.25">
      <c r="A2760" s="20"/>
      <c r="B2760" s="11"/>
      <c r="C2760" s="11"/>
    </row>
    <row r="2761" spans="1:3" x14ac:dyDescent="0.25">
      <c r="A2761" s="20"/>
      <c r="B2761" s="11"/>
      <c r="C2761" s="11"/>
    </row>
    <row r="2762" spans="1:3" x14ac:dyDescent="0.25">
      <c r="A2762" s="20"/>
      <c r="B2762" s="11"/>
      <c r="C2762" s="11"/>
    </row>
    <row r="2763" spans="1:3" x14ac:dyDescent="0.25">
      <c r="A2763" s="20"/>
      <c r="B2763" s="11"/>
      <c r="C2763" s="11"/>
    </row>
    <row r="2764" spans="1:3" x14ac:dyDescent="0.25">
      <c r="A2764" s="20"/>
      <c r="B2764" s="11"/>
      <c r="C2764" s="11"/>
    </row>
    <row r="2765" spans="1:3" x14ac:dyDescent="0.25">
      <c r="A2765" s="20"/>
      <c r="B2765" s="11"/>
      <c r="C2765" s="11"/>
    </row>
    <row r="2766" spans="1:3" x14ac:dyDescent="0.25">
      <c r="A2766" s="20"/>
      <c r="B2766" s="11"/>
      <c r="C2766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046E-18A5-454C-8C40-2CD40A4CAA75}">
  <sheetPr>
    <tabColor theme="3" tint="0.249977111117893"/>
  </sheetPr>
  <dimension ref="A1:K3028"/>
  <sheetViews>
    <sheetView workbookViewId="0">
      <selection activeCell="N20" sqref="N20"/>
    </sheetView>
  </sheetViews>
  <sheetFormatPr defaultRowHeight="15" x14ac:dyDescent="0.25"/>
  <cols>
    <col min="1" max="1" width="10.42578125" style="11" bestFit="1" customWidth="1"/>
    <col min="2" max="2" width="13.28515625" style="11" bestFit="1" customWidth="1"/>
    <col min="3" max="3" width="13.7109375" bestFit="1" customWidth="1"/>
    <col min="11" max="11" width="10.42578125" bestFit="1" customWidth="1"/>
    <col min="12" max="12" width="13.140625" bestFit="1" customWidth="1"/>
    <col min="13" max="13" width="16" customWidth="1"/>
  </cols>
  <sheetData>
    <row r="1" spans="1:7" x14ac:dyDescent="0.25">
      <c r="A1" s="10" t="s">
        <v>35</v>
      </c>
      <c r="B1" s="10" t="s">
        <v>45</v>
      </c>
      <c r="C1" s="10" t="s">
        <v>46</v>
      </c>
      <c r="D1" s="10" t="s">
        <v>51</v>
      </c>
      <c r="E1" s="10" t="s">
        <v>52</v>
      </c>
      <c r="F1" s="10" t="s">
        <v>53</v>
      </c>
      <c r="G1" s="10" t="s">
        <v>54</v>
      </c>
    </row>
    <row r="2" spans="1:7" x14ac:dyDescent="0.25">
      <c r="A2" s="12">
        <v>44536</v>
      </c>
      <c r="B2" s="13">
        <v>1213.96</v>
      </c>
      <c r="C2" s="13">
        <v>1167.7</v>
      </c>
      <c r="D2" s="5">
        <f>LN(B2)</f>
        <v>7.1016430221474556</v>
      </c>
      <c r="E2" s="5">
        <f>LN(C2)</f>
        <v>7.0627912810816689</v>
      </c>
      <c r="F2" s="5"/>
      <c r="G2" s="5"/>
    </row>
    <row r="3" spans="1:7" x14ac:dyDescent="0.25">
      <c r="A3" s="12">
        <v>44537</v>
      </c>
      <c r="B3" s="13">
        <v>1235.56</v>
      </c>
      <c r="C3" s="13">
        <v>1187.7</v>
      </c>
      <c r="D3" s="5">
        <f>LN(B3)</f>
        <v>7.1192795875841863</v>
      </c>
      <c r="E3" s="5">
        <f>LN(C3)</f>
        <v>7.0797739427801947</v>
      </c>
      <c r="F3" s="5">
        <f>D3-D2</f>
        <v>1.7636565436730756E-2</v>
      </c>
      <c r="G3" s="5">
        <f>E3-E2</f>
        <v>1.6982661698525803E-2</v>
      </c>
    </row>
    <row r="4" spans="1:7" x14ac:dyDescent="0.25">
      <c r="A4" s="12">
        <v>44538</v>
      </c>
      <c r="B4" s="13">
        <v>1241.01</v>
      </c>
      <c r="C4" s="13">
        <v>1194.3</v>
      </c>
      <c r="D4" s="5">
        <f t="shared" ref="D4:E67" si="0">LN(B4)</f>
        <v>7.1236808431898693</v>
      </c>
      <c r="E4" s="5">
        <f t="shared" si="0"/>
        <v>7.0853155186743813</v>
      </c>
      <c r="F4" s="5">
        <f t="shared" ref="F4:G67" si="1">D4-D3</f>
        <v>4.4012556056829411E-3</v>
      </c>
      <c r="G4" s="5">
        <f t="shared" si="1"/>
        <v>5.5415758941865789E-3</v>
      </c>
    </row>
    <row r="5" spans="1:7" x14ac:dyDescent="0.25">
      <c r="A5" s="12">
        <v>44539</v>
      </c>
      <c r="B5" s="13">
        <v>1247.71</v>
      </c>
      <c r="C5" s="13">
        <v>1186</v>
      </c>
      <c r="D5" s="5">
        <f t="shared" si="0"/>
        <v>7.1290651501319928</v>
      </c>
      <c r="E5" s="5">
        <f t="shared" si="0"/>
        <v>7.0783415795576712</v>
      </c>
      <c r="F5" s="5">
        <f t="shared" si="1"/>
        <v>5.3843069421235512E-3</v>
      </c>
      <c r="G5" s="5">
        <f t="shared" si="1"/>
        <v>-6.9739391167100706E-3</v>
      </c>
    </row>
    <row r="6" spans="1:7" x14ac:dyDescent="0.25">
      <c r="A6" s="12">
        <v>44540</v>
      </c>
      <c r="B6" s="13">
        <v>1238.54</v>
      </c>
      <c r="C6" s="13">
        <v>1186</v>
      </c>
      <c r="D6" s="5">
        <f t="shared" si="0"/>
        <v>7.1216885455415024</v>
      </c>
      <c r="E6" s="5">
        <f t="shared" si="0"/>
        <v>7.0783415795576712</v>
      </c>
      <c r="F6" s="5">
        <f t="shared" si="1"/>
        <v>-7.3766045904903876E-3</v>
      </c>
      <c r="G6" s="5">
        <f t="shared" si="1"/>
        <v>0</v>
      </c>
    </row>
    <row r="7" spans="1:7" x14ac:dyDescent="0.25">
      <c r="A7" s="12">
        <v>44543</v>
      </c>
      <c r="B7" s="13">
        <v>1230.6099999999999</v>
      </c>
      <c r="C7" s="13">
        <v>1164.4000000000001</v>
      </c>
      <c r="D7" s="5">
        <f t="shared" si="0"/>
        <v>7.1152652603907143</v>
      </c>
      <c r="E7" s="5">
        <f t="shared" si="0"/>
        <v>7.0599612118714683</v>
      </c>
      <c r="F7" s="5">
        <f t="shared" si="1"/>
        <v>-6.4232851507881605E-3</v>
      </c>
      <c r="G7" s="5">
        <f t="shared" si="1"/>
        <v>-1.8380367686202881E-2</v>
      </c>
    </row>
    <row r="8" spans="1:7" x14ac:dyDescent="0.25">
      <c r="A8" s="12">
        <v>44544</v>
      </c>
      <c r="B8" s="13">
        <v>1222.0999999999999</v>
      </c>
      <c r="C8" s="13">
        <v>1163.0999999999999</v>
      </c>
      <c r="D8" s="5">
        <f t="shared" si="0"/>
        <v>7.1083259694439551</v>
      </c>
      <c r="E8" s="5">
        <f t="shared" si="0"/>
        <v>7.0588441333449934</v>
      </c>
      <c r="F8" s="5">
        <f t="shared" si="1"/>
        <v>-6.9392909467591579E-3</v>
      </c>
      <c r="G8" s="5">
        <f t="shared" si="1"/>
        <v>-1.1170785264749128E-3</v>
      </c>
    </row>
    <row r="9" spans="1:7" x14ac:dyDescent="0.25">
      <c r="A9" s="12">
        <v>44545</v>
      </c>
      <c r="B9" s="13">
        <v>1214.5</v>
      </c>
      <c r="C9" s="13">
        <v>1160.2</v>
      </c>
      <c r="D9" s="5">
        <f t="shared" si="0"/>
        <v>7.1020877484422273</v>
      </c>
      <c r="E9" s="5">
        <f t="shared" si="0"/>
        <v>7.056347683031964</v>
      </c>
      <c r="F9" s="5">
        <f t="shared" si="1"/>
        <v>-6.2382210017277728E-3</v>
      </c>
      <c r="G9" s="5">
        <f t="shared" si="1"/>
        <v>-2.4964503130293636E-3</v>
      </c>
    </row>
    <row r="10" spans="1:7" x14ac:dyDescent="0.25">
      <c r="A10" s="12">
        <v>44546</v>
      </c>
      <c r="B10" s="13">
        <v>1223.8900000000001</v>
      </c>
      <c r="C10" s="13">
        <v>1158.5999999999999</v>
      </c>
      <c r="D10" s="5">
        <f t="shared" si="0"/>
        <v>7.1097895897527401</v>
      </c>
      <c r="E10" s="5">
        <f t="shared" si="0"/>
        <v>7.0549676586625241</v>
      </c>
      <c r="F10" s="5">
        <f t="shared" si="1"/>
        <v>7.7018413105127692E-3</v>
      </c>
      <c r="G10" s="5">
        <f t="shared" si="1"/>
        <v>-1.3800243694399583E-3</v>
      </c>
    </row>
    <row r="11" spans="1:7" x14ac:dyDescent="0.25">
      <c r="A11" s="12">
        <v>44547</v>
      </c>
      <c r="B11" s="13">
        <v>1216.3</v>
      </c>
      <c r="C11" s="13">
        <v>1151.5</v>
      </c>
      <c r="D11" s="5">
        <f t="shared" si="0"/>
        <v>7.1035687426243905</v>
      </c>
      <c r="E11" s="5">
        <f t="shared" si="0"/>
        <v>7.0488207192607399</v>
      </c>
      <c r="F11" s="5">
        <f t="shared" si="1"/>
        <v>-6.2208471283495825E-3</v>
      </c>
      <c r="G11" s="5">
        <f t="shared" si="1"/>
        <v>-6.1469394017841239E-3</v>
      </c>
    </row>
    <row r="12" spans="1:7" x14ac:dyDescent="0.25">
      <c r="A12" s="12">
        <v>44550</v>
      </c>
      <c r="B12" s="13">
        <v>1190.08</v>
      </c>
      <c r="C12" s="13">
        <v>1133.2</v>
      </c>
      <c r="D12" s="5">
        <f t="shared" si="0"/>
        <v>7.0817758107367048</v>
      </c>
      <c r="E12" s="5">
        <f t="shared" si="0"/>
        <v>7.0328007679563616</v>
      </c>
      <c r="F12" s="5">
        <f t="shared" si="1"/>
        <v>-2.1792931887685718E-2</v>
      </c>
      <c r="G12" s="5">
        <f t="shared" si="1"/>
        <v>-1.6019951304378388E-2</v>
      </c>
    </row>
    <row r="13" spans="1:7" x14ac:dyDescent="0.25">
      <c r="A13" s="12">
        <v>44551</v>
      </c>
      <c r="B13" s="13">
        <v>1203.6600000000001</v>
      </c>
      <c r="C13" s="13">
        <v>1157.4000000000001</v>
      </c>
      <c r="D13" s="5">
        <f t="shared" si="0"/>
        <v>7.0931221939620519</v>
      </c>
      <c r="E13" s="5">
        <f t="shared" si="0"/>
        <v>7.0539313891397386</v>
      </c>
      <c r="F13" s="5">
        <f t="shared" si="1"/>
        <v>1.134638322534709E-2</v>
      </c>
      <c r="G13" s="5">
        <f t="shared" si="1"/>
        <v>2.1130621183377052E-2</v>
      </c>
    </row>
    <row r="14" spans="1:7" x14ac:dyDescent="0.25">
      <c r="A14" s="12">
        <v>44552</v>
      </c>
      <c r="B14" s="13">
        <v>1209.8800000000001</v>
      </c>
      <c r="C14" s="13">
        <v>1163.7</v>
      </c>
      <c r="D14" s="5">
        <f t="shared" si="0"/>
        <v>7.0982764601190462</v>
      </c>
      <c r="E14" s="5">
        <f t="shared" si="0"/>
        <v>7.0593598631140315</v>
      </c>
      <c r="F14" s="5">
        <f t="shared" si="1"/>
        <v>5.1542661569943249E-3</v>
      </c>
      <c r="G14" s="5">
        <f t="shared" si="1"/>
        <v>5.4284739742929133E-3</v>
      </c>
    </row>
    <row r="15" spans="1:7" x14ac:dyDescent="0.25">
      <c r="A15" s="12">
        <v>44553</v>
      </c>
      <c r="B15" s="13">
        <v>1219.5899999999999</v>
      </c>
      <c r="C15" s="13">
        <v>1170.8</v>
      </c>
      <c r="D15" s="5">
        <f t="shared" si="0"/>
        <v>7.1062700156708418</v>
      </c>
      <c r="E15" s="5">
        <f t="shared" si="0"/>
        <v>7.0654425548177304</v>
      </c>
      <c r="F15" s="5">
        <f t="shared" si="1"/>
        <v>7.9935555517955947E-3</v>
      </c>
      <c r="G15" s="5">
        <f t="shared" si="1"/>
        <v>6.0826917036989059E-3</v>
      </c>
    </row>
    <row r="16" spans="1:7" x14ac:dyDescent="0.25">
      <c r="A16" s="12">
        <v>44554</v>
      </c>
      <c r="B16" s="13">
        <v>1220.55</v>
      </c>
      <c r="C16" s="17">
        <f>C15</f>
        <v>1170.8</v>
      </c>
      <c r="D16" s="5">
        <f t="shared" si="0"/>
        <v>7.1070568558107761</v>
      </c>
      <c r="E16" s="5">
        <f t="shared" si="0"/>
        <v>7.0654425548177304</v>
      </c>
      <c r="F16" s="5">
        <f t="shared" si="1"/>
        <v>7.8684013993424173E-4</v>
      </c>
      <c r="G16" s="5">
        <f t="shared" si="1"/>
        <v>0</v>
      </c>
    </row>
    <row r="17" spans="1:7" x14ac:dyDescent="0.25">
      <c r="A17" s="12">
        <v>44557</v>
      </c>
      <c r="B17" s="13">
        <v>1221.76</v>
      </c>
      <c r="C17" s="13">
        <v>1175.3</v>
      </c>
      <c r="D17" s="5">
        <f t="shared" si="0"/>
        <v>7.1080477210973285</v>
      </c>
      <c r="E17" s="5">
        <f t="shared" si="0"/>
        <v>7.0692787131388082</v>
      </c>
      <c r="F17" s="5">
        <f t="shared" si="1"/>
        <v>9.9086528655245587E-4</v>
      </c>
      <c r="G17" s="5">
        <f t="shared" si="1"/>
        <v>3.8361583210777539E-3</v>
      </c>
    </row>
    <row r="18" spans="1:7" x14ac:dyDescent="0.25">
      <c r="A18" s="12">
        <v>44558</v>
      </c>
      <c r="B18" s="13">
        <v>1227.1199999999999</v>
      </c>
      <c r="C18" s="13">
        <v>1172.3</v>
      </c>
      <c r="D18" s="5">
        <f t="shared" si="0"/>
        <v>7.1124252394398537</v>
      </c>
      <c r="E18" s="5">
        <f t="shared" si="0"/>
        <v>7.0667229100777824</v>
      </c>
      <c r="F18" s="5">
        <f t="shared" si="1"/>
        <v>4.3775183425251996E-3</v>
      </c>
      <c r="G18" s="5">
        <f t="shared" si="1"/>
        <v>-2.5558030610257632E-3</v>
      </c>
    </row>
    <row r="19" spans="1:7" x14ac:dyDescent="0.25">
      <c r="A19" s="12">
        <v>44559</v>
      </c>
      <c r="B19" s="13">
        <v>1217.93</v>
      </c>
      <c r="C19" s="13">
        <v>1174.5</v>
      </c>
      <c r="D19" s="5">
        <f t="shared" si="0"/>
        <v>7.1049079753539379</v>
      </c>
      <c r="E19" s="5">
        <f t="shared" si="0"/>
        <v>7.0685978040989674</v>
      </c>
      <c r="F19" s="5">
        <f t="shared" si="1"/>
        <v>-7.517264085915798E-3</v>
      </c>
      <c r="G19" s="5">
        <f t="shared" si="1"/>
        <v>1.874894021185014E-3</v>
      </c>
    </row>
    <row r="20" spans="1:7" x14ac:dyDescent="0.25">
      <c r="A20" s="12">
        <v>44560</v>
      </c>
      <c r="B20" s="13">
        <v>1222.75</v>
      </c>
      <c r="C20" s="13">
        <v>1185.9000000000001</v>
      </c>
      <c r="D20" s="5">
        <f t="shared" si="0"/>
        <v>7.1088576994194668</v>
      </c>
      <c r="E20" s="5">
        <f t="shared" si="0"/>
        <v>7.0782572589707495</v>
      </c>
      <c r="F20" s="5">
        <f t="shared" si="1"/>
        <v>3.9497240655288479E-3</v>
      </c>
      <c r="G20" s="5">
        <f t="shared" si="1"/>
        <v>9.6594548717821027E-3</v>
      </c>
    </row>
    <row r="21" spans="1:7" x14ac:dyDescent="0.25">
      <c r="A21" s="12">
        <v>44561</v>
      </c>
      <c r="B21" s="13">
        <v>1232.01</v>
      </c>
      <c r="C21" s="13">
        <v>1176.5999999999999</v>
      </c>
      <c r="D21" s="5">
        <f t="shared" si="0"/>
        <v>7.1164022609436399</v>
      </c>
      <c r="E21" s="5">
        <f t="shared" si="0"/>
        <v>7.0703842024303558</v>
      </c>
      <c r="F21" s="5">
        <f t="shared" si="1"/>
        <v>7.5445615241731545E-3</v>
      </c>
      <c r="G21" s="5">
        <f t="shared" si="1"/>
        <v>-7.8730565403937192E-3</v>
      </c>
    </row>
    <row r="22" spans="1:7" x14ac:dyDescent="0.25">
      <c r="A22" s="12">
        <v>44564</v>
      </c>
      <c r="B22" s="13">
        <v>1233.5</v>
      </c>
      <c r="C22" s="13">
        <v>1188.3</v>
      </c>
      <c r="D22" s="5">
        <f t="shared" si="0"/>
        <v>7.1176109359694113</v>
      </c>
      <c r="E22" s="5">
        <f t="shared" si="0"/>
        <v>7.0802789932959804</v>
      </c>
      <c r="F22" s="5">
        <f t="shared" si="1"/>
        <v>1.2086750257713774E-3</v>
      </c>
      <c r="G22" s="5">
        <f t="shared" si="1"/>
        <v>9.8947908656246142E-3</v>
      </c>
    </row>
    <row r="23" spans="1:7" x14ac:dyDescent="0.25">
      <c r="A23" s="12">
        <v>44565</v>
      </c>
      <c r="B23" s="13">
        <v>1234.95</v>
      </c>
      <c r="C23" s="13">
        <v>1183.5</v>
      </c>
      <c r="D23" s="5">
        <f t="shared" si="0"/>
        <v>7.1187857624125446</v>
      </c>
      <c r="E23" s="5">
        <f t="shared" si="0"/>
        <v>7.0762314289540384</v>
      </c>
      <c r="F23" s="5">
        <f t="shared" si="1"/>
        <v>1.17482644313327E-3</v>
      </c>
      <c r="G23" s="5">
        <f t="shared" si="1"/>
        <v>-4.0475643419419782E-3</v>
      </c>
    </row>
    <row r="24" spans="1:7" x14ac:dyDescent="0.25">
      <c r="A24" s="12">
        <v>44566</v>
      </c>
      <c r="B24" s="13">
        <v>1222.74</v>
      </c>
      <c r="C24" s="13">
        <v>1166</v>
      </c>
      <c r="D24" s="5">
        <f t="shared" si="0"/>
        <v>7.1088495210993754</v>
      </c>
      <c r="E24" s="5">
        <f t="shared" si="0"/>
        <v>7.0613343669104376</v>
      </c>
      <c r="F24" s="5">
        <f t="shared" si="1"/>
        <v>-9.9362413131691696E-3</v>
      </c>
      <c r="G24" s="5">
        <f t="shared" si="1"/>
        <v>-1.4897062043600862E-2</v>
      </c>
    </row>
    <row r="25" spans="1:7" x14ac:dyDescent="0.25">
      <c r="A25" s="12">
        <v>44567</v>
      </c>
      <c r="B25" s="13">
        <v>1217.07</v>
      </c>
      <c r="C25" s="13">
        <v>1175.8</v>
      </c>
      <c r="D25" s="5">
        <f t="shared" si="0"/>
        <v>7.1042016098214882</v>
      </c>
      <c r="E25" s="5">
        <f t="shared" si="0"/>
        <v>7.0697040459681544</v>
      </c>
      <c r="F25" s="5">
        <f t="shared" si="1"/>
        <v>-4.6479112778872178E-3</v>
      </c>
      <c r="G25" s="5">
        <f t="shared" si="1"/>
        <v>8.3696790577167945E-3</v>
      </c>
    </row>
    <row r="26" spans="1:7" x14ac:dyDescent="0.25">
      <c r="A26" s="12">
        <v>44568</v>
      </c>
      <c r="B26" s="13">
        <v>1226.0999999999999</v>
      </c>
      <c r="C26" s="13">
        <v>1188.4000000000001</v>
      </c>
      <c r="D26" s="5">
        <f t="shared" si="0"/>
        <v>7.1115936792383412</v>
      </c>
      <c r="E26" s="5">
        <f t="shared" si="0"/>
        <v>7.0803631435884524</v>
      </c>
      <c r="F26" s="5">
        <f t="shared" si="1"/>
        <v>7.3920694168529977E-3</v>
      </c>
      <c r="G26" s="5">
        <f t="shared" si="1"/>
        <v>1.0659097620298041E-2</v>
      </c>
    </row>
    <row r="27" spans="1:7" x14ac:dyDescent="0.25">
      <c r="A27" s="12">
        <v>44571</v>
      </c>
      <c r="B27" s="13">
        <v>1232.27</v>
      </c>
      <c r="C27" s="13">
        <v>1189.5</v>
      </c>
      <c r="D27" s="5">
        <f t="shared" si="0"/>
        <v>7.1166132759264871</v>
      </c>
      <c r="E27" s="5">
        <f t="shared" si="0"/>
        <v>7.0812883297430123</v>
      </c>
      <c r="F27" s="5">
        <f t="shared" si="1"/>
        <v>5.0195966881458887E-3</v>
      </c>
      <c r="G27" s="5">
        <f t="shared" si="1"/>
        <v>9.2518615455983166E-4</v>
      </c>
    </row>
    <row r="28" spans="1:7" x14ac:dyDescent="0.25">
      <c r="A28" s="12">
        <v>44572</v>
      </c>
      <c r="B28" s="13">
        <v>1243.04</v>
      </c>
      <c r="C28" s="13">
        <v>1217.0999999999999</v>
      </c>
      <c r="D28" s="5">
        <f t="shared" si="0"/>
        <v>7.1253152712021111</v>
      </c>
      <c r="E28" s="5">
        <f t="shared" si="0"/>
        <v>7.1042262588805114</v>
      </c>
      <c r="F28" s="5">
        <f t="shared" si="1"/>
        <v>8.701995275623986E-3</v>
      </c>
      <c r="G28" s="5">
        <f t="shared" si="1"/>
        <v>2.2937929137499147E-2</v>
      </c>
    </row>
    <row r="29" spans="1:7" x14ac:dyDescent="0.25">
      <c r="A29" s="12">
        <v>44573</v>
      </c>
      <c r="B29" s="13">
        <v>1267.3399999999999</v>
      </c>
      <c r="C29" s="13">
        <v>1235</v>
      </c>
      <c r="D29" s="5">
        <f t="shared" si="0"/>
        <v>7.1446754947556981</v>
      </c>
      <c r="E29" s="5">
        <f t="shared" si="0"/>
        <v>7.1188262490620779</v>
      </c>
      <c r="F29" s="5">
        <f t="shared" si="1"/>
        <v>1.9360223553587019E-2</v>
      </c>
      <c r="G29" s="5">
        <f t="shared" si="1"/>
        <v>1.4599990181566547E-2</v>
      </c>
    </row>
    <row r="30" spans="1:7" x14ac:dyDescent="0.25">
      <c r="A30" s="12">
        <v>44574</v>
      </c>
      <c r="B30" s="13">
        <v>1263.3</v>
      </c>
      <c r="C30" s="13">
        <v>1216</v>
      </c>
      <c r="D30" s="5">
        <f t="shared" si="0"/>
        <v>7.1414826238359916</v>
      </c>
      <c r="E30" s="5">
        <f t="shared" si="0"/>
        <v>7.1033220625261126</v>
      </c>
      <c r="F30" s="5">
        <f t="shared" si="1"/>
        <v>-3.1928709197064364E-3</v>
      </c>
      <c r="G30" s="5">
        <f t="shared" si="1"/>
        <v>-1.5504186535965303E-2</v>
      </c>
    </row>
    <row r="31" spans="1:7" x14ac:dyDescent="0.25">
      <c r="A31" s="12">
        <v>44575</v>
      </c>
      <c r="B31" s="13">
        <v>1257.46</v>
      </c>
      <c r="C31" s="13">
        <v>1218.4000000000001</v>
      </c>
      <c r="D31" s="5">
        <f t="shared" si="0"/>
        <v>7.1368490923228434</v>
      </c>
      <c r="E31" s="5">
        <f t="shared" si="0"/>
        <v>7.1052938015809524</v>
      </c>
      <c r="F31" s="5">
        <f t="shared" si="1"/>
        <v>-4.6335315131482702E-3</v>
      </c>
      <c r="G31" s="5">
        <f t="shared" si="1"/>
        <v>1.9717390548397162E-3</v>
      </c>
    </row>
    <row r="32" spans="1:7" x14ac:dyDescent="0.25">
      <c r="A32" s="12">
        <v>44578</v>
      </c>
      <c r="B32" s="13">
        <v>1254.4000000000001</v>
      </c>
      <c r="C32" s="13">
        <v>1218.4000000000001</v>
      </c>
      <c r="D32" s="5">
        <f t="shared" si="0"/>
        <v>7.1344126495961433</v>
      </c>
      <c r="E32" s="5">
        <f t="shared" si="0"/>
        <v>7.1052938015809524</v>
      </c>
      <c r="F32" s="5">
        <f t="shared" si="1"/>
        <v>-2.4364427267000721E-3</v>
      </c>
      <c r="G32" s="5">
        <f t="shared" si="1"/>
        <v>0</v>
      </c>
    </row>
    <row r="33" spans="1:7" x14ac:dyDescent="0.25">
      <c r="A33" s="12">
        <v>44579</v>
      </c>
      <c r="B33" s="13">
        <v>1241.58</v>
      </c>
      <c r="C33" s="13">
        <v>1201.3</v>
      </c>
      <c r="D33" s="5">
        <f t="shared" si="0"/>
        <v>7.1241400410517928</v>
      </c>
      <c r="E33" s="5">
        <f t="shared" si="0"/>
        <v>7.0911595827273297</v>
      </c>
      <c r="F33" s="5">
        <f t="shared" si="1"/>
        <v>-1.0272608544350526E-2</v>
      </c>
      <c r="G33" s="5">
        <f t="shared" si="1"/>
        <v>-1.4134218853622649E-2</v>
      </c>
    </row>
    <row r="34" spans="1:7" x14ac:dyDescent="0.25">
      <c r="A34" s="12">
        <v>44580</v>
      </c>
      <c r="B34" s="13">
        <v>1239.83</v>
      </c>
      <c r="C34" s="13">
        <v>1206.4000000000001</v>
      </c>
      <c r="D34" s="5">
        <f t="shared" si="0"/>
        <v>7.122729552426267</v>
      </c>
      <c r="E34" s="5">
        <f t="shared" si="0"/>
        <v>7.095395997253692</v>
      </c>
      <c r="F34" s="5">
        <f t="shared" si="1"/>
        <v>-1.4104886255257298E-3</v>
      </c>
      <c r="G34" s="5">
        <f t="shared" si="1"/>
        <v>4.2364145263622532E-3</v>
      </c>
    </row>
    <row r="35" spans="1:7" x14ac:dyDescent="0.25">
      <c r="A35" s="12">
        <v>44581</v>
      </c>
      <c r="B35" s="13">
        <v>1255.74</v>
      </c>
      <c r="C35" s="13">
        <v>1213.5999999999999</v>
      </c>
      <c r="D35" s="5">
        <f t="shared" si="0"/>
        <v>7.1354803192299414</v>
      </c>
      <c r="E35" s="5">
        <f t="shared" si="0"/>
        <v>7.1013464280343221</v>
      </c>
      <c r="F35" s="5">
        <f t="shared" si="1"/>
        <v>1.2750766803674374E-2</v>
      </c>
      <c r="G35" s="5">
        <f t="shared" si="1"/>
        <v>5.9504307806301782E-3</v>
      </c>
    </row>
    <row r="36" spans="1:7" x14ac:dyDescent="0.25">
      <c r="A36" s="12">
        <v>44582</v>
      </c>
      <c r="B36" s="13">
        <v>1244.31</v>
      </c>
      <c r="C36" s="13">
        <v>1192.0999999999999</v>
      </c>
      <c r="D36" s="5">
        <f t="shared" si="0"/>
        <v>7.126336438396403</v>
      </c>
      <c r="E36" s="5">
        <f t="shared" si="0"/>
        <v>7.0834717367239559</v>
      </c>
      <c r="F36" s="5">
        <f t="shared" si="1"/>
        <v>-9.1438808335384536E-3</v>
      </c>
      <c r="G36" s="5">
        <f t="shared" si="1"/>
        <v>-1.7874691310366231E-2</v>
      </c>
    </row>
    <row r="37" spans="1:7" x14ac:dyDescent="0.25">
      <c r="A37" s="12">
        <v>44585</v>
      </c>
      <c r="B37" s="13">
        <v>1222.1600000000001</v>
      </c>
      <c r="C37" s="13">
        <v>1172</v>
      </c>
      <c r="D37" s="5">
        <f t="shared" si="0"/>
        <v>7.1083750640574674</v>
      </c>
      <c r="E37" s="5">
        <f t="shared" si="0"/>
        <v>7.0664669701369576</v>
      </c>
      <c r="F37" s="5">
        <f t="shared" si="1"/>
        <v>-1.7961374338935521E-2</v>
      </c>
      <c r="G37" s="5">
        <f t="shared" si="1"/>
        <v>-1.7004766586998343E-2</v>
      </c>
    </row>
    <row r="38" spans="1:7" x14ac:dyDescent="0.25">
      <c r="A38" s="12">
        <v>44586</v>
      </c>
      <c r="B38" s="13">
        <v>1210.45</v>
      </c>
      <c r="C38" s="13">
        <v>1171.2</v>
      </c>
      <c r="D38" s="5">
        <f t="shared" si="0"/>
        <v>7.0987474702792621</v>
      </c>
      <c r="E38" s="5">
        <f t="shared" si="0"/>
        <v>7.065784143207047</v>
      </c>
      <c r="F38" s="5">
        <f t="shared" si="1"/>
        <v>-9.6275937782053234E-3</v>
      </c>
      <c r="G38" s="5">
        <f t="shared" si="1"/>
        <v>-6.8282692991061822E-4</v>
      </c>
    </row>
    <row r="39" spans="1:7" x14ac:dyDescent="0.25">
      <c r="A39" s="12">
        <v>44587</v>
      </c>
      <c r="B39" s="13">
        <v>1211.45</v>
      </c>
      <c r="C39" s="13">
        <v>1157.5999999999999</v>
      </c>
      <c r="D39" s="5">
        <f t="shared" si="0"/>
        <v>7.0995732682534376</v>
      </c>
      <c r="E39" s="5">
        <f t="shared" si="0"/>
        <v>7.0541041753172742</v>
      </c>
      <c r="F39" s="5">
        <f t="shared" si="1"/>
        <v>8.2579797417547951E-4</v>
      </c>
      <c r="G39" s="5">
        <f t="shared" si="1"/>
        <v>-1.1679967889772769E-2</v>
      </c>
    </row>
    <row r="40" spans="1:7" x14ac:dyDescent="0.25">
      <c r="A40" s="12">
        <v>44588</v>
      </c>
      <c r="B40" s="13">
        <v>1192.06</v>
      </c>
      <c r="C40" s="13">
        <v>1149.0999999999999</v>
      </c>
      <c r="D40" s="5">
        <f t="shared" si="0"/>
        <v>7.0834381819289725</v>
      </c>
      <c r="E40" s="5">
        <f t="shared" si="0"/>
        <v>7.0467343062635877</v>
      </c>
      <c r="F40" s="5">
        <f t="shared" si="1"/>
        <v>-1.6135086324465142E-2</v>
      </c>
      <c r="G40" s="5">
        <f t="shared" si="1"/>
        <v>-7.3698690536865286E-3</v>
      </c>
    </row>
    <row r="41" spans="1:7" x14ac:dyDescent="0.25">
      <c r="A41" s="12">
        <v>44589</v>
      </c>
      <c r="B41" s="13">
        <v>1191.1400000000001</v>
      </c>
      <c r="C41" s="13">
        <v>1153.4000000000001</v>
      </c>
      <c r="D41" s="5">
        <f t="shared" si="0"/>
        <v>7.0826661107257998</v>
      </c>
      <c r="E41" s="5">
        <f t="shared" si="0"/>
        <v>7.0504693811813119</v>
      </c>
      <c r="F41" s="5">
        <f t="shared" si="1"/>
        <v>-7.7207120317268618E-4</v>
      </c>
      <c r="G41" s="5">
        <f t="shared" si="1"/>
        <v>3.7350749177242903E-3</v>
      </c>
    </row>
    <row r="42" spans="1:7" x14ac:dyDescent="0.25">
      <c r="A42" s="12">
        <v>44592</v>
      </c>
      <c r="B42" s="13">
        <v>1208.23</v>
      </c>
      <c r="C42" s="13">
        <v>1192.5999999999999</v>
      </c>
      <c r="D42" s="5">
        <f t="shared" si="0"/>
        <v>7.0969117577224781</v>
      </c>
      <c r="E42" s="5">
        <f t="shared" si="0"/>
        <v>7.0838910766890058</v>
      </c>
      <c r="F42" s="5">
        <f t="shared" si="1"/>
        <v>1.4245646996678296E-2</v>
      </c>
      <c r="G42" s="5">
        <f t="shared" si="1"/>
        <v>3.3421695507693805E-2</v>
      </c>
    </row>
    <row r="43" spans="1:7" x14ac:dyDescent="0.25">
      <c r="A43" s="12">
        <v>44593</v>
      </c>
      <c r="B43" s="13">
        <v>1214.01</v>
      </c>
      <c r="C43" s="13">
        <v>1199.3</v>
      </c>
      <c r="D43" s="5">
        <f t="shared" si="0"/>
        <v>7.101684208817808</v>
      </c>
      <c r="E43" s="5">
        <f t="shared" si="0"/>
        <v>7.0894933322376756</v>
      </c>
      <c r="F43" s="5">
        <f t="shared" si="1"/>
        <v>4.772451095329977E-3</v>
      </c>
      <c r="G43" s="5">
        <f t="shared" si="1"/>
        <v>5.6022555486698877E-3</v>
      </c>
    </row>
    <row r="44" spans="1:7" x14ac:dyDescent="0.25">
      <c r="A44" s="12">
        <v>44594</v>
      </c>
      <c r="B44" s="13">
        <v>1213.23</v>
      </c>
      <c r="C44" s="13">
        <v>1196.5999999999999</v>
      </c>
      <c r="D44" s="5">
        <f t="shared" si="0"/>
        <v>7.101041503500781</v>
      </c>
      <c r="E44" s="5">
        <f t="shared" si="0"/>
        <v>7.0872394809559314</v>
      </c>
      <c r="F44" s="5">
        <f t="shared" si="1"/>
        <v>-6.4270531702703693E-4</v>
      </c>
      <c r="G44" s="5">
        <f t="shared" si="1"/>
        <v>-2.253851281744268E-3</v>
      </c>
    </row>
    <row r="45" spans="1:7" x14ac:dyDescent="0.25">
      <c r="A45" s="12">
        <v>44595</v>
      </c>
      <c r="B45" s="13">
        <v>1210.27</v>
      </c>
      <c r="C45" s="13">
        <v>1186.7</v>
      </c>
      <c r="D45" s="5">
        <f t="shared" si="0"/>
        <v>7.0985987541945166</v>
      </c>
      <c r="E45" s="5">
        <f t="shared" si="0"/>
        <v>7.0789316246710934</v>
      </c>
      <c r="F45" s="5">
        <f t="shared" si="1"/>
        <v>-2.4427493062644245E-3</v>
      </c>
      <c r="G45" s="5">
        <f t="shared" si="1"/>
        <v>-8.3078562848379889E-3</v>
      </c>
    </row>
    <row r="46" spans="1:7" x14ac:dyDescent="0.25">
      <c r="A46" s="12">
        <v>44596</v>
      </c>
      <c r="B46" s="13">
        <v>1221.0999999999999</v>
      </c>
      <c r="C46" s="13">
        <v>1195.5999999999999</v>
      </c>
      <c r="D46" s="5">
        <f t="shared" si="0"/>
        <v>7.1075073708389764</v>
      </c>
      <c r="E46" s="5">
        <f t="shared" si="0"/>
        <v>7.0864034304097832</v>
      </c>
      <c r="F46" s="5">
        <f t="shared" si="1"/>
        <v>8.9086166444598547E-3</v>
      </c>
      <c r="G46" s="5">
        <f t="shared" si="1"/>
        <v>7.471805738689774E-3</v>
      </c>
    </row>
    <row r="47" spans="1:7" x14ac:dyDescent="0.25">
      <c r="A47" s="12">
        <v>44599</v>
      </c>
      <c r="B47" s="13">
        <v>1219.33</v>
      </c>
      <c r="C47" s="13">
        <v>1193.5</v>
      </c>
      <c r="D47" s="5">
        <f t="shared" si="0"/>
        <v>7.1060568065446832</v>
      </c>
      <c r="E47" s="5">
        <f t="shared" si="0"/>
        <v>7.084645445778885</v>
      </c>
      <c r="F47" s="5">
        <f t="shared" si="1"/>
        <v>-1.450564294293244E-3</v>
      </c>
      <c r="G47" s="5">
        <f t="shared" si="1"/>
        <v>-1.7579846308981573E-3</v>
      </c>
    </row>
    <row r="48" spans="1:7" x14ac:dyDescent="0.25">
      <c r="A48" s="12">
        <v>44600</v>
      </c>
      <c r="B48" s="13">
        <v>1219.81</v>
      </c>
      <c r="C48" s="13">
        <v>1205.9000000000001</v>
      </c>
      <c r="D48" s="5">
        <f t="shared" si="0"/>
        <v>7.1064503878940082</v>
      </c>
      <c r="E48" s="5">
        <f t="shared" si="0"/>
        <v>7.0949814551095471</v>
      </c>
      <c r="F48" s="5">
        <f t="shared" si="1"/>
        <v>3.9358134932498956E-4</v>
      </c>
      <c r="G48" s="5">
        <f t="shared" si="1"/>
        <v>1.0336009330662144E-2</v>
      </c>
    </row>
    <row r="49" spans="1:7" x14ac:dyDescent="0.25">
      <c r="A49" s="12">
        <v>44601</v>
      </c>
      <c r="B49" s="13">
        <v>1239.79</v>
      </c>
      <c r="C49" s="13">
        <v>1225</v>
      </c>
      <c r="D49" s="5">
        <f t="shared" si="0"/>
        <v>7.1226972894182232</v>
      </c>
      <c r="E49" s="5">
        <f t="shared" si="0"/>
        <v>7.110696122978827</v>
      </c>
      <c r="F49" s="5">
        <f t="shared" si="1"/>
        <v>1.6246901524215041E-2</v>
      </c>
      <c r="G49" s="5">
        <f t="shared" si="1"/>
        <v>1.5714667869279886E-2</v>
      </c>
    </row>
    <row r="50" spans="1:7" x14ac:dyDescent="0.25">
      <c r="A50" s="12">
        <v>44602</v>
      </c>
      <c r="B50" s="13">
        <v>1251.0899999999999</v>
      </c>
      <c r="C50" s="13">
        <v>1223</v>
      </c>
      <c r="D50" s="5">
        <f t="shared" si="0"/>
        <v>7.1317704503252202</v>
      </c>
      <c r="E50" s="5">
        <f t="shared" si="0"/>
        <v>7.1090621356871724</v>
      </c>
      <c r="F50" s="5">
        <f t="shared" si="1"/>
        <v>9.0731609069969466E-3</v>
      </c>
      <c r="G50" s="5">
        <f t="shared" si="1"/>
        <v>-1.6339872916546483E-3</v>
      </c>
    </row>
    <row r="51" spans="1:7" x14ac:dyDescent="0.25">
      <c r="A51" s="12">
        <v>44603</v>
      </c>
      <c r="B51" s="13">
        <v>1240.51</v>
      </c>
      <c r="C51" s="13">
        <v>1206.3</v>
      </c>
      <c r="D51" s="5">
        <f t="shared" si="0"/>
        <v>7.123277864364983</v>
      </c>
      <c r="E51" s="5">
        <f t="shared" si="0"/>
        <v>7.0953131025713381</v>
      </c>
      <c r="F51" s="5">
        <f t="shared" si="1"/>
        <v>-8.4925859602371645E-3</v>
      </c>
      <c r="G51" s="5">
        <f t="shared" si="1"/>
        <v>-1.3749033115834308E-2</v>
      </c>
    </row>
    <row r="52" spans="1:7" x14ac:dyDescent="0.25">
      <c r="A52" s="12">
        <v>44606</v>
      </c>
      <c r="B52" s="13">
        <v>1220.42</v>
      </c>
      <c r="C52" s="13">
        <v>1197.9000000000001</v>
      </c>
      <c r="D52" s="5">
        <f t="shared" si="0"/>
        <v>7.1069503407777175</v>
      </c>
      <c r="E52" s="5">
        <f t="shared" si="0"/>
        <v>7.0883253027372852</v>
      </c>
      <c r="F52" s="5">
        <f t="shared" si="1"/>
        <v>-1.6327523587265524E-2</v>
      </c>
      <c r="G52" s="5">
        <f t="shared" si="1"/>
        <v>-6.9877998340528436E-3</v>
      </c>
    </row>
    <row r="53" spans="1:7" x14ac:dyDescent="0.25">
      <c r="A53" s="12">
        <v>44607</v>
      </c>
      <c r="B53" s="13">
        <v>1229.05</v>
      </c>
      <c r="C53" s="13">
        <v>1223.5999999999999</v>
      </c>
      <c r="D53" s="5">
        <f t="shared" si="0"/>
        <v>7.1139967922209904</v>
      </c>
      <c r="E53" s="5">
        <f t="shared" si="0"/>
        <v>7.1095526122767483</v>
      </c>
      <c r="F53" s="5">
        <f t="shared" si="1"/>
        <v>7.046451443272872E-3</v>
      </c>
      <c r="G53" s="5">
        <f t="shared" si="1"/>
        <v>2.1227309539463057E-2</v>
      </c>
    </row>
    <row r="54" spans="1:7" x14ac:dyDescent="0.25">
      <c r="A54" s="12">
        <v>44608</v>
      </c>
      <c r="B54" s="13">
        <v>1244.19</v>
      </c>
      <c r="C54" s="13">
        <v>1231.2</v>
      </c>
      <c r="D54" s="5">
        <f t="shared" si="0"/>
        <v>7.1262399947555801</v>
      </c>
      <c r="E54" s="5">
        <f t="shared" si="0"/>
        <v>7.1157445825246697</v>
      </c>
      <c r="F54" s="5">
        <f t="shared" si="1"/>
        <v>1.224320253458977E-2</v>
      </c>
      <c r="G54" s="5">
        <f t="shared" si="1"/>
        <v>6.1919702479213967E-3</v>
      </c>
    </row>
    <row r="55" spans="1:7" x14ac:dyDescent="0.25">
      <c r="A55" s="12">
        <v>44609</v>
      </c>
      <c r="B55" s="13">
        <v>1242.92</v>
      </c>
      <c r="C55" s="13">
        <v>1213.5</v>
      </c>
      <c r="D55" s="5">
        <f t="shared" si="0"/>
        <v>7.1252187290211477</v>
      </c>
      <c r="E55" s="5">
        <f t="shared" si="0"/>
        <v>7.1012640251666559</v>
      </c>
      <c r="F55" s="5">
        <f t="shared" si="1"/>
        <v>-1.0212657344323972E-3</v>
      </c>
      <c r="G55" s="5">
        <f t="shared" si="1"/>
        <v>-1.448055735801379E-2</v>
      </c>
    </row>
    <row r="56" spans="1:7" x14ac:dyDescent="0.25">
      <c r="A56" s="12">
        <v>44610</v>
      </c>
      <c r="B56" s="13">
        <v>1231.77</v>
      </c>
      <c r="C56" s="13">
        <v>1199.7</v>
      </c>
      <c r="D56" s="5">
        <f t="shared" si="0"/>
        <v>7.1162074383533449</v>
      </c>
      <c r="E56" s="5">
        <f t="shared" si="0"/>
        <v>7.0898268045208823</v>
      </c>
      <c r="F56" s="5">
        <f t="shared" si="1"/>
        <v>-9.0112906678028182E-3</v>
      </c>
      <c r="G56" s="5">
        <f t="shared" si="1"/>
        <v>-1.1437220645773571E-2</v>
      </c>
    </row>
    <row r="57" spans="1:7" x14ac:dyDescent="0.25">
      <c r="A57" s="12">
        <v>44613</v>
      </c>
      <c r="B57" s="13">
        <v>1219.46</v>
      </c>
      <c r="C57" s="13">
        <v>1199.7</v>
      </c>
      <c r="D57" s="5">
        <f t="shared" si="0"/>
        <v>7.1061634167900296</v>
      </c>
      <c r="E57" s="5">
        <f t="shared" si="0"/>
        <v>7.0898268045208823</v>
      </c>
      <c r="F57" s="5">
        <f t="shared" si="1"/>
        <v>-1.0044021563315297E-2</v>
      </c>
      <c r="G57" s="5">
        <f t="shared" si="1"/>
        <v>0</v>
      </c>
    </row>
    <row r="58" spans="1:7" x14ac:dyDescent="0.25">
      <c r="A58" s="12">
        <v>44614</v>
      </c>
      <c r="B58" s="13">
        <v>1206.6300000000001</v>
      </c>
      <c r="C58" s="13">
        <v>1181.7</v>
      </c>
      <c r="D58" s="5">
        <f t="shared" si="0"/>
        <v>7.0955866289496896</v>
      </c>
      <c r="E58" s="5">
        <f t="shared" si="0"/>
        <v>7.0747093586449701</v>
      </c>
      <c r="F58" s="5">
        <f t="shared" si="1"/>
        <v>-1.0576787840339996E-2</v>
      </c>
      <c r="G58" s="5">
        <f t="shared" si="1"/>
        <v>-1.5117445875912239E-2</v>
      </c>
    </row>
    <row r="59" spans="1:7" x14ac:dyDescent="0.25">
      <c r="A59" s="12">
        <v>44615</v>
      </c>
      <c r="B59" s="13">
        <v>1206.8599999999999</v>
      </c>
      <c r="C59" s="13">
        <v>1172</v>
      </c>
      <c r="D59" s="5">
        <f t="shared" si="0"/>
        <v>7.0957772243121697</v>
      </c>
      <c r="E59" s="5">
        <f t="shared" si="0"/>
        <v>7.0664669701369576</v>
      </c>
      <c r="F59" s="5">
        <f t="shared" si="1"/>
        <v>1.905953624801171E-4</v>
      </c>
      <c r="G59" s="5">
        <f t="shared" si="1"/>
        <v>-8.2423885080125103E-3</v>
      </c>
    </row>
    <row r="60" spans="1:7" x14ac:dyDescent="0.25">
      <c r="A60" s="12">
        <v>44616</v>
      </c>
      <c r="B60" s="13">
        <v>1154.8599999999999</v>
      </c>
      <c r="C60" s="13">
        <v>1146.5999999999999</v>
      </c>
      <c r="D60" s="5">
        <f t="shared" si="0"/>
        <v>7.0517344034878988</v>
      </c>
      <c r="E60" s="5">
        <f t="shared" si="0"/>
        <v>7.0445563204742827</v>
      </c>
      <c r="F60" s="5">
        <f t="shared" si="1"/>
        <v>-4.4042820824270912E-2</v>
      </c>
      <c r="G60" s="5">
        <f t="shared" si="1"/>
        <v>-2.1910649662674864E-2</v>
      </c>
    </row>
    <row r="61" spans="1:7" x14ac:dyDescent="0.25">
      <c r="A61" s="12">
        <v>44617</v>
      </c>
      <c r="B61" s="13">
        <v>1171.99</v>
      </c>
      <c r="C61" s="13">
        <v>1171.0999999999999</v>
      </c>
      <c r="D61" s="5">
        <f t="shared" si="0"/>
        <v>7.0664584376773485</v>
      </c>
      <c r="E61" s="5">
        <f t="shared" si="0"/>
        <v>7.0656987570480911</v>
      </c>
      <c r="F61" s="5">
        <f t="shared" si="1"/>
        <v>1.4724034189449675E-2</v>
      </c>
      <c r="G61" s="5">
        <f t="shared" si="1"/>
        <v>2.1142436573808432E-2</v>
      </c>
    </row>
    <row r="62" spans="1:7" x14ac:dyDescent="0.25">
      <c r="A62" s="12">
        <v>44620</v>
      </c>
      <c r="B62" s="13">
        <v>1171.31</v>
      </c>
      <c r="C62" s="13">
        <v>1150.2</v>
      </c>
      <c r="D62" s="5">
        <f t="shared" si="0"/>
        <v>7.0658780595617952</v>
      </c>
      <c r="E62" s="5">
        <f t="shared" si="0"/>
        <v>7.0476911192796541</v>
      </c>
      <c r="F62" s="5">
        <f t="shared" si="1"/>
        <v>-5.8037811555333718E-4</v>
      </c>
      <c r="G62" s="5">
        <f t="shared" si="1"/>
        <v>-1.8007637768437057E-2</v>
      </c>
    </row>
    <row r="63" spans="1:7" x14ac:dyDescent="0.25">
      <c r="A63" s="12">
        <v>44621</v>
      </c>
      <c r="B63" s="13">
        <v>1176.43</v>
      </c>
      <c r="C63" s="13">
        <v>1125.4000000000001</v>
      </c>
      <c r="D63" s="5">
        <f t="shared" si="0"/>
        <v>7.070239707884773</v>
      </c>
      <c r="E63" s="5">
        <f t="shared" si="0"/>
        <v>7.0258938069991785</v>
      </c>
      <c r="F63" s="5">
        <f t="shared" si="1"/>
        <v>4.3616483229778069E-3</v>
      </c>
      <c r="G63" s="5">
        <f t="shared" si="1"/>
        <v>-2.1797312280475545E-2</v>
      </c>
    </row>
    <row r="64" spans="1:7" x14ac:dyDescent="0.25">
      <c r="A64" s="12">
        <v>44622</v>
      </c>
      <c r="B64" s="13">
        <v>1168.4100000000001</v>
      </c>
      <c r="C64" s="13">
        <v>1132.9000000000001</v>
      </c>
      <c r="D64" s="5">
        <f t="shared" si="0"/>
        <v>7.0633991291897296</v>
      </c>
      <c r="E64" s="5">
        <f t="shared" si="0"/>
        <v>7.0325359958794431</v>
      </c>
      <c r="F64" s="5">
        <f t="shared" si="1"/>
        <v>-6.8405786950433978E-3</v>
      </c>
      <c r="G64" s="5">
        <f t="shared" si="1"/>
        <v>6.6421888802645768E-3</v>
      </c>
    </row>
    <row r="65" spans="1:7" x14ac:dyDescent="0.25">
      <c r="A65" s="12">
        <v>44623</v>
      </c>
      <c r="B65" s="13">
        <v>1172.56</v>
      </c>
      <c r="C65" s="13">
        <v>1115.2</v>
      </c>
      <c r="D65" s="5">
        <f t="shared" si="0"/>
        <v>7.0669446717190452</v>
      </c>
      <c r="E65" s="5">
        <f t="shared" si="0"/>
        <v>7.0167890400062598</v>
      </c>
      <c r="F65" s="5">
        <f t="shared" si="1"/>
        <v>3.545542529315604E-3</v>
      </c>
      <c r="G65" s="5">
        <f t="shared" si="1"/>
        <v>-1.574695587318331E-2</v>
      </c>
    </row>
    <row r="66" spans="1:7" x14ac:dyDescent="0.25">
      <c r="A66" s="12">
        <v>44624</v>
      </c>
      <c r="B66" s="13">
        <v>1144.9100000000001</v>
      </c>
      <c r="C66" s="13">
        <v>1094.8</v>
      </c>
      <c r="D66" s="5">
        <f t="shared" si="0"/>
        <v>7.0430813102789047</v>
      </c>
      <c r="E66" s="5">
        <f t="shared" si="0"/>
        <v>6.9983269771665242</v>
      </c>
      <c r="F66" s="5">
        <f t="shared" si="1"/>
        <v>-2.3863361440140451E-2</v>
      </c>
      <c r="G66" s="5">
        <f t="shared" si="1"/>
        <v>-1.8462062839735616E-2</v>
      </c>
    </row>
    <row r="67" spans="1:7" x14ac:dyDescent="0.25">
      <c r="A67" s="12">
        <v>44627</v>
      </c>
      <c r="B67" s="13">
        <v>1107.3</v>
      </c>
      <c r="C67" s="13">
        <v>1046.5</v>
      </c>
      <c r="D67" s="5">
        <f t="shared" si="0"/>
        <v>7.0096798987040625</v>
      </c>
      <c r="E67" s="5">
        <f t="shared" si="0"/>
        <v>6.953206541886054</v>
      </c>
      <c r="F67" s="5">
        <f t="shared" si="1"/>
        <v>-3.3401411574842221E-2</v>
      </c>
      <c r="G67" s="5">
        <f t="shared" si="1"/>
        <v>-4.5120435280470161E-2</v>
      </c>
    </row>
    <row r="68" spans="1:7" x14ac:dyDescent="0.25">
      <c r="A68" s="12">
        <v>44628</v>
      </c>
      <c r="B68" s="13">
        <v>1096.05</v>
      </c>
      <c r="C68" s="13">
        <v>1055.3</v>
      </c>
      <c r="D68" s="5">
        <f t="shared" ref="D68:E131" si="2">LN(B68)</f>
        <v>6.9994680869053365</v>
      </c>
      <c r="E68" s="5">
        <f t="shared" si="2"/>
        <v>6.9615803656770447</v>
      </c>
      <c r="F68" s="5">
        <f t="shared" ref="F68:G131" si="3">D68-D67</f>
        <v>-1.0211811798725989E-2</v>
      </c>
      <c r="G68" s="5">
        <f t="shared" si="3"/>
        <v>8.3738237909907198E-3</v>
      </c>
    </row>
    <row r="69" spans="1:7" x14ac:dyDescent="0.25">
      <c r="A69" s="12">
        <v>44629</v>
      </c>
      <c r="B69" s="13">
        <v>1090.67</v>
      </c>
      <c r="C69" s="13">
        <v>1089.5999999999999</v>
      </c>
      <c r="D69" s="5">
        <f t="shared" si="2"/>
        <v>6.9945474652845769</v>
      </c>
      <c r="E69" s="5">
        <f t="shared" si="2"/>
        <v>6.9935659353952477</v>
      </c>
      <c r="F69" s="5">
        <f t="shared" si="3"/>
        <v>-4.9206216207595688E-3</v>
      </c>
      <c r="G69" s="5">
        <f t="shared" si="3"/>
        <v>3.1985569718202989E-2</v>
      </c>
    </row>
    <row r="70" spans="1:7" x14ac:dyDescent="0.25">
      <c r="A70" s="12">
        <v>44630</v>
      </c>
      <c r="B70" s="13">
        <v>1102.74</v>
      </c>
      <c r="C70" s="13">
        <v>1071.5</v>
      </c>
      <c r="D70" s="5">
        <f t="shared" si="2"/>
        <v>7.0055532707054375</v>
      </c>
      <c r="E70" s="5">
        <f t="shared" si="2"/>
        <v>6.9768148149136318</v>
      </c>
      <c r="F70" s="5">
        <f t="shared" si="3"/>
        <v>1.1005805420860604E-2</v>
      </c>
      <c r="G70" s="5">
        <f t="shared" si="3"/>
        <v>-1.6751120481615978E-2</v>
      </c>
    </row>
    <row r="71" spans="1:7" x14ac:dyDescent="0.25">
      <c r="A71" s="12">
        <v>44631</v>
      </c>
      <c r="B71" s="13">
        <v>1085.6600000000001</v>
      </c>
      <c r="C71" s="13">
        <v>1048.8</v>
      </c>
      <c r="D71" s="5">
        <f t="shared" si="2"/>
        <v>6.9899433759690677</v>
      </c>
      <c r="E71" s="5">
        <f t="shared" si="2"/>
        <v>6.9554019324494902</v>
      </c>
      <c r="F71" s="5">
        <f t="shared" si="3"/>
        <v>-1.5609894736369867E-2</v>
      </c>
      <c r="G71" s="5">
        <f t="shared" si="3"/>
        <v>-2.1412882464141525E-2</v>
      </c>
    </row>
    <row r="72" spans="1:7" x14ac:dyDescent="0.25">
      <c r="A72" s="12">
        <v>44634</v>
      </c>
      <c r="B72" s="13">
        <v>1055.01</v>
      </c>
      <c r="C72" s="13">
        <v>1028.3</v>
      </c>
      <c r="D72" s="5">
        <f t="shared" si="2"/>
        <v>6.96130552453823</v>
      </c>
      <c r="E72" s="5">
        <f t="shared" si="2"/>
        <v>6.9356622322351447</v>
      </c>
      <c r="F72" s="5">
        <f t="shared" si="3"/>
        <v>-2.8637851430837635E-2</v>
      </c>
      <c r="G72" s="5">
        <f t="shared" si="3"/>
        <v>-1.9739700214345568E-2</v>
      </c>
    </row>
    <row r="73" spans="1:7" x14ac:dyDescent="0.25">
      <c r="A73" s="12">
        <v>44635</v>
      </c>
      <c r="B73" s="13">
        <v>1026.77</v>
      </c>
      <c r="C73" s="13">
        <v>1030.4000000000001</v>
      </c>
      <c r="D73" s="5">
        <f t="shared" si="2"/>
        <v>6.9341732315853539</v>
      </c>
      <c r="E73" s="5">
        <f t="shared" si="2"/>
        <v>6.9377023553500896</v>
      </c>
      <c r="F73" s="5">
        <f t="shared" si="3"/>
        <v>-2.7132292952876114E-2</v>
      </c>
      <c r="G73" s="5">
        <f t="shared" si="3"/>
        <v>2.0401231149449472E-3</v>
      </c>
    </row>
    <row r="74" spans="1:7" x14ac:dyDescent="0.25">
      <c r="A74" s="12">
        <v>44636</v>
      </c>
      <c r="B74" s="13">
        <v>1081</v>
      </c>
      <c r="C74" s="13">
        <v>1119.0999999999999</v>
      </c>
      <c r="D74" s="5">
        <f t="shared" si="2"/>
        <v>6.9856418176392081</v>
      </c>
      <c r="E74" s="5">
        <f t="shared" si="2"/>
        <v>7.0202800698239818</v>
      </c>
      <c r="F74" s="5">
        <f t="shared" si="3"/>
        <v>5.1468586053854182E-2</v>
      </c>
      <c r="G74" s="5">
        <f t="shared" si="3"/>
        <v>8.2577714473892172E-2</v>
      </c>
    </row>
    <row r="75" spans="1:7" x14ac:dyDescent="0.25">
      <c r="A75" s="12">
        <v>44637</v>
      </c>
      <c r="B75" s="13">
        <v>1120.93</v>
      </c>
      <c r="C75" s="13">
        <v>1112.5</v>
      </c>
      <c r="D75" s="5">
        <f t="shared" si="2"/>
        <v>7.0219139768762284</v>
      </c>
      <c r="E75" s="5">
        <f t="shared" si="2"/>
        <v>7.0143650140403953</v>
      </c>
      <c r="F75" s="5">
        <f t="shared" si="3"/>
        <v>3.6272159237020318E-2</v>
      </c>
      <c r="G75" s="5">
        <f t="shared" si="3"/>
        <v>-5.9150557835865314E-3</v>
      </c>
    </row>
    <row r="76" spans="1:7" x14ac:dyDescent="0.25">
      <c r="A76" s="12">
        <v>44638</v>
      </c>
      <c r="B76" s="13">
        <v>1122.98</v>
      </c>
      <c r="C76" s="13">
        <v>1129.5</v>
      </c>
      <c r="D76" s="5">
        <f t="shared" si="2"/>
        <v>7.0237411451408507</v>
      </c>
      <c r="E76" s="5">
        <f t="shared" si="2"/>
        <v>7.0295303359080581</v>
      </c>
      <c r="F76" s="5">
        <f t="shared" si="3"/>
        <v>1.8271682646222587E-3</v>
      </c>
      <c r="G76" s="5">
        <f t="shared" si="3"/>
        <v>1.516532186766284E-2</v>
      </c>
    </row>
    <row r="77" spans="1:7" x14ac:dyDescent="0.25">
      <c r="A77" s="12">
        <v>44641</v>
      </c>
      <c r="B77" s="13">
        <v>1115.26</v>
      </c>
      <c r="C77" s="13">
        <v>1117.4000000000001</v>
      </c>
      <c r="D77" s="5">
        <f t="shared" si="2"/>
        <v>7.016842840567592</v>
      </c>
      <c r="E77" s="5">
        <f t="shared" si="2"/>
        <v>7.0187598370250486</v>
      </c>
      <c r="F77" s="5">
        <f t="shared" si="3"/>
        <v>-6.8983045732586845E-3</v>
      </c>
      <c r="G77" s="5">
        <f t="shared" si="3"/>
        <v>-1.0770498883009516E-2</v>
      </c>
    </row>
    <row r="78" spans="1:7" x14ac:dyDescent="0.25">
      <c r="A78" s="12">
        <v>44642</v>
      </c>
      <c r="B78" s="13">
        <v>1131.4100000000001</v>
      </c>
      <c r="C78" s="13">
        <v>1142.5999999999999</v>
      </c>
      <c r="D78" s="5">
        <f t="shared" si="2"/>
        <v>7.0312199214770308</v>
      </c>
      <c r="E78" s="5">
        <f t="shared" si="2"/>
        <v>7.0410616462903617</v>
      </c>
      <c r="F78" s="5">
        <f t="shared" si="3"/>
        <v>1.4377080909438789E-2</v>
      </c>
      <c r="G78" s="5">
        <f t="shared" si="3"/>
        <v>2.2301809265313111E-2</v>
      </c>
    </row>
    <row r="79" spans="1:7" x14ac:dyDescent="0.25">
      <c r="A79" s="12">
        <v>44643</v>
      </c>
      <c r="B79" s="13">
        <v>1140.72</v>
      </c>
      <c r="C79" s="13">
        <v>1131.7</v>
      </c>
      <c r="D79" s="5">
        <f t="shared" si="2"/>
        <v>7.0394149209738641</v>
      </c>
      <c r="E79" s="5">
        <f t="shared" si="2"/>
        <v>7.031476205971896</v>
      </c>
      <c r="F79" s="5">
        <f t="shared" si="3"/>
        <v>8.1949994968333328E-3</v>
      </c>
      <c r="G79" s="5">
        <f t="shared" si="3"/>
        <v>-9.5854403184656434E-3</v>
      </c>
    </row>
    <row r="80" spans="1:7" x14ac:dyDescent="0.25">
      <c r="A80" s="12">
        <v>44644</v>
      </c>
      <c r="B80" s="13">
        <v>1136.95</v>
      </c>
      <c r="C80" s="13">
        <v>1139</v>
      </c>
      <c r="D80" s="5">
        <f t="shared" si="2"/>
        <v>7.0361045174098003</v>
      </c>
      <c r="E80" s="5">
        <f t="shared" si="2"/>
        <v>7.0379059634471819</v>
      </c>
      <c r="F80" s="5">
        <f t="shared" si="3"/>
        <v>-3.3104035640638685E-3</v>
      </c>
      <c r="G80" s="5">
        <f t="shared" si="3"/>
        <v>6.4297574752858466E-3</v>
      </c>
    </row>
    <row r="81" spans="1:7" x14ac:dyDescent="0.25">
      <c r="A81" s="12">
        <v>44645</v>
      </c>
      <c r="B81" s="13">
        <v>1125.01</v>
      </c>
      <c r="C81" s="13">
        <v>1138.8</v>
      </c>
      <c r="D81" s="5">
        <f t="shared" si="2"/>
        <v>7.0255472034879034</v>
      </c>
      <c r="E81" s="5">
        <f t="shared" si="2"/>
        <v>7.0377303554038821</v>
      </c>
      <c r="F81" s="5">
        <f t="shared" si="3"/>
        <v>-1.0557313921896849E-2</v>
      </c>
      <c r="G81" s="5">
        <f t="shared" si="3"/>
        <v>-1.7560804329974644E-4</v>
      </c>
    </row>
    <row r="82" spans="1:7" x14ac:dyDescent="0.25">
      <c r="A82" s="12">
        <v>44648</v>
      </c>
      <c r="B82" s="13">
        <v>1124.82</v>
      </c>
      <c r="C82" s="13">
        <v>1142.3</v>
      </c>
      <c r="D82" s="5">
        <f t="shared" si="2"/>
        <v>7.0253783018371552</v>
      </c>
      <c r="E82" s="5">
        <f t="shared" si="2"/>
        <v>7.0407990527399011</v>
      </c>
      <c r="F82" s="5">
        <f t="shared" si="3"/>
        <v>-1.6890165074823216E-4</v>
      </c>
      <c r="G82" s="5">
        <f t="shared" si="3"/>
        <v>3.0686973360189995E-3</v>
      </c>
    </row>
    <row r="83" spans="1:7" x14ac:dyDescent="0.25">
      <c r="A83" s="12">
        <v>44649</v>
      </c>
      <c r="B83" s="13">
        <v>1136.45</v>
      </c>
      <c r="C83" s="13">
        <v>1162.5</v>
      </c>
      <c r="D83" s="5">
        <f t="shared" si="2"/>
        <v>7.0356646476041682</v>
      </c>
      <c r="E83" s="5">
        <f t="shared" si="2"/>
        <v>7.058328137461511</v>
      </c>
      <c r="F83" s="5">
        <f t="shared" si="3"/>
        <v>1.0286345767013039E-2</v>
      </c>
      <c r="G83" s="5">
        <f t="shared" si="3"/>
        <v>1.7529084721609856E-2</v>
      </c>
    </row>
    <row r="84" spans="1:7" x14ac:dyDescent="0.25">
      <c r="A84" s="12">
        <v>44650</v>
      </c>
      <c r="B84" s="13">
        <v>1149.3</v>
      </c>
      <c r="C84" s="13">
        <v>1155.9000000000001</v>
      </c>
      <c r="D84" s="5">
        <f t="shared" si="2"/>
        <v>7.0469083403747126</v>
      </c>
      <c r="E84" s="5">
        <f t="shared" si="2"/>
        <v>7.0526345403002217</v>
      </c>
      <c r="F84" s="5">
        <f t="shared" si="3"/>
        <v>1.1243692770544378E-2</v>
      </c>
      <c r="G84" s="5">
        <f t="shared" si="3"/>
        <v>-5.6935971612892544E-3</v>
      </c>
    </row>
    <row r="85" spans="1:7" x14ac:dyDescent="0.25">
      <c r="A85" s="12">
        <v>44651</v>
      </c>
      <c r="B85" s="13">
        <v>1141.79</v>
      </c>
      <c r="C85" s="13">
        <v>1136.3</v>
      </c>
      <c r="D85" s="5">
        <f t="shared" si="2"/>
        <v>7.0403524853905628</v>
      </c>
      <c r="E85" s="5">
        <f t="shared" si="2"/>
        <v>7.0355326489239634</v>
      </c>
      <c r="F85" s="5">
        <f t="shared" si="3"/>
        <v>-6.5558549841497893E-3</v>
      </c>
      <c r="G85" s="5">
        <f t="shared" si="3"/>
        <v>-1.7101891376258394E-2</v>
      </c>
    </row>
    <row r="86" spans="1:7" x14ac:dyDescent="0.25">
      <c r="A86" s="12">
        <v>44652</v>
      </c>
      <c r="B86" s="13">
        <v>1145.8499999999999</v>
      </c>
      <c r="C86" s="13">
        <v>1161.5999999999999</v>
      </c>
      <c r="D86" s="5">
        <f t="shared" si="2"/>
        <v>7.0439019986554783</v>
      </c>
      <c r="E86" s="5">
        <f t="shared" si="2"/>
        <v>7.0575536440705315</v>
      </c>
      <c r="F86" s="5">
        <f t="shared" si="3"/>
        <v>3.5495132649154826E-3</v>
      </c>
      <c r="G86" s="5">
        <f t="shared" si="3"/>
        <v>2.202099514656819E-2</v>
      </c>
    </row>
    <row r="87" spans="1:7" x14ac:dyDescent="0.25">
      <c r="A87" s="12">
        <v>44655</v>
      </c>
      <c r="B87" s="13">
        <v>1161.6500000000001</v>
      </c>
      <c r="C87" s="13">
        <v>1181.9000000000001</v>
      </c>
      <c r="D87" s="5">
        <f t="shared" si="2"/>
        <v>7.057596687221297</v>
      </c>
      <c r="E87" s="5">
        <f t="shared" si="2"/>
        <v>7.0748785920181954</v>
      </c>
      <c r="F87" s="5">
        <f t="shared" si="3"/>
        <v>1.369468856581868E-2</v>
      </c>
      <c r="G87" s="5">
        <f t="shared" si="3"/>
        <v>1.7324947947663816E-2</v>
      </c>
    </row>
    <row r="88" spans="1:7" x14ac:dyDescent="0.25">
      <c r="A88" s="12">
        <v>44656</v>
      </c>
      <c r="B88" s="13">
        <v>1156.75</v>
      </c>
      <c r="C88" s="13">
        <v>1167.0999999999999</v>
      </c>
      <c r="D88" s="5">
        <f t="shared" si="2"/>
        <v>7.0533696277871094</v>
      </c>
      <c r="E88" s="5">
        <f t="shared" si="2"/>
        <v>7.0622773184183076</v>
      </c>
      <c r="F88" s="5">
        <f t="shared" si="3"/>
        <v>-4.2270594341875523E-3</v>
      </c>
      <c r="G88" s="5">
        <f t="shared" si="3"/>
        <v>-1.2601273599887719E-2</v>
      </c>
    </row>
    <row r="89" spans="1:7" x14ac:dyDescent="0.25">
      <c r="A89" s="12">
        <v>44657</v>
      </c>
      <c r="B89" s="13">
        <v>1142.5</v>
      </c>
      <c r="C89" s="13">
        <v>1151.0999999999999</v>
      </c>
      <c r="D89" s="5">
        <f t="shared" si="2"/>
        <v>7.0409741227683593</v>
      </c>
      <c r="E89" s="5">
        <f t="shared" si="2"/>
        <v>7.0484732859210162</v>
      </c>
      <c r="F89" s="5">
        <f t="shared" si="3"/>
        <v>-1.2395505018750086E-2</v>
      </c>
      <c r="G89" s="5">
        <f t="shared" si="3"/>
        <v>-1.3804032497291452E-2</v>
      </c>
    </row>
    <row r="90" spans="1:7" x14ac:dyDescent="0.25">
      <c r="A90" s="12">
        <v>44658</v>
      </c>
      <c r="B90" s="13">
        <v>1126.06</v>
      </c>
      <c r="C90" s="13">
        <v>1139.3</v>
      </c>
      <c r="D90" s="5">
        <f t="shared" si="2"/>
        <v>7.0264800932480176</v>
      </c>
      <c r="E90" s="5">
        <f t="shared" si="2"/>
        <v>7.0381693177040701</v>
      </c>
      <c r="F90" s="5">
        <f t="shared" si="3"/>
        <v>-1.4494029520341734E-2</v>
      </c>
      <c r="G90" s="5">
        <f t="shared" si="3"/>
        <v>-1.0303968216946124E-2</v>
      </c>
    </row>
    <row r="91" spans="1:7" x14ac:dyDescent="0.25">
      <c r="A91" s="12">
        <v>44659</v>
      </c>
      <c r="B91" s="13">
        <v>1127.93</v>
      </c>
      <c r="C91" s="13">
        <v>1142.8</v>
      </c>
      <c r="D91" s="5">
        <f t="shared" si="2"/>
        <v>7.0281393733948168</v>
      </c>
      <c r="E91" s="5">
        <f t="shared" si="2"/>
        <v>7.0412366703566178</v>
      </c>
      <c r="F91" s="5">
        <f t="shared" si="3"/>
        <v>1.6592801467991691E-3</v>
      </c>
      <c r="G91" s="5">
        <f t="shared" si="3"/>
        <v>3.0673526525477612E-3</v>
      </c>
    </row>
    <row r="92" spans="1:7" x14ac:dyDescent="0.25">
      <c r="A92" s="12">
        <v>44662</v>
      </c>
      <c r="B92" s="13">
        <v>1111.76</v>
      </c>
      <c r="C92" s="13">
        <v>1130.7</v>
      </c>
      <c r="D92" s="5">
        <f t="shared" si="2"/>
        <v>7.0136996241783267</v>
      </c>
      <c r="E92" s="5">
        <f t="shared" si="2"/>
        <v>7.0305921889411991</v>
      </c>
      <c r="F92" s="5">
        <f t="shared" si="3"/>
        <v>-1.443974921649005E-2</v>
      </c>
      <c r="G92" s="5">
        <f t="shared" si="3"/>
        <v>-1.0644481415418738E-2</v>
      </c>
    </row>
    <row r="93" spans="1:7" x14ac:dyDescent="0.25">
      <c r="A93" s="12">
        <v>44663</v>
      </c>
      <c r="B93" s="13">
        <v>1110.4000000000001</v>
      </c>
      <c r="C93" s="13">
        <v>1122.2</v>
      </c>
      <c r="D93" s="5">
        <f t="shared" si="2"/>
        <v>7.0124755897525404</v>
      </c>
      <c r="E93" s="5">
        <f t="shared" si="2"/>
        <v>7.0230463233168718</v>
      </c>
      <c r="F93" s="5">
        <f t="shared" si="3"/>
        <v>-1.2240344257863356E-3</v>
      </c>
      <c r="G93" s="5">
        <f t="shared" si="3"/>
        <v>-7.5458656243272415E-3</v>
      </c>
    </row>
    <row r="94" spans="1:7" x14ac:dyDescent="0.25">
      <c r="A94" s="12">
        <v>44664</v>
      </c>
      <c r="B94" s="13">
        <v>1119.32</v>
      </c>
      <c r="C94" s="13">
        <v>1132.5</v>
      </c>
      <c r="D94" s="5">
        <f t="shared" si="2"/>
        <v>7.0204766370461371</v>
      </c>
      <c r="E94" s="5">
        <f t="shared" si="2"/>
        <v>7.0321828573571894</v>
      </c>
      <c r="F94" s="5">
        <f t="shared" si="3"/>
        <v>8.0010472935967414E-3</v>
      </c>
      <c r="G94" s="5">
        <f t="shared" si="3"/>
        <v>9.1365340403175566E-3</v>
      </c>
    </row>
    <row r="95" spans="1:7" x14ac:dyDescent="0.25">
      <c r="A95" s="12">
        <v>44665</v>
      </c>
      <c r="B95" s="13">
        <v>1117.3599999999999</v>
      </c>
      <c r="C95" s="13">
        <v>1124.5</v>
      </c>
      <c r="D95" s="5">
        <f t="shared" si="2"/>
        <v>7.0187240389975161</v>
      </c>
      <c r="E95" s="5">
        <f t="shared" si="2"/>
        <v>7.0250937713993702</v>
      </c>
      <c r="F95" s="5">
        <f t="shared" si="3"/>
        <v>-1.7525980486210457E-3</v>
      </c>
      <c r="G95" s="5">
        <f t="shared" si="3"/>
        <v>-7.0890859578192078E-3</v>
      </c>
    </row>
    <row r="96" spans="1:7" x14ac:dyDescent="0.25">
      <c r="A96" s="12">
        <v>44666</v>
      </c>
      <c r="B96" s="13">
        <v>1112.9000000000001</v>
      </c>
      <c r="C96" s="17">
        <f>C95</f>
        <v>1124.5</v>
      </c>
      <c r="D96" s="5">
        <f t="shared" si="2"/>
        <v>7.0147244999793799</v>
      </c>
      <c r="E96" s="5">
        <f t="shared" si="2"/>
        <v>7.0250937713993702</v>
      </c>
      <c r="F96" s="5">
        <f t="shared" si="3"/>
        <v>-3.9995390181362112E-3</v>
      </c>
      <c r="G96" s="5">
        <f t="shared" si="3"/>
        <v>0</v>
      </c>
    </row>
    <row r="97" spans="1:7" x14ac:dyDescent="0.25">
      <c r="A97" s="12">
        <v>44669</v>
      </c>
      <c r="B97" s="13">
        <v>1106.68</v>
      </c>
      <c r="C97" s="13">
        <v>1118.4000000000001</v>
      </c>
      <c r="D97" s="5">
        <f t="shared" si="2"/>
        <v>7.0091198213626171</v>
      </c>
      <c r="E97" s="5">
        <f t="shared" si="2"/>
        <v>7.0196543714795459</v>
      </c>
      <c r="F97" s="5">
        <f t="shared" si="3"/>
        <v>-5.6046786167627261E-3</v>
      </c>
      <c r="G97" s="5">
        <f t="shared" si="3"/>
        <v>-5.4393999198243392E-3</v>
      </c>
    </row>
    <row r="98" spans="1:7" x14ac:dyDescent="0.25">
      <c r="A98" s="12">
        <v>44670</v>
      </c>
      <c r="B98" s="13">
        <v>1096</v>
      </c>
      <c r="C98" s="13">
        <v>1116.7</v>
      </c>
      <c r="D98" s="5">
        <f t="shared" si="2"/>
        <v>6.9994224675079613</v>
      </c>
      <c r="E98" s="5">
        <f t="shared" si="2"/>
        <v>7.0181331864517462</v>
      </c>
      <c r="F98" s="5">
        <f t="shared" si="3"/>
        <v>-9.6973538546558657E-3</v>
      </c>
      <c r="G98" s="5">
        <f t="shared" si="3"/>
        <v>-1.5211850277996319E-3</v>
      </c>
    </row>
    <row r="99" spans="1:7" x14ac:dyDescent="0.25">
      <c r="A99" s="12">
        <v>44671</v>
      </c>
      <c r="B99" s="13">
        <v>1095.6300000000001</v>
      </c>
      <c r="C99" s="13">
        <v>1112.9000000000001</v>
      </c>
      <c r="D99" s="5">
        <f t="shared" si="2"/>
        <v>6.9990848192703341</v>
      </c>
      <c r="E99" s="5">
        <f t="shared" si="2"/>
        <v>7.0147244999793799</v>
      </c>
      <c r="F99" s="5">
        <f t="shared" si="3"/>
        <v>-3.3764823762716389E-4</v>
      </c>
      <c r="G99" s="5">
        <f t="shared" si="3"/>
        <v>-3.4086864723663624E-3</v>
      </c>
    </row>
    <row r="100" spans="1:7" x14ac:dyDescent="0.25">
      <c r="A100" s="12">
        <v>44672</v>
      </c>
      <c r="B100" s="13">
        <v>1086.93</v>
      </c>
      <c r="C100" s="13">
        <v>1094.8</v>
      </c>
      <c r="D100" s="5">
        <f t="shared" si="2"/>
        <v>6.9911124876235036</v>
      </c>
      <c r="E100" s="5">
        <f t="shared" si="2"/>
        <v>6.9983269771665242</v>
      </c>
      <c r="F100" s="5">
        <f t="shared" si="3"/>
        <v>-7.9723316468305327E-3</v>
      </c>
      <c r="G100" s="5">
        <f t="shared" si="3"/>
        <v>-1.6397522812855669E-2</v>
      </c>
    </row>
    <row r="101" spans="1:7" x14ac:dyDescent="0.25">
      <c r="A101" s="12">
        <v>44673</v>
      </c>
      <c r="B101" s="13">
        <v>1075.5999999999999</v>
      </c>
      <c r="C101" s="13">
        <v>1087.5999999999999</v>
      </c>
      <c r="D101" s="5">
        <f t="shared" si="2"/>
        <v>6.9806339243947093</v>
      </c>
      <c r="E101" s="5">
        <f t="shared" si="2"/>
        <v>6.9917287127583156</v>
      </c>
      <c r="F101" s="5">
        <f t="shared" si="3"/>
        <v>-1.0478563228794258E-2</v>
      </c>
      <c r="G101" s="5">
        <f t="shared" si="3"/>
        <v>-6.5982644082085429E-3</v>
      </c>
    </row>
    <row r="102" spans="1:7" x14ac:dyDescent="0.25">
      <c r="A102" s="12">
        <v>44676</v>
      </c>
      <c r="B102" s="13">
        <v>1046.04</v>
      </c>
      <c r="C102" s="13">
        <v>1068.9000000000001</v>
      </c>
      <c r="D102" s="5">
        <f t="shared" si="2"/>
        <v>6.952766884811485</v>
      </c>
      <c r="E102" s="5">
        <f t="shared" si="2"/>
        <v>6.9743853612799001</v>
      </c>
      <c r="F102" s="5">
        <f t="shared" si="3"/>
        <v>-2.786703958322434E-2</v>
      </c>
      <c r="G102" s="5">
        <f t="shared" si="3"/>
        <v>-1.7343351478415592E-2</v>
      </c>
    </row>
    <row r="103" spans="1:7" x14ac:dyDescent="0.25">
      <c r="A103" s="12">
        <v>44677</v>
      </c>
      <c r="B103" s="13">
        <v>1049.3900000000001</v>
      </c>
      <c r="C103" s="13">
        <v>1046.0999999999999</v>
      </c>
      <c r="D103" s="5">
        <f t="shared" si="2"/>
        <v>6.9559643219523952</v>
      </c>
      <c r="E103" s="5">
        <f t="shared" si="2"/>
        <v>6.9528242423497151</v>
      </c>
      <c r="F103" s="5">
        <f t="shared" si="3"/>
        <v>3.1974371409102531E-3</v>
      </c>
      <c r="G103" s="5">
        <f t="shared" si="3"/>
        <v>-2.1561118930184975E-2</v>
      </c>
    </row>
    <row r="104" spans="1:7" x14ac:dyDescent="0.25">
      <c r="A104" s="12">
        <v>44678</v>
      </c>
      <c r="B104" s="13">
        <v>1043.74</v>
      </c>
      <c r="C104" s="13">
        <v>1058.7</v>
      </c>
      <c r="D104" s="5">
        <f t="shared" si="2"/>
        <v>6.9505656952808454</v>
      </c>
      <c r="E104" s="5">
        <f t="shared" si="2"/>
        <v>6.9647970193493345</v>
      </c>
      <c r="F104" s="5">
        <f t="shared" si="3"/>
        <v>-5.3986266715497777E-3</v>
      </c>
      <c r="G104" s="5">
        <f t="shared" si="3"/>
        <v>1.1972776999619406E-2</v>
      </c>
    </row>
    <row r="105" spans="1:7" x14ac:dyDescent="0.25">
      <c r="A105" s="12">
        <v>44679</v>
      </c>
      <c r="B105" s="13">
        <v>1053.82</v>
      </c>
      <c r="C105" s="13">
        <v>1078.8</v>
      </c>
      <c r="D105" s="5">
        <f t="shared" si="2"/>
        <v>6.9601769365284714</v>
      </c>
      <c r="E105" s="5">
        <f t="shared" si="2"/>
        <v>6.9836045912655749</v>
      </c>
      <c r="F105" s="5">
        <f t="shared" si="3"/>
        <v>9.6112412476259124E-3</v>
      </c>
      <c r="G105" s="5">
        <f t="shared" si="3"/>
        <v>1.8807571916240384E-2</v>
      </c>
    </row>
    <row r="106" spans="1:7" x14ac:dyDescent="0.25">
      <c r="A106" s="12">
        <v>44680</v>
      </c>
      <c r="B106" s="13">
        <v>1076.19</v>
      </c>
      <c r="C106" s="13">
        <v>1086.7</v>
      </c>
      <c r="D106" s="5">
        <f t="shared" si="2"/>
        <v>6.9811823050589803</v>
      </c>
      <c r="E106" s="5">
        <f t="shared" si="2"/>
        <v>6.9909008600688063</v>
      </c>
      <c r="F106" s="5">
        <f t="shared" si="3"/>
        <v>2.1005368530508939E-2</v>
      </c>
      <c r="G106" s="5">
        <f t="shared" si="3"/>
        <v>7.2962688032314205E-3</v>
      </c>
    </row>
    <row r="107" spans="1:7" x14ac:dyDescent="0.25">
      <c r="A107" s="12">
        <v>44683</v>
      </c>
      <c r="B107" s="13">
        <v>1072.56</v>
      </c>
      <c r="C107" s="13">
        <v>1085.3</v>
      </c>
      <c r="D107" s="5">
        <f t="shared" si="2"/>
        <v>6.9778035932933058</v>
      </c>
      <c r="E107" s="5">
        <f t="shared" si="2"/>
        <v>6.9896117254519696</v>
      </c>
      <c r="F107" s="5">
        <f t="shared" si="3"/>
        <v>-3.3787117656745025E-3</v>
      </c>
      <c r="G107" s="5">
        <f t="shared" si="3"/>
        <v>-1.2891346168366624E-3</v>
      </c>
    </row>
    <row r="108" spans="1:7" x14ac:dyDescent="0.25">
      <c r="A108" s="12">
        <v>44684</v>
      </c>
      <c r="B108" s="13">
        <v>1069.24</v>
      </c>
      <c r="C108" s="13">
        <v>1091.9000000000001</v>
      </c>
      <c r="D108" s="5">
        <f t="shared" si="2"/>
        <v>6.9747033947135062</v>
      </c>
      <c r="E108" s="5">
        <f t="shared" si="2"/>
        <v>6.9956745770200204</v>
      </c>
      <c r="F108" s="5">
        <f t="shared" si="3"/>
        <v>-3.1001985797995957E-3</v>
      </c>
      <c r="G108" s="5">
        <f t="shared" si="3"/>
        <v>6.0628515680507533E-3</v>
      </c>
    </row>
    <row r="109" spans="1:7" x14ac:dyDescent="0.25">
      <c r="A109" s="12">
        <v>44685</v>
      </c>
      <c r="B109" s="13">
        <v>1063.8399999999999</v>
      </c>
      <c r="C109" s="13">
        <v>1106.7</v>
      </c>
      <c r="D109" s="5">
        <f t="shared" si="2"/>
        <v>6.9696402826541446</v>
      </c>
      <c r="E109" s="5">
        <f t="shared" si="2"/>
        <v>7.00913789327074</v>
      </c>
      <c r="F109" s="5">
        <f t="shared" si="3"/>
        <v>-5.0631120593616075E-3</v>
      </c>
      <c r="G109" s="5">
        <f t="shared" si="3"/>
        <v>1.3463316250719615E-2</v>
      </c>
    </row>
    <row r="110" spans="1:7" x14ac:dyDescent="0.25">
      <c r="A110" s="12">
        <v>44686</v>
      </c>
      <c r="B110" s="13">
        <v>1058.72</v>
      </c>
      <c r="C110" s="13">
        <v>1066</v>
      </c>
      <c r="D110" s="5">
        <f t="shared" si="2"/>
        <v>6.9648159102637495</v>
      </c>
      <c r="E110" s="5">
        <f t="shared" si="2"/>
        <v>6.9716686047257896</v>
      </c>
      <c r="F110" s="5">
        <f t="shared" si="3"/>
        <v>-4.8243723903951263E-3</v>
      </c>
      <c r="G110" s="5">
        <f t="shared" si="3"/>
        <v>-3.7469288544950352E-2</v>
      </c>
    </row>
    <row r="111" spans="1:7" x14ac:dyDescent="0.25">
      <c r="A111" s="12">
        <v>44687</v>
      </c>
      <c r="B111" s="13">
        <v>1031.5</v>
      </c>
      <c r="C111" s="13">
        <v>1049.9000000000001</v>
      </c>
      <c r="D111" s="5">
        <f t="shared" si="2"/>
        <v>6.9387693325113062</v>
      </c>
      <c r="E111" s="5">
        <f t="shared" si="2"/>
        <v>6.9564502005208952</v>
      </c>
      <c r="F111" s="5">
        <f t="shared" si="3"/>
        <v>-2.6046577752443234E-2</v>
      </c>
      <c r="G111" s="5">
        <f t="shared" si="3"/>
        <v>-1.5218404204894398E-2</v>
      </c>
    </row>
    <row r="112" spans="1:7" x14ac:dyDescent="0.25">
      <c r="A112" s="12">
        <v>44690</v>
      </c>
      <c r="B112" s="13">
        <v>1014.68</v>
      </c>
      <c r="C112" s="13">
        <v>1015.4</v>
      </c>
      <c r="D112" s="5">
        <f t="shared" si="2"/>
        <v>6.9223285708315974</v>
      </c>
      <c r="E112" s="5">
        <f t="shared" si="2"/>
        <v>6.9230379025132942</v>
      </c>
      <c r="F112" s="5">
        <f t="shared" si="3"/>
        <v>-1.6440761679708871E-2</v>
      </c>
      <c r="G112" s="5">
        <f t="shared" si="3"/>
        <v>-3.3412298007601038E-2</v>
      </c>
    </row>
    <row r="113" spans="1:7" x14ac:dyDescent="0.25">
      <c r="A113" s="12">
        <v>44691</v>
      </c>
      <c r="B113" s="13">
        <v>1007.22</v>
      </c>
      <c r="C113" s="13">
        <v>1018.3</v>
      </c>
      <c r="D113" s="5">
        <f t="shared" si="2"/>
        <v>6.9149493395623773</v>
      </c>
      <c r="E113" s="5">
        <f t="shared" si="2"/>
        <v>6.9258898491776195</v>
      </c>
      <c r="F113" s="5">
        <f t="shared" si="3"/>
        <v>-7.3792312692200213E-3</v>
      </c>
      <c r="G113" s="5">
        <f t="shared" si="3"/>
        <v>2.8519466643253111E-3</v>
      </c>
    </row>
    <row r="114" spans="1:7" x14ac:dyDescent="0.25">
      <c r="A114" s="12">
        <v>44692</v>
      </c>
      <c r="B114" s="13">
        <v>1011.22</v>
      </c>
      <c r="C114" s="13">
        <v>1015.5</v>
      </c>
      <c r="D114" s="5">
        <f t="shared" si="2"/>
        <v>6.9189128016780144</v>
      </c>
      <c r="E114" s="5">
        <f t="shared" si="2"/>
        <v>6.9231363810204396</v>
      </c>
      <c r="F114" s="5">
        <f t="shared" si="3"/>
        <v>3.9634621156370287E-3</v>
      </c>
      <c r="G114" s="5">
        <f t="shared" si="3"/>
        <v>-2.7534681571799169E-3</v>
      </c>
    </row>
    <row r="115" spans="1:7" x14ac:dyDescent="0.25">
      <c r="A115" s="12">
        <v>44693</v>
      </c>
      <c r="B115" s="13">
        <v>987.82</v>
      </c>
      <c r="C115" s="13">
        <v>1002.5</v>
      </c>
      <c r="D115" s="5">
        <f t="shared" si="2"/>
        <v>6.8955004949151224</v>
      </c>
      <c r="E115" s="5">
        <f t="shared" si="2"/>
        <v>6.9102521591807244</v>
      </c>
      <c r="F115" s="5">
        <f t="shared" si="3"/>
        <v>-2.3412306762891966E-2</v>
      </c>
      <c r="G115" s="5">
        <f t="shared" si="3"/>
        <v>-1.288422183971516E-2</v>
      </c>
    </row>
    <row r="116" spans="1:7" x14ac:dyDescent="0.25">
      <c r="A116" s="12">
        <v>44694</v>
      </c>
      <c r="B116" s="13">
        <v>1004.52</v>
      </c>
      <c r="C116" s="13">
        <v>1031.5</v>
      </c>
      <c r="D116" s="5">
        <f t="shared" si="2"/>
        <v>6.9122650944599657</v>
      </c>
      <c r="E116" s="5">
        <f t="shared" si="2"/>
        <v>6.9387693325113062</v>
      </c>
      <c r="F116" s="5">
        <f t="shared" si="3"/>
        <v>1.6764599544843328E-2</v>
      </c>
      <c r="G116" s="5">
        <f t="shared" si="3"/>
        <v>2.8517173330581791E-2</v>
      </c>
    </row>
    <row r="117" spans="1:7" x14ac:dyDescent="0.25">
      <c r="A117" s="12">
        <v>44697</v>
      </c>
      <c r="B117" s="13">
        <v>1007.5</v>
      </c>
      <c r="C117" s="13">
        <v>1024.8</v>
      </c>
      <c r="D117" s="5">
        <f t="shared" si="2"/>
        <v>6.9152272938208377</v>
      </c>
      <c r="E117" s="5">
        <f t="shared" si="2"/>
        <v>6.9322527505825242</v>
      </c>
      <c r="F117" s="5">
        <f t="shared" si="3"/>
        <v>2.9621993608719421E-3</v>
      </c>
      <c r="G117" s="5">
        <f t="shared" si="3"/>
        <v>-6.516581928782017E-3</v>
      </c>
    </row>
    <row r="118" spans="1:7" x14ac:dyDescent="0.25">
      <c r="A118" s="12">
        <v>44698</v>
      </c>
      <c r="B118" s="13">
        <v>1030.83</v>
      </c>
      <c r="C118" s="13">
        <v>1054.0999999999999</v>
      </c>
      <c r="D118" s="5">
        <f t="shared" si="2"/>
        <v>6.9381195819635559</v>
      </c>
      <c r="E118" s="5">
        <f t="shared" si="2"/>
        <v>6.9604426012611436</v>
      </c>
      <c r="F118" s="5">
        <f t="shared" si="3"/>
        <v>2.2892288142718265E-2</v>
      </c>
      <c r="G118" s="5">
        <f t="shared" si="3"/>
        <v>2.8189850678619344E-2</v>
      </c>
    </row>
    <row r="119" spans="1:7" x14ac:dyDescent="0.25">
      <c r="A119" s="12">
        <v>44699</v>
      </c>
      <c r="B119" s="13">
        <v>1033.19</v>
      </c>
      <c r="C119" s="13">
        <v>1028.9000000000001</v>
      </c>
      <c r="D119" s="5">
        <f t="shared" si="2"/>
        <v>6.940406382506632</v>
      </c>
      <c r="E119" s="5">
        <f t="shared" si="2"/>
        <v>6.9362455493817645</v>
      </c>
      <c r="F119" s="5">
        <f t="shared" si="3"/>
        <v>2.2868005430760618E-3</v>
      </c>
      <c r="G119" s="5">
        <f t="shared" si="3"/>
        <v>-2.4197051879379039E-2</v>
      </c>
    </row>
    <row r="120" spans="1:7" x14ac:dyDescent="0.25">
      <c r="A120" s="12">
        <v>44700</v>
      </c>
      <c r="B120" s="13">
        <v>1014.89</v>
      </c>
      <c r="C120" s="13">
        <v>1041.9000000000001</v>
      </c>
      <c r="D120" s="5">
        <f t="shared" si="2"/>
        <v>6.9225355112187232</v>
      </c>
      <c r="E120" s="5">
        <f t="shared" si="2"/>
        <v>6.9488012484181381</v>
      </c>
      <c r="F120" s="5">
        <f t="shared" si="3"/>
        <v>-1.7870871287908763E-2</v>
      </c>
      <c r="G120" s="5">
        <f t="shared" si="3"/>
        <v>1.2555699036373547E-2</v>
      </c>
    </row>
    <row r="121" spans="1:7" x14ac:dyDescent="0.25">
      <c r="A121" s="12">
        <v>44701</v>
      </c>
      <c r="B121" s="13">
        <v>1035.31</v>
      </c>
      <c r="C121" s="13">
        <v>1046</v>
      </c>
      <c r="D121" s="5">
        <f t="shared" si="2"/>
        <v>6.9424561777614473</v>
      </c>
      <c r="E121" s="5">
        <f t="shared" si="2"/>
        <v>6.9527286446248686</v>
      </c>
      <c r="F121" s="5">
        <f t="shared" si="3"/>
        <v>1.9920666542724064E-2</v>
      </c>
      <c r="G121" s="5">
        <f t="shared" si="3"/>
        <v>3.927396206730549E-3</v>
      </c>
    </row>
    <row r="122" spans="1:7" x14ac:dyDescent="0.25">
      <c r="A122" s="12">
        <v>44704</v>
      </c>
      <c r="B122" s="13">
        <v>1034.51</v>
      </c>
      <c r="C122" s="13">
        <v>1054.2</v>
      </c>
      <c r="D122" s="5">
        <f t="shared" si="2"/>
        <v>6.9416831636444352</v>
      </c>
      <c r="E122" s="5">
        <f t="shared" si="2"/>
        <v>6.9605374644211064</v>
      </c>
      <c r="F122" s="5">
        <f t="shared" si="3"/>
        <v>-7.7301411701213851E-4</v>
      </c>
      <c r="G122" s="5">
        <f t="shared" si="3"/>
        <v>7.8088197962378203E-3</v>
      </c>
    </row>
    <row r="123" spans="1:7" x14ac:dyDescent="0.25">
      <c r="A123" s="12">
        <v>44705</v>
      </c>
      <c r="B123" s="13">
        <v>1016.99</v>
      </c>
      <c r="C123" s="13">
        <v>1029.2</v>
      </c>
      <c r="D123" s="5">
        <f t="shared" si="2"/>
        <v>6.9246025631585262</v>
      </c>
      <c r="E123" s="5">
        <f t="shared" si="2"/>
        <v>6.9365370804075894</v>
      </c>
      <c r="F123" s="5">
        <f t="shared" si="3"/>
        <v>-1.7080600485908981E-2</v>
      </c>
      <c r="G123" s="5">
        <f t="shared" si="3"/>
        <v>-2.4000384013517007E-2</v>
      </c>
    </row>
    <row r="124" spans="1:7" x14ac:dyDescent="0.25">
      <c r="A124" s="12">
        <v>44706</v>
      </c>
      <c r="B124" s="13">
        <v>1019.59</v>
      </c>
      <c r="C124" s="13">
        <v>1032.5999999999999</v>
      </c>
      <c r="D124" s="5">
        <f t="shared" si="2"/>
        <v>6.927155864686112</v>
      </c>
      <c r="E124" s="5">
        <f t="shared" si="2"/>
        <v>6.9398351724455489</v>
      </c>
      <c r="F124" s="5">
        <f t="shared" si="3"/>
        <v>2.5533015275858162E-3</v>
      </c>
      <c r="G124" s="5">
        <f t="shared" si="3"/>
        <v>3.2980920379594991E-3</v>
      </c>
    </row>
    <row r="125" spans="1:7" x14ac:dyDescent="0.25">
      <c r="A125" s="12">
        <v>44707</v>
      </c>
      <c r="B125" s="13">
        <v>1022.96</v>
      </c>
      <c r="C125" s="13">
        <v>1049.7</v>
      </c>
      <c r="D125" s="5">
        <f t="shared" si="2"/>
        <v>6.9304556645029125</v>
      </c>
      <c r="E125" s="5">
        <f t="shared" si="2"/>
        <v>6.9562596880417518</v>
      </c>
      <c r="F125" s="5">
        <f t="shared" si="3"/>
        <v>3.2997998168005083E-3</v>
      </c>
      <c r="G125" s="5">
        <f t="shared" si="3"/>
        <v>1.6424515596202838E-2</v>
      </c>
    </row>
    <row r="126" spans="1:7" x14ac:dyDescent="0.25">
      <c r="A126" s="12">
        <v>44708</v>
      </c>
      <c r="B126" s="13">
        <v>1043.17</v>
      </c>
      <c r="C126" s="13">
        <v>1062.2</v>
      </c>
      <c r="D126" s="5">
        <f t="shared" si="2"/>
        <v>6.9500194330901675</v>
      </c>
      <c r="E126" s="5">
        <f t="shared" si="2"/>
        <v>6.9680975079882987</v>
      </c>
      <c r="F126" s="5">
        <f t="shared" si="3"/>
        <v>1.9563768587254948E-2</v>
      </c>
      <c r="G126" s="5">
        <f t="shared" si="3"/>
        <v>1.1837819946546979E-2</v>
      </c>
    </row>
    <row r="127" spans="1:7" x14ac:dyDescent="0.25">
      <c r="A127" s="12">
        <v>44711</v>
      </c>
      <c r="B127" s="13">
        <v>1065.0899999999999</v>
      </c>
      <c r="C127" s="13">
        <v>1062.2</v>
      </c>
      <c r="D127" s="5">
        <f t="shared" si="2"/>
        <v>6.9708145816152598</v>
      </c>
      <c r="E127" s="5">
        <f t="shared" si="2"/>
        <v>6.9680975079882987</v>
      </c>
      <c r="F127" s="5">
        <f t="shared" si="3"/>
        <v>2.0795148525092344E-2</v>
      </c>
      <c r="G127" s="5">
        <f t="shared" si="3"/>
        <v>0</v>
      </c>
    </row>
    <row r="128" spans="1:7" x14ac:dyDescent="0.25">
      <c r="A128" s="12">
        <v>44712</v>
      </c>
      <c r="B128" s="13">
        <v>1077.67</v>
      </c>
      <c r="C128" s="13">
        <v>1082.4000000000001</v>
      </c>
      <c r="D128" s="5">
        <f t="shared" si="2"/>
        <v>6.9825565821549214</v>
      </c>
      <c r="E128" s="5">
        <f t="shared" si="2"/>
        <v>6.986936076856578</v>
      </c>
      <c r="F128" s="5">
        <f t="shared" si="3"/>
        <v>1.1742000539661568E-2</v>
      </c>
      <c r="G128" s="5">
        <f t="shared" si="3"/>
        <v>1.8838568868279282E-2</v>
      </c>
    </row>
    <row r="129" spans="1:7" x14ac:dyDescent="0.25">
      <c r="A129" s="12">
        <v>44713</v>
      </c>
      <c r="B129" s="13">
        <v>1067.8599999999999</v>
      </c>
      <c r="C129" s="13">
        <v>1075.3</v>
      </c>
      <c r="D129" s="5">
        <f t="shared" si="2"/>
        <v>6.973411924785279</v>
      </c>
      <c r="E129" s="5">
        <f t="shared" si="2"/>
        <v>6.9803549713964808</v>
      </c>
      <c r="F129" s="5">
        <f t="shared" si="3"/>
        <v>-9.1446573696423172E-3</v>
      </c>
      <c r="G129" s="5">
        <f t="shared" si="3"/>
        <v>-6.5811054600972696E-3</v>
      </c>
    </row>
    <row r="130" spans="1:7" x14ac:dyDescent="0.25">
      <c r="A130" s="12">
        <v>44714</v>
      </c>
      <c r="B130" s="13">
        <v>1061.44</v>
      </c>
      <c r="C130" s="13">
        <v>1092.8</v>
      </c>
      <c r="D130" s="5">
        <f t="shared" si="2"/>
        <v>6.9673817557586872</v>
      </c>
      <c r="E130" s="5">
        <f t="shared" si="2"/>
        <v>6.9964984888165258</v>
      </c>
      <c r="F130" s="5">
        <f t="shared" si="3"/>
        <v>-6.030169026591814E-3</v>
      </c>
      <c r="G130" s="5">
        <f t="shared" si="3"/>
        <v>1.614351742004505E-2</v>
      </c>
    </row>
    <row r="131" spans="1:7" x14ac:dyDescent="0.25">
      <c r="A131" s="12">
        <v>44715</v>
      </c>
      <c r="B131" s="13">
        <v>1060.74</v>
      </c>
      <c r="C131" s="13">
        <v>1074.4000000000001</v>
      </c>
      <c r="D131" s="5">
        <f t="shared" si="2"/>
        <v>6.9667220567459864</v>
      </c>
      <c r="E131" s="5">
        <f t="shared" si="2"/>
        <v>6.979517645209028</v>
      </c>
      <c r="F131" s="5">
        <f t="shared" si="3"/>
        <v>-6.5969901270079845E-4</v>
      </c>
      <c r="G131" s="5">
        <f t="shared" si="3"/>
        <v>-1.6980843607497853E-2</v>
      </c>
    </row>
    <row r="132" spans="1:7" x14ac:dyDescent="0.25">
      <c r="A132" s="12">
        <v>44718</v>
      </c>
      <c r="B132" s="13">
        <v>1071.33</v>
      </c>
      <c r="C132" s="13">
        <v>1081.4000000000001</v>
      </c>
      <c r="D132" s="5">
        <f t="shared" ref="D132:E195" si="4">LN(B132)</f>
        <v>6.9766561462368291</v>
      </c>
      <c r="E132" s="5">
        <f t="shared" si="4"/>
        <v>6.9860117769479047</v>
      </c>
      <c r="F132" s="5">
        <f t="shared" ref="F132:G195" si="5">D132-D131</f>
        <v>9.9340894908426236E-3</v>
      </c>
      <c r="G132" s="5">
        <f t="shared" si="5"/>
        <v>6.4941317388766961E-3</v>
      </c>
    </row>
    <row r="133" spans="1:7" x14ac:dyDescent="0.25">
      <c r="A133" s="12">
        <v>44719</v>
      </c>
      <c r="B133" s="13">
        <v>1061.02</v>
      </c>
      <c r="C133" s="13">
        <v>1086.2</v>
      </c>
      <c r="D133" s="5">
        <f t="shared" si="4"/>
        <v>6.9669859885776972</v>
      </c>
      <c r="E133" s="5">
        <f t="shared" si="4"/>
        <v>6.9904406456007449</v>
      </c>
      <c r="F133" s="5">
        <f t="shared" si="5"/>
        <v>-9.6701576591318172E-3</v>
      </c>
      <c r="G133" s="5">
        <f t="shared" si="5"/>
        <v>4.428868652840201E-3</v>
      </c>
    </row>
    <row r="134" spans="1:7" x14ac:dyDescent="0.25">
      <c r="A134" s="12">
        <v>44720</v>
      </c>
      <c r="B134" s="13">
        <v>1073.74</v>
      </c>
      <c r="C134" s="13">
        <v>1093.4000000000001</v>
      </c>
      <c r="D134" s="5">
        <f t="shared" si="4"/>
        <v>6.9789031601002662</v>
      </c>
      <c r="E134" s="5">
        <f t="shared" si="4"/>
        <v>6.9970473864608991</v>
      </c>
      <c r="F134" s="5">
        <f t="shared" si="5"/>
        <v>1.1917171522568992E-2</v>
      </c>
      <c r="G134" s="5">
        <f t="shared" si="5"/>
        <v>6.6067408601542255E-3</v>
      </c>
    </row>
    <row r="135" spans="1:7" x14ac:dyDescent="0.25">
      <c r="A135" s="12">
        <v>44721</v>
      </c>
      <c r="B135" s="13">
        <v>1067.1500000000001</v>
      </c>
      <c r="C135" s="13">
        <v>1072.4000000000001</v>
      </c>
      <c r="D135" s="5">
        <f t="shared" si="4"/>
        <v>6.9727468224895768</v>
      </c>
      <c r="E135" s="5">
        <f t="shared" si="4"/>
        <v>6.977654406361804</v>
      </c>
      <c r="F135" s="5">
        <f t="shared" si="5"/>
        <v>-6.1563376106894552E-3</v>
      </c>
      <c r="G135" s="5">
        <f t="shared" si="5"/>
        <v>-1.939298009909507E-2</v>
      </c>
    </row>
    <row r="136" spans="1:7" x14ac:dyDescent="0.25">
      <c r="A136" s="12">
        <v>44722</v>
      </c>
      <c r="B136" s="13">
        <v>1054.6400000000001</v>
      </c>
      <c r="C136" s="13">
        <v>1068</v>
      </c>
      <c r="D136" s="5">
        <f t="shared" si="4"/>
        <v>6.9609547554497144</v>
      </c>
      <c r="E136" s="5">
        <f t="shared" si="4"/>
        <v>6.9735430195201404</v>
      </c>
      <c r="F136" s="5">
        <f t="shared" si="5"/>
        <v>-1.1792067039862353E-2</v>
      </c>
      <c r="G136" s="5">
        <f t="shared" si="5"/>
        <v>-4.1113868416635668E-3</v>
      </c>
    </row>
    <row r="137" spans="1:7" x14ac:dyDescent="0.25">
      <c r="A137" s="12">
        <v>44725</v>
      </c>
      <c r="B137" s="13">
        <v>1016.46</v>
      </c>
      <c r="C137" s="13">
        <v>1040.2</v>
      </c>
      <c r="D137" s="5">
        <f t="shared" si="4"/>
        <v>6.9240812815809099</v>
      </c>
      <c r="E137" s="5">
        <f t="shared" si="4"/>
        <v>6.9471682813389721</v>
      </c>
      <c r="F137" s="5">
        <f t="shared" si="5"/>
        <v>-3.6873473868804574E-2</v>
      </c>
      <c r="G137" s="5">
        <f t="shared" si="5"/>
        <v>-2.6374738181168311E-2</v>
      </c>
    </row>
    <row r="138" spans="1:7" x14ac:dyDescent="0.25">
      <c r="A138" s="12">
        <v>44726</v>
      </c>
      <c r="B138" s="13">
        <v>1017.87</v>
      </c>
      <c r="C138" s="13">
        <v>1057.5</v>
      </c>
      <c r="D138" s="5">
        <f t="shared" si="4"/>
        <v>6.9254674875807076</v>
      </c>
      <c r="E138" s="5">
        <f t="shared" si="4"/>
        <v>6.9636629109204327</v>
      </c>
      <c r="F138" s="5">
        <f t="shared" si="5"/>
        <v>1.3862059997977738E-3</v>
      </c>
      <c r="G138" s="5">
        <f t="shared" si="5"/>
        <v>1.6494629581460529E-2</v>
      </c>
    </row>
    <row r="139" spans="1:7" x14ac:dyDescent="0.25">
      <c r="A139" s="12">
        <v>44727</v>
      </c>
      <c r="B139" s="13">
        <v>1020.1</v>
      </c>
      <c r="C139" s="13">
        <v>1069.0999999999999</v>
      </c>
      <c r="D139" s="5">
        <f t="shared" si="4"/>
        <v>6.9276559406884735</v>
      </c>
      <c r="E139" s="5">
        <f t="shared" si="4"/>
        <v>6.9745724520194541</v>
      </c>
      <c r="F139" s="5">
        <f t="shared" si="5"/>
        <v>2.1884531077658309E-3</v>
      </c>
      <c r="G139" s="5">
        <f t="shared" si="5"/>
        <v>1.0909541099021425E-2</v>
      </c>
    </row>
    <row r="140" spans="1:7" x14ac:dyDescent="0.25">
      <c r="A140" s="12">
        <v>44728</v>
      </c>
      <c r="B140" s="13">
        <v>1008.11</v>
      </c>
      <c r="C140" s="13">
        <v>1031.3</v>
      </c>
      <c r="D140" s="5">
        <f t="shared" si="4"/>
        <v>6.915832569661525</v>
      </c>
      <c r="E140" s="5">
        <f t="shared" si="4"/>
        <v>6.9385754213220237</v>
      </c>
      <c r="F140" s="5">
        <f t="shared" si="5"/>
        <v>-1.1823371026948415E-2</v>
      </c>
      <c r="G140" s="5">
        <f t="shared" si="5"/>
        <v>-3.5997030697430432E-2</v>
      </c>
    </row>
    <row r="141" spans="1:7" x14ac:dyDescent="0.25">
      <c r="A141" s="12">
        <v>44729</v>
      </c>
      <c r="B141" s="13">
        <v>1004.63</v>
      </c>
      <c r="C141" s="13">
        <v>1035.0999999999999</v>
      </c>
      <c r="D141" s="5">
        <f t="shared" si="4"/>
        <v>6.9123745935019585</v>
      </c>
      <c r="E141" s="5">
        <f t="shared" si="4"/>
        <v>6.942253319389704</v>
      </c>
      <c r="F141" s="5">
        <f t="shared" si="5"/>
        <v>-3.4579761595665559E-3</v>
      </c>
      <c r="G141" s="5">
        <f t="shared" si="5"/>
        <v>3.6778980676803741E-3</v>
      </c>
    </row>
    <row r="142" spans="1:7" x14ac:dyDescent="0.25">
      <c r="A142" s="12">
        <v>44732</v>
      </c>
      <c r="B142" s="13">
        <v>1000.42</v>
      </c>
      <c r="C142" s="13">
        <v>1035.0999999999999</v>
      </c>
      <c r="D142" s="5">
        <f t="shared" si="4"/>
        <v>6.9081751908068254</v>
      </c>
      <c r="E142" s="5">
        <f t="shared" si="4"/>
        <v>6.942253319389704</v>
      </c>
      <c r="F142" s="5">
        <f t="shared" si="5"/>
        <v>-4.199402695133081E-3</v>
      </c>
      <c r="G142" s="5">
        <f t="shared" si="5"/>
        <v>0</v>
      </c>
    </row>
    <row r="143" spans="1:7" x14ac:dyDescent="0.25">
      <c r="A143" s="12">
        <v>44733</v>
      </c>
      <c r="B143" s="13">
        <v>1016.98</v>
      </c>
      <c r="C143" s="13">
        <v>1051</v>
      </c>
      <c r="D143" s="5">
        <f t="shared" si="4"/>
        <v>6.9245927301718053</v>
      </c>
      <c r="E143" s="5">
        <f t="shared" si="4"/>
        <v>6.9574973708769514</v>
      </c>
      <c r="F143" s="5">
        <f t="shared" si="5"/>
        <v>1.6417539364979916E-2</v>
      </c>
      <c r="G143" s="5">
        <f t="shared" si="5"/>
        <v>1.524405148724739E-2</v>
      </c>
    </row>
    <row r="144" spans="1:7" x14ac:dyDescent="0.25">
      <c r="A144" s="12">
        <v>44734</v>
      </c>
      <c r="B144" s="13">
        <v>993.59</v>
      </c>
      <c r="C144" s="13">
        <v>1025.0999999999999</v>
      </c>
      <c r="D144" s="5">
        <f t="shared" si="4"/>
        <v>6.9013246467163292</v>
      </c>
      <c r="E144" s="5">
        <f t="shared" si="4"/>
        <v>6.932545447789356</v>
      </c>
      <c r="F144" s="5">
        <f t="shared" si="5"/>
        <v>-2.3268083455476152E-2</v>
      </c>
      <c r="G144" s="5">
        <f t="shared" si="5"/>
        <v>-2.4951923087595418E-2</v>
      </c>
    </row>
    <row r="145" spans="1:7" x14ac:dyDescent="0.25">
      <c r="A145" s="12">
        <v>44735</v>
      </c>
      <c r="B145" s="13">
        <v>995.34</v>
      </c>
      <c r="C145" s="13">
        <v>1023.3</v>
      </c>
      <c r="D145" s="5">
        <f t="shared" si="4"/>
        <v>6.9030843873322389</v>
      </c>
      <c r="E145" s="5">
        <f t="shared" si="4"/>
        <v>6.9307879780927095</v>
      </c>
      <c r="F145" s="5">
        <f t="shared" si="5"/>
        <v>1.7597406159097773E-3</v>
      </c>
      <c r="G145" s="5">
        <f t="shared" si="5"/>
        <v>-1.7574696966464742E-3</v>
      </c>
    </row>
    <row r="146" spans="1:7" x14ac:dyDescent="0.25">
      <c r="A146" s="12">
        <v>44736</v>
      </c>
      <c r="B146" s="13">
        <v>1011.18</v>
      </c>
      <c r="C146" s="13">
        <v>1049.0999999999999</v>
      </c>
      <c r="D146" s="5">
        <f t="shared" si="4"/>
        <v>6.918873244715984</v>
      </c>
      <c r="E146" s="5">
        <f t="shared" si="4"/>
        <v>6.9556879327374395</v>
      </c>
      <c r="F146" s="5">
        <f t="shared" si="5"/>
        <v>1.5788857383745025E-2</v>
      </c>
      <c r="G146" s="5">
        <f t="shared" si="5"/>
        <v>2.4899954644729938E-2</v>
      </c>
    </row>
    <row r="147" spans="1:7" x14ac:dyDescent="0.25">
      <c r="A147" s="12">
        <v>44739</v>
      </c>
      <c r="B147" s="13">
        <v>1027.55</v>
      </c>
      <c r="C147" s="13">
        <v>1050.9000000000001</v>
      </c>
      <c r="D147" s="5">
        <f t="shared" si="4"/>
        <v>6.934932606986929</v>
      </c>
      <c r="E147" s="5">
        <f t="shared" si="4"/>
        <v>6.9574022188715512</v>
      </c>
      <c r="F147" s="5">
        <f t="shared" si="5"/>
        <v>1.6059362270945066E-2</v>
      </c>
      <c r="G147" s="5">
        <f t="shared" si="5"/>
        <v>1.714286134111731E-3</v>
      </c>
    </row>
    <row r="148" spans="1:7" x14ac:dyDescent="0.25">
      <c r="A148" s="12">
        <v>44740</v>
      </c>
      <c r="B148" s="13">
        <v>1030.07</v>
      </c>
      <c r="C148" s="13">
        <v>1048</v>
      </c>
      <c r="D148" s="5">
        <f t="shared" si="4"/>
        <v>6.9373820400794743</v>
      </c>
      <c r="E148" s="5">
        <f t="shared" si="4"/>
        <v>6.9546388648809874</v>
      </c>
      <c r="F148" s="5">
        <f t="shared" si="5"/>
        <v>2.4494330925453056E-3</v>
      </c>
      <c r="G148" s="5">
        <f t="shared" si="5"/>
        <v>-2.7633539905638216E-3</v>
      </c>
    </row>
    <row r="149" spans="1:7" x14ac:dyDescent="0.25">
      <c r="A149" s="12">
        <v>44741</v>
      </c>
      <c r="B149" s="13">
        <v>1013.2</v>
      </c>
      <c r="C149" s="13">
        <v>1040.5999999999999</v>
      </c>
      <c r="D149" s="5">
        <f t="shared" si="4"/>
        <v>6.9208689181275203</v>
      </c>
      <c r="E149" s="5">
        <f t="shared" si="4"/>
        <v>6.9475527488562028</v>
      </c>
      <c r="F149" s="5">
        <f t="shared" si="5"/>
        <v>-1.6513121951954091E-2</v>
      </c>
      <c r="G149" s="5">
        <f t="shared" si="5"/>
        <v>-7.0861160247845945E-3</v>
      </c>
    </row>
    <row r="150" spans="1:7" x14ac:dyDescent="0.25">
      <c r="A150" s="12">
        <v>44742</v>
      </c>
      <c r="B150" s="13">
        <v>1000.67</v>
      </c>
      <c r="C150" s="13">
        <v>1028.7</v>
      </c>
      <c r="D150" s="5">
        <f t="shared" si="4"/>
        <v>6.9084250546323407</v>
      </c>
      <c r="E150" s="5">
        <f t="shared" si="4"/>
        <v>6.9360511481369844</v>
      </c>
      <c r="F150" s="5">
        <f t="shared" si="5"/>
        <v>-1.2443863495179563E-2</v>
      </c>
      <c r="G150" s="5">
        <f t="shared" si="5"/>
        <v>-1.1501600719218352E-2</v>
      </c>
    </row>
    <row r="151" spans="1:7" x14ac:dyDescent="0.25">
      <c r="A151" s="12">
        <v>44743</v>
      </c>
      <c r="B151" s="13">
        <v>992.84</v>
      </c>
      <c r="C151" s="13">
        <v>1014.4</v>
      </c>
      <c r="D151" s="5">
        <f t="shared" si="4"/>
        <v>6.9005695231674116</v>
      </c>
      <c r="E151" s="5">
        <f t="shared" si="4"/>
        <v>6.9220525836829614</v>
      </c>
      <c r="F151" s="5">
        <f t="shared" si="5"/>
        <v>-7.8555314649291219E-3</v>
      </c>
      <c r="G151" s="5">
        <f t="shared" si="5"/>
        <v>-1.3998564454023033E-2</v>
      </c>
    </row>
    <row r="152" spans="1:7" x14ac:dyDescent="0.25">
      <c r="A152" s="12">
        <v>44746</v>
      </c>
      <c r="B152" s="13">
        <v>992.8</v>
      </c>
      <c r="C152" s="13">
        <v>1014.4</v>
      </c>
      <c r="D152" s="5">
        <f t="shared" si="4"/>
        <v>6.9005292338903974</v>
      </c>
      <c r="E152" s="5">
        <f t="shared" si="4"/>
        <v>6.9220525836829614</v>
      </c>
      <c r="F152" s="5">
        <f t="shared" si="5"/>
        <v>-4.0289277014160518E-5</v>
      </c>
      <c r="G152" s="5">
        <f t="shared" si="5"/>
        <v>0</v>
      </c>
    </row>
    <row r="153" spans="1:7" x14ac:dyDescent="0.25">
      <c r="A153" s="12">
        <v>44747</v>
      </c>
      <c r="B153" s="13">
        <v>991.47</v>
      </c>
      <c r="C153" s="13">
        <v>1000.8</v>
      </c>
      <c r="D153" s="5">
        <f t="shared" si="4"/>
        <v>6.8991886903160111</v>
      </c>
      <c r="E153" s="5">
        <f t="shared" si="4"/>
        <v>6.9085549591527009</v>
      </c>
      <c r="F153" s="5">
        <f t="shared" si="5"/>
        <v>-1.3405435743862881E-3</v>
      </c>
      <c r="G153" s="5">
        <f t="shared" si="5"/>
        <v>-1.3497624530260488E-2</v>
      </c>
    </row>
    <row r="154" spans="1:7" x14ac:dyDescent="0.25">
      <c r="A154" s="12">
        <v>44748</v>
      </c>
      <c r="B154" s="13">
        <v>981.01</v>
      </c>
      <c r="C154" s="13">
        <v>994.4</v>
      </c>
      <c r="D154" s="5">
        <f t="shared" si="4"/>
        <v>6.8885826531933265</v>
      </c>
      <c r="E154" s="5">
        <f t="shared" si="4"/>
        <v>6.9021395401965018</v>
      </c>
      <c r="F154" s="5">
        <f t="shared" si="5"/>
        <v>-1.0606037122684597E-2</v>
      </c>
      <c r="G154" s="5">
        <f t="shared" si="5"/>
        <v>-6.4154189561991259E-3</v>
      </c>
    </row>
    <row r="155" spans="1:7" x14ac:dyDescent="0.25">
      <c r="A155" s="12">
        <v>44749</v>
      </c>
      <c r="B155" s="13">
        <v>994.34</v>
      </c>
      <c r="C155" s="13">
        <v>1027.3</v>
      </c>
      <c r="D155" s="5">
        <f t="shared" si="4"/>
        <v>6.9020792004839011</v>
      </c>
      <c r="E155" s="5">
        <f t="shared" si="4"/>
        <v>6.9346892802222175</v>
      </c>
      <c r="F155" s="5">
        <f t="shared" si="5"/>
        <v>1.349654729057459E-2</v>
      </c>
      <c r="G155" s="5">
        <f t="shared" si="5"/>
        <v>3.2549740025715757E-2</v>
      </c>
    </row>
    <row r="156" spans="1:7" x14ac:dyDescent="0.25">
      <c r="A156" s="12">
        <v>44750</v>
      </c>
      <c r="B156" s="13">
        <v>999.57</v>
      </c>
      <c r="C156" s="13">
        <v>1028.4000000000001</v>
      </c>
      <c r="D156" s="5">
        <f t="shared" si="4"/>
        <v>6.9073251865056262</v>
      </c>
      <c r="E156" s="5">
        <f t="shared" si="4"/>
        <v>6.9357594753917349</v>
      </c>
      <c r="F156" s="5">
        <f t="shared" si="5"/>
        <v>5.245986021725102E-3</v>
      </c>
      <c r="G156" s="5">
        <f t="shared" si="5"/>
        <v>1.0701951695173406E-3</v>
      </c>
    </row>
    <row r="157" spans="1:7" x14ac:dyDescent="0.25">
      <c r="A157" s="12">
        <v>44753</v>
      </c>
      <c r="B157" s="13">
        <v>981.15</v>
      </c>
      <c r="C157" s="13">
        <v>995.5</v>
      </c>
      <c r="D157" s="5">
        <f t="shared" si="4"/>
        <v>6.8887253530753316</v>
      </c>
      <c r="E157" s="5">
        <f t="shared" si="4"/>
        <v>6.9032451235042513</v>
      </c>
      <c r="F157" s="5">
        <f t="shared" si="5"/>
        <v>-1.8599833430294588E-2</v>
      </c>
      <c r="G157" s="5">
        <f t="shared" si="5"/>
        <v>-3.2514351887483528E-2</v>
      </c>
    </row>
    <row r="158" spans="1:7" x14ac:dyDescent="0.25">
      <c r="A158" s="12">
        <v>44754</v>
      </c>
      <c r="B158" s="13">
        <v>967.31</v>
      </c>
      <c r="C158" s="13">
        <v>989.2</v>
      </c>
      <c r="D158" s="5">
        <f t="shared" si="4"/>
        <v>6.8745190231894417</v>
      </c>
      <c r="E158" s="5">
        <f t="shared" si="4"/>
        <v>6.8968965356472616</v>
      </c>
      <c r="F158" s="5">
        <f t="shared" si="5"/>
        <v>-1.4206329885889879E-2</v>
      </c>
      <c r="G158" s="5">
        <f t="shared" si="5"/>
        <v>-6.3485878569897736E-3</v>
      </c>
    </row>
    <row r="159" spans="1:7" x14ac:dyDescent="0.25">
      <c r="A159" s="12">
        <v>44755</v>
      </c>
      <c r="B159" s="13">
        <v>970.46</v>
      </c>
      <c r="C159" s="13">
        <v>989.6</v>
      </c>
      <c r="D159" s="5">
        <f t="shared" si="4"/>
        <v>6.877770185891559</v>
      </c>
      <c r="E159" s="5">
        <f t="shared" si="4"/>
        <v>6.8973008210782778</v>
      </c>
      <c r="F159" s="5">
        <f t="shared" si="5"/>
        <v>3.2511627021172274E-3</v>
      </c>
      <c r="G159" s="5">
        <f t="shared" si="5"/>
        <v>4.0428543101622694E-4</v>
      </c>
    </row>
    <row r="160" spans="1:7" x14ac:dyDescent="0.25">
      <c r="A160" s="12">
        <v>44756</v>
      </c>
      <c r="B160" s="13">
        <v>965.45</v>
      </c>
      <c r="C160" s="13">
        <v>984.6</v>
      </c>
      <c r="D160" s="5">
        <f t="shared" si="4"/>
        <v>6.8725943138885475</v>
      </c>
      <c r="E160" s="5">
        <f t="shared" si="4"/>
        <v>6.8922354673241006</v>
      </c>
      <c r="F160" s="5">
        <f t="shared" si="5"/>
        <v>-5.1758720030115057E-3</v>
      </c>
      <c r="G160" s="5">
        <f t="shared" si="5"/>
        <v>-5.0653537541771598E-3</v>
      </c>
    </row>
    <row r="161" spans="1:7" x14ac:dyDescent="0.25">
      <c r="A161" s="12">
        <v>44757</v>
      </c>
      <c r="B161" s="13">
        <v>961.85</v>
      </c>
      <c r="C161" s="13">
        <v>987.9</v>
      </c>
      <c r="D161" s="5">
        <f t="shared" si="4"/>
        <v>6.8688585133521904</v>
      </c>
      <c r="E161" s="5">
        <f t="shared" si="4"/>
        <v>6.8955814780504285</v>
      </c>
      <c r="F161" s="5">
        <f t="shared" si="5"/>
        <v>-3.7358005363570257E-3</v>
      </c>
      <c r="G161" s="5">
        <f t="shared" si="5"/>
        <v>3.3460107263278971E-3</v>
      </c>
    </row>
    <row r="162" spans="1:7" x14ac:dyDescent="0.25">
      <c r="A162" s="12">
        <v>44760</v>
      </c>
      <c r="B162" s="13">
        <v>980.48</v>
      </c>
      <c r="C162" s="13">
        <v>996.8</v>
      </c>
      <c r="D162" s="5">
        <f t="shared" si="4"/>
        <v>6.888042247672117</v>
      </c>
      <c r="E162" s="5">
        <f t="shared" si="4"/>
        <v>6.9045501480331888</v>
      </c>
      <c r="F162" s="5">
        <f t="shared" si="5"/>
        <v>1.9183734319926593E-2</v>
      </c>
      <c r="G162" s="5">
        <f t="shared" si="5"/>
        <v>8.9686699827602467E-3</v>
      </c>
    </row>
    <row r="163" spans="1:7" x14ac:dyDescent="0.25">
      <c r="A163" s="12">
        <v>44761</v>
      </c>
      <c r="B163" s="13">
        <v>979.94</v>
      </c>
      <c r="C163" s="13">
        <v>1011.7</v>
      </c>
      <c r="D163" s="5">
        <f t="shared" si="4"/>
        <v>6.8874913453005258</v>
      </c>
      <c r="E163" s="5">
        <f t="shared" si="4"/>
        <v>6.919387363211845</v>
      </c>
      <c r="F163" s="5">
        <f t="shared" si="5"/>
        <v>-5.5090237159127753E-4</v>
      </c>
      <c r="G163" s="5">
        <f t="shared" si="5"/>
        <v>1.4837215178656216E-2</v>
      </c>
    </row>
    <row r="164" spans="1:7" x14ac:dyDescent="0.25">
      <c r="A164" s="12">
        <v>44762</v>
      </c>
      <c r="B164" s="13">
        <v>986.56</v>
      </c>
      <c r="C164" s="13">
        <v>1009.3</v>
      </c>
      <c r="D164" s="5">
        <f t="shared" si="4"/>
        <v>6.8942241446977857</v>
      </c>
      <c r="E164" s="5">
        <f t="shared" si="4"/>
        <v>6.9170123002448136</v>
      </c>
      <c r="F164" s="5">
        <f t="shared" si="5"/>
        <v>6.7327993972599032E-3</v>
      </c>
      <c r="G164" s="5">
        <f t="shared" si="5"/>
        <v>-2.3750629670313828E-3</v>
      </c>
    </row>
    <row r="165" spans="1:7" x14ac:dyDescent="0.25">
      <c r="A165" s="12">
        <v>44763</v>
      </c>
      <c r="B165" s="13">
        <v>990.69</v>
      </c>
      <c r="C165" s="13">
        <v>1018.2</v>
      </c>
      <c r="D165" s="5">
        <f t="shared" si="4"/>
        <v>6.8984016700550219</v>
      </c>
      <c r="E165" s="5">
        <f t="shared" si="4"/>
        <v>6.9257916414682361</v>
      </c>
      <c r="F165" s="5">
        <f t="shared" si="5"/>
        <v>4.1775253572362558E-3</v>
      </c>
      <c r="G165" s="5">
        <f t="shared" si="5"/>
        <v>8.7793412234224988E-3</v>
      </c>
    </row>
    <row r="166" spans="1:7" x14ac:dyDescent="0.25">
      <c r="A166" s="12">
        <v>44764</v>
      </c>
      <c r="B166" s="13">
        <v>990.37</v>
      </c>
      <c r="C166" s="13">
        <v>1000</v>
      </c>
      <c r="D166" s="5">
        <f t="shared" si="4"/>
        <v>6.8980786106799572</v>
      </c>
      <c r="E166" s="5">
        <f t="shared" si="4"/>
        <v>6.9077552789821368</v>
      </c>
      <c r="F166" s="5">
        <f t="shared" si="5"/>
        <v>-3.2305937506471594E-4</v>
      </c>
      <c r="G166" s="5">
        <f t="shared" si="5"/>
        <v>-1.80363624860993E-2</v>
      </c>
    </row>
    <row r="167" spans="1:7" x14ac:dyDescent="0.25">
      <c r="A167" s="12">
        <v>44767</v>
      </c>
      <c r="B167" s="13">
        <v>987.08</v>
      </c>
      <c r="C167" s="13">
        <v>1005.9</v>
      </c>
      <c r="D167" s="5">
        <f t="shared" si="4"/>
        <v>6.8947510898468831</v>
      </c>
      <c r="E167" s="5">
        <f t="shared" si="4"/>
        <v>6.9136379421402925</v>
      </c>
      <c r="F167" s="5">
        <f t="shared" si="5"/>
        <v>-3.3275208330740824E-3</v>
      </c>
      <c r="G167" s="5">
        <f t="shared" si="5"/>
        <v>5.8826631581556654E-3</v>
      </c>
    </row>
    <row r="168" spans="1:7" x14ac:dyDescent="0.25">
      <c r="A168" s="12">
        <v>44768</v>
      </c>
      <c r="B168" s="13">
        <v>989.92</v>
      </c>
      <c r="C168" s="13">
        <v>996.4</v>
      </c>
      <c r="D168" s="5">
        <f t="shared" si="4"/>
        <v>6.8976241317826785</v>
      </c>
      <c r="E168" s="5">
        <f t="shared" si="4"/>
        <v>6.9041487833880257</v>
      </c>
      <c r="F168" s="5">
        <f t="shared" si="5"/>
        <v>2.8730419357954062E-3</v>
      </c>
      <c r="G168" s="5">
        <f t="shared" si="5"/>
        <v>-9.4891587522667464E-3</v>
      </c>
    </row>
    <row r="169" spans="1:7" x14ac:dyDescent="0.25">
      <c r="A169" s="12">
        <v>44769</v>
      </c>
      <c r="B169" s="13">
        <v>989.89</v>
      </c>
      <c r="C169" s="13">
        <v>1016.7</v>
      </c>
      <c r="D169" s="5">
        <f t="shared" si="4"/>
        <v>6.8975938258442273</v>
      </c>
      <c r="E169" s="5">
        <f t="shared" si="4"/>
        <v>6.9243173672811151</v>
      </c>
      <c r="F169" s="5">
        <f t="shared" si="5"/>
        <v>-3.0305938451213876E-5</v>
      </c>
      <c r="G169" s="5">
        <f t="shared" si="5"/>
        <v>2.0168583893089398E-2</v>
      </c>
    </row>
    <row r="170" spans="1:7" x14ac:dyDescent="0.25">
      <c r="A170" s="12">
        <v>44770</v>
      </c>
      <c r="B170" s="13">
        <v>997.61</v>
      </c>
      <c r="C170" s="13">
        <v>1014.6</v>
      </c>
      <c r="D170" s="5">
        <f t="shared" si="4"/>
        <v>6.9053624183733247</v>
      </c>
      <c r="E170" s="5">
        <f t="shared" si="4"/>
        <v>6.9222497251325894</v>
      </c>
      <c r="F170" s="5">
        <f t="shared" si="5"/>
        <v>7.7685925290973401E-3</v>
      </c>
      <c r="G170" s="5">
        <f t="shared" si="5"/>
        <v>-2.0676421485257279E-3</v>
      </c>
    </row>
    <row r="171" spans="1:7" x14ac:dyDescent="0.25">
      <c r="A171" s="12">
        <v>44771</v>
      </c>
      <c r="B171" s="13">
        <v>993.78</v>
      </c>
      <c r="C171" s="13">
        <v>1009.6</v>
      </c>
      <c r="D171" s="5">
        <f t="shared" si="4"/>
        <v>6.9015158541921178</v>
      </c>
      <c r="E171" s="5">
        <f t="shared" si="4"/>
        <v>6.9173094917869484</v>
      </c>
      <c r="F171" s="5">
        <f t="shared" si="5"/>
        <v>-3.8465641812068796E-3</v>
      </c>
      <c r="G171" s="5">
        <f t="shared" si="5"/>
        <v>-4.9402333456409764E-3</v>
      </c>
    </row>
    <row r="172" spans="1:7" x14ac:dyDescent="0.25">
      <c r="A172" s="12">
        <v>44774</v>
      </c>
      <c r="B172" s="13">
        <v>995.04</v>
      </c>
      <c r="C172" s="13">
        <v>999.1</v>
      </c>
      <c r="D172" s="5">
        <f t="shared" si="4"/>
        <v>6.9027829373555791</v>
      </c>
      <c r="E172" s="5">
        <f t="shared" si="4"/>
        <v>6.9068548737389728</v>
      </c>
      <c r="F172" s="5">
        <f t="shared" si="5"/>
        <v>1.2670831634613577E-3</v>
      </c>
      <c r="G172" s="5">
        <f t="shared" si="5"/>
        <v>-1.045461804797565E-2</v>
      </c>
    </row>
    <row r="173" spans="1:7" x14ac:dyDescent="0.25">
      <c r="A173" s="12">
        <v>44775</v>
      </c>
      <c r="B173" s="13">
        <v>984.32</v>
      </c>
      <c r="C173" s="13">
        <v>997.3</v>
      </c>
      <c r="D173" s="5">
        <f t="shared" si="4"/>
        <v>6.8919510474371695</v>
      </c>
      <c r="E173" s="5">
        <f t="shared" si="4"/>
        <v>6.905051627407822</v>
      </c>
      <c r="F173" s="5">
        <f t="shared" si="5"/>
        <v>-1.0831889918409665E-2</v>
      </c>
      <c r="G173" s="5">
        <f t="shared" si="5"/>
        <v>-1.8032463311508096E-3</v>
      </c>
    </row>
    <row r="174" spans="1:7" x14ac:dyDescent="0.25">
      <c r="A174" s="12">
        <v>44776</v>
      </c>
      <c r="B174" s="13">
        <v>985.81</v>
      </c>
      <c r="C174" s="13">
        <v>1013.2</v>
      </c>
      <c r="D174" s="5">
        <f t="shared" si="4"/>
        <v>6.8934636382652723</v>
      </c>
      <c r="E174" s="5">
        <f t="shared" si="4"/>
        <v>6.9208689181275203</v>
      </c>
      <c r="F174" s="5">
        <f t="shared" si="5"/>
        <v>1.5125908281028444E-3</v>
      </c>
      <c r="G174" s="5">
        <f t="shared" si="5"/>
        <v>1.5817290719698285E-2</v>
      </c>
    </row>
    <row r="175" spans="1:7" x14ac:dyDescent="0.25">
      <c r="A175" s="12">
        <v>44777</v>
      </c>
      <c r="B175" s="13">
        <v>994.59</v>
      </c>
      <c r="C175" s="13">
        <v>1015</v>
      </c>
      <c r="D175" s="5">
        <f t="shared" si="4"/>
        <v>6.9023305919369102</v>
      </c>
      <c r="E175" s="5">
        <f t="shared" si="4"/>
        <v>6.9226438914758877</v>
      </c>
      <c r="F175" s="5">
        <f t="shared" si="5"/>
        <v>8.8669536716379227E-3</v>
      </c>
      <c r="G175" s="5">
        <f t="shared" si="5"/>
        <v>1.7749733483674035E-3</v>
      </c>
    </row>
    <row r="176" spans="1:7" x14ac:dyDescent="0.25">
      <c r="A176" s="12">
        <v>44778</v>
      </c>
      <c r="B176" s="13">
        <v>1002.87</v>
      </c>
      <c r="C176" s="13">
        <v>1022.4</v>
      </c>
      <c r="D176" s="5">
        <f t="shared" si="4"/>
        <v>6.9106211683951821</v>
      </c>
      <c r="E176" s="5">
        <f t="shared" si="4"/>
        <v>6.9299080836232703</v>
      </c>
      <c r="F176" s="5">
        <f t="shared" si="5"/>
        <v>8.2905764582719144E-3</v>
      </c>
      <c r="G176" s="5">
        <f t="shared" si="5"/>
        <v>7.2641921473826088E-3</v>
      </c>
    </row>
    <row r="177" spans="1:7" x14ac:dyDescent="0.25">
      <c r="A177" s="12">
        <v>44781</v>
      </c>
      <c r="B177" s="13">
        <v>1001.79</v>
      </c>
      <c r="C177" s="13">
        <v>1021.7</v>
      </c>
      <c r="D177" s="5">
        <f t="shared" si="4"/>
        <v>6.909543678841354</v>
      </c>
      <c r="E177" s="5">
        <f t="shared" si="4"/>
        <v>6.9292231855973778</v>
      </c>
      <c r="F177" s="5">
        <f t="shared" si="5"/>
        <v>-1.077489553828137E-3</v>
      </c>
      <c r="G177" s="5">
        <f t="shared" si="5"/>
        <v>-6.848980258924442E-4</v>
      </c>
    </row>
    <row r="178" spans="1:7" x14ac:dyDescent="0.25">
      <c r="A178" s="12">
        <v>44782</v>
      </c>
      <c r="B178" s="13">
        <v>1001.69</v>
      </c>
      <c r="C178" s="13">
        <v>1020.1</v>
      </c>
      <c r="D178" s="5">
        <f t="shared" si="4"/>
        <v>6.9094438525390371</v>
      </c>
      <c r="E178" s="5">
        <f t="shared" si="4"/>
        <v>6.9276559406884735</v>
      </c>
      <c r="F178" s="5">
        <f t="shared" si="5"/>
        <v>-9.9826302316863291E-5</v>
      </c>
      <c r="G178" s="5">
        <f t="shared" si="5"/>
        <v>-1.5672449089043639E-3</v>
      </c>
    </row>
    <row r="179" spans="1:7" x14ac:dyDescent="0.25">
      <c r="A179" s="12">
        <v>44783</v>
      </c>
      <c r="B179" s="13">
        <v>997.2</v>
      </c>
      <c r="C179" s="13">
        <v>1029</v>
      </c>
      <c r="D179" s="5">
        <f t="shared" si="4"/>
        <v>6.9049513516494025</v>
      </c>
      <c r="E179" s="5">
        <f t="shared" si="4"/>
        <v>6.9363427358340495</v>
      </c>
      <c r="F179" s="5">
        <f t="shared" si="5"/>
        <v>-4.4925008896345986E-3</v>
      </c>
      <c r="G179" s="5">
        <f t="shared" si="5"/>
        <v>8.6867951455760206E-3</v>
      </c>
    </row>
    <row r="180" spans="1:7" x14ac:dyDescent="0.25">
      <c r="A180" s="12">
        <v>44784</v>
      </c>
      <c r="B180" s="13">
        <v>1014.29</v>
      </c>
      <c r="C180" s="13">
        <v>1037</v>
      </c>
      <c r="D180" s="5">
        <f t="shared" si="4"/>
        <v>6.9219441393172794</v>
      </c>
      <c r="E180" s="5">
        <f t="shared" si="4"/>
        <v>6.9440872082295275</v>
      </c>
      <c r="F180" s="5">
        <f t="shared" si="5"/>
        <v>1.6992787667876819E-2</v>
      </c>
      <c r="G180" s="5">
        <f t="shared" si="5"/>
        <v>7.7444723954780414E-3</v>
      </c>
    </row>
    <row r="181" spans="1:7" x14ac:dyDescent="0.25">
      <c r="A181" s="12">
        <v>44785</v>
      </c>
      <c r="B181" s="13">
        <v>1016.83</v>
      </c>
      <c r="C181" s="13">
        <v>1049.9000000000001</v>
      </c>
      <c r="D181" s="5">
        <f t="shared" si="4"/>
        <v>6.924445223767302</v>
      </c>
      <c r="E181" s="5">
        <f t="shared" si="4"/>
        <v>6.9564502005208952</v>
      </c>
      <c r="F181" s="5">
        <f t="shared" si="5"/>
        <v>2.501084450022617E-3</v>
      </c>
      <c r="G181" s="5">
        <f t="shared" si="5"/>
        <v>1.2362992291367725E-2</v>
      </c>
    </row>
    <row r="182" spans="1:7" x14ac:dyDescent="0.25">
      <c r="A182" s="12">
        <v>44788</v>
      </c>
      <c r="B182" s="13">
        <v>1015</v>
      </c>
      <c r="C182" s="13">
        <v>1036.5</v>
      </c>
      <c r="D182" s="5">
        <f t="shared" si="4"/>
        <v>6.9226438914758877</v>
      </c>
      <c r="E182" s="5">
        <f t="shared" si="4"/>
        <v>6.9436049318758339</v>
      </c>
      <c r="F182" s="5">
        <f t="shared" si="5"/>
        <v>-1.8013322914143259E-3</v>
      </c>
      <c r="G182" s="5">
        <f t="shared" si="5"/>
        <v>-1.2845268645061303E-2</v>
      </c>
    </row>
    <row r="183" spans="1:7" x14ac:dyDescent="0.25">
      <c r="A183" s="12">
        <v>44789</v>
      </c>
      <c r="B183" s="13">
        <v>1014.22</v>
      </c>
      <c r="C183" s="13">
        <v>1039.2</v>
      </c>
      <c r="D183" s="5">
        <f t="shared" si="4"/>
        <v>6.9218751231428186</v>
      </c>
      <c r="E183" s="5">
        <f t="shared" si="4"/>
        <v>6.94620646535639</v>
      </c>
      <c r="F183" s="5">
        <f t="shared" si="5"/>
        <v>-7.6876833306904757E-4</v>
      </c>
      <c r="G183" s="5">
        <f t="shared" si="5"/>
        <v>2.6015334805560286E-3</v>
      </c>
    </row>
    <row r="184" spans="1:7" x14ac:dyDescent="0.25">
      <c r="A184" s="12">
        <v>44790</v>
      </c>
      <c r="B184" s="13">
        <v>1015.59</v>
      </c>
      <c r="C184" s="13">
        <v>1040.2</v>
      </c>
      <c r="D184" s="5">
        <f t="shared" si="4"/>
        <v>6.923225003385828</v>
      </c>
      <c r="E184" s="5">
        <f t="shared" si="4"/>
        <v>6.9471682813389721</v>
      </c>
      <c r="F184" s="5">
        <f t="shared" si="5"/>
        <v>1.3498802430094159E-3</v>
      </c>
      <c r="G184" s="5">
        <f t="shared" si="5"/>
        <v>9.6181598258215928E-4</v>
      </c>
    </row>
    <row r="185" spans="1:7" x14ac:dyDescent="0.25">
      <c r="A185" s="12">
        <v>44791</v>
      </c>
      <c r="B185" s="13">
        <v>1009.58</v>
      </c>
      <c r="C185" s="13">
        <v>1030.5</v>
      </c>
      <c r="D185" s="5">
        <f t="shared" si="4"/>
        <v>6.917289681765058</v>
      </c>
      <c r="E185" s="5">
        <f t="shared" si="4"/>
        <v>6.9377994003305137</v>
      </c>
      <c r="F185" s="5">
        <f t="shared" si="5"/>
        <v>-5.9353216207700399E-3</v>
      </c>
      <c r="G185" s="5">
        <f t="shared" si="5"/>
        <v>-9.3688810084584517E-3</v>
      </c>
    </row>
    <row r="186" spans="1:7" x14ac:dyDescent="0.25">
      <c r="A186" s="12">
        <v>44792</v>
      </c>
      <c r="B186" s="13">
        <v>1001.46</v>
      </c>
      <c r="C186" s="13">
        <v>1020.9</v>
      </c>
      <c r="D186" s="5">
        <f t="shared" si="4"/>
        <v>6.9092142142183812</v>
      </c>
      <c r="E186" s="5">
        <f t="shared" si="4"/>
        <v>6.9284398701749694</v>
      </c>
      <c r="F186" s="5">
        <f t="shared" si="5"/>
        <v>-8.0754675466767623E-3</v>
      </c>
      <c r="G186" s="5">
        <f t="shared" si="5"/>
        <v>-9.3595301555442489E-3</v>
      </c>
    </row>
    <row r="187" spans="1:7" x14ac:dyDescent="0.25">
      <c r="A187" s="12">
        <v>44795</v>
      </c>
      <c r="B187" s="13">
        <v>991.9</v>
      </c>
      <c r="C187" s="13">
        <v>1013.4</v>
      </c>
      <c r="D187" s="5">
        <f t="shared" si="4"/>
        <v>6.8996222957519482</v>
      </c>
      <c r="E187" s="5">
        <f t="shared" si="4"/>
        <v>6.9210662930418092</v>
      </c>
      <c r="F187" s="5">
        <f t="shared" si="5"/>
        <v>-9.5919184664330359E-3</v>
      </c>
      <c r="G187" s="5">
        <f t="shared" si="5"/>
        <v>-7.3735771331602251E-3</v>
      </c>
    </row>
    <row r="188" spans="1:7" x14ac:dyDescent="0.25">
      <c r="A188" s="12">
        <v>44796</v>
      </c>
      <c r="B188" s="13">
        <v>989.54</v>
      </c>
      <c r="C188" s="13">
        <v>1016.2</v>
      </c>
      <c r="D188" s="5">
        <f t="shared" si="4"/>
        <v>6.8972401886823702</v>
      </c>
      <c r="E188" s="5">
        <f t="shared" si="4"/>
        <v>6.923825459159632</v>
      </c>
      <c r="F188" s="5">
        <f t="shared" si="5"/>
        <v>-2.3821070695779767E-3</v>
      </c>
      <c r="G188" s="5">
        <f t="shared" si="5"/>
        <v>2.7591661178227866E-3</v>
      </c>
    </row>
    <row r="189" spans="1:7" x14ac:dyDescent="0.25">
      <c r="A189" s="12">
        <v>44797</v>
      </c>
      <c r="B189" s="13">
        <v>985.13</v>
      </c>
      <c r="C189" s="13">
        <v>1020.6</v>
      </c>
      <c r="D189" s="5">
        <f t="shared" si="4"/>
        <v>6.8927736121589662</v>
      </c>
      <c r="E189" s="5">
        <f t="shared" si="4"/>
        <v>6.9281459686298712</v>
      </c>
      <c r="F189" s="5">
        <f t="shared" si="5"/>
        <v>-4.4665765234039867E-3</v>
      </c>
      <c r="G189" s="5">
        <f t="shared" si="5"/>
        <v>4.3205094702392088E-3</v>
      </c>
    </row>
    <row r="190" spans="1:7" x14ac:dyDescent="0.25">
      <c r="A190" s="12">
        <v>44798</v>
      </c>
      <c r="B190" s="13">
        <v>1003.44</v>
      </c>
      <c r="C190" s="13">
        <v>1041.2</v>
      </c>
      <c r="D190" s="5">
        <f t="shared" si="4"/>
        <v>6.9111893757164191</v>
      </c>
      <c r="E190" s="5">
        <f t="shared" si="4"/>
        <v>6.9481291731204102</v>
      </c>
      <c r="F190" s="5">
        <f t="shared" si="5"/>
        <v>1.8415763557452891E-2</v>
      </c>
      <c r="G190" s="5">
        <f t="shared" si="5"/>
        <v>1.998320449053903E-2</v>
      </c>
    </row>
    <row r="191" spans="1:7" x14ac:dyDescent="0.25">
      <c r="A191" s="12">
        <v>44799</v>
      </c>
      <c r="B191" s="13">
        <v>1006.5</v>
      </c>
      <c r="C191" s="13">
        <v>1027.4000000000001</v>
      </c>
      <c r="D191" s="5">
        <f t="shared" si="4"/>
        <v>6.9142342450798457</v>
      </c>
      <c r="E191" s="5">
        <f t="shared" si="4"/>
        <v>6.9347866180331676</v>
      </c>
      <c r="F191" s="5">
        <f t="shared" si="5"/>
        <v>3.0448693634266277E-3</v>
      </c>
      <c r="G191" s="5">
        <f t="shared" si="5"/>
        <v>-1.334255508724258E-2</v>
      </c>
    </row>
    <row r="192" spans="1:7" x14ac:dyDescent="0.25">
      <c r="A192" s="12">
        <v>44802</v>
      </c>
      <c r="B192" s="13">
        <v>991.65</v>
      </c>
      <c r="C192" s="13">
        <v>1022.2</v>
      </c>
      <c r="D192" s="5">
        <f t="shared" si="4"/>
        <v>6.8993702224476969</v>
      </c>
      <c r="E192" s="5">
        <f t="shared" si="4"/>
        <v>6.9297124463341788</v>
      </c>
      <c r="F192" s="5">
        <f t="shared" si="5"/>
        <v>-1.486402263214881E-2</v>
      </c>
      <c r="G192" s="5">
        <f t="shared" si="5"/>
        <v>-5.0741716989888275E-3</v>
      </c>
    </row>
    <row r="193" spans="1:7" x14ac:dyDescent="0.25">
      <c r="A193" s="12">
        <v>44803</v>
      </c>
      <c r="B193" s="13">
        <v>992.76</v>
      </c>
      <c r="C193" s="13">
        <v>1012.7</v>
      </c>
      <c r="D193" s="5">
        <f t="shared" si="4"/>
        <v>6.9004889429900915</v>
      </c>
      <c r="E193" s="5">
        <f t="shared" si="4"/>
        <v>6.9203753103382395</v>
      </c>
      <c r="F193" s="5">
        <f t="shared" si="5"/>
        <v>1.1187205423945912E-3</v>
      </c>
      <c r="G193" s="5">
        <f t="shared" si="5"/>
        <v>-9.3371359959393274E-3</v>
      </c>
    </row>
    <row r="194" spans="1:7" x14ac:dyDescent="0.25">
      <c r="A194" s="12">
        <v>44804</v>
      </c>
      <c r="B194" s="13">
        <v>994.11</v>
      </c>
      <c r="C194" s="13">
        <v>1014.5</v>
      </c>
      <c r="D194" s="5">
        <f t="shared" si="4"/>
        <v>6.9018478645176708</v>
      </c>
      <c r="E194" s="5">
        <f t="shared" si="4"/>
        <v>6.9221511592658693</v>
      </c>
      <c r="F194" s="5">
        <f t="shared" si="5"/>
        <v>1.3589215275793265E-3</v>
      </c>
      <c r="G194" s="5">
        <f t="shared" si="5"/>
        <v>1.7758489276298306E-3</v>
      </c>
    </row>
    <row r="195" spans="1:7" x14ac:dyDescent="0.25">
      <c r="A195" s="12">
        <v>44805</v>
      </c>
      <c r="B195" s="13">
        <v>976.14</v>
      </c>
      <c r="C195" s="13">
        <v>1009.5</v>
      </c>
      <c r="D195" s="5">
        <f t="shared" si="4"/>
        <v>6.8836060187491341</v>
      </c>
      <c r="E195" s="5">
        <f t="shared" si="4"/>
        <v>6.9172104377528925</v>
      </c>
      <c r="F195" s="5">
        <f t="shared" si="5"/>
        <v>-1.8241845768536713E-2</v>
      </c>
      <c r="G195" s="5">
        <f t="shared" si="5"/>
        <v>-4.9407215129768645E-3</v>
      </c>
    </row>
    <row r="196" spans="1:7" x14ac:dyDescent="0.25">
      <c r="A196" s="12">
        <v>44806</v>
      </c>
      <c r="B196" s="13">
        <v>972.02</v>
      </c>
      <c r="C196" s="13">
        <v>997.1</v>
      </c>
      <c r="D196" s="5">
        <f t="shared" ref="D196:E259" si="6">LN(B196)</f>
        <v>6.8793763803804406</v>
      </c>
      <c r="E196" s="5">
        <f t="shared" si="6"/>
        <v>6.9048510658347473</v>
      </c>
      <c r="F196" s="5">
        <f t="shared" ref="F196:G259" si="7">D196-D195</f>
        <v>-4.2296383686935002E-3</v>
      </c>
      <c r="G196" s="5">
        <f t="shared" si="7"/>
        <v>-1.2359371918145179E-2</v>
      </c>
    </row>
    <row r="197" spans="1:7" x14ac:dyDescent="0.25">
      <c r="A197" s="12">
        <v>44809</v>
      </c>
      <c r="B197" s="13">
        <v>967.8</v>
      </c>
      <c r="C197" s="13">
        <v>997.1</v>
      </c>
      <c r="D197" s="5">
        <f t="shared" si="6"/>
        <v>6.8750254543592177</v>
      </c>
      <c r="E197" s="5">
        <f t="shared" si="6"/>
        <v>6.9048510658347473</v>
      </c>
      <c r="F197" s="5">
        <f t="shared" si="7"/>
        <v>-4.3509260212228895E-3</v>
      </c>
      <c r="G197" s="5">
        <f t="shared" si="7"/>
        <v>0</v>
      </c>
    </row>
    <row r="198" spans="1:7" x14ac:dyDescent="0.25">
      <c r="A198" s="12">
        <v>44810</v>
      </c>
      <c r="B198" s="13">
        <v>965.24</v>
      </c>
      <c r="C198" s="13">
        <v>989.2</v>
      </c>
      <c r="D198" s="5">
        <f t="shared" si="6"/>
        <v>6.8723767750803209</v>
      </c>
      <c r="E198" s="5">
        <f t="shared" si="6"/>
        <v>6.8968965356472616</v>
      </c>
      <c r="F198" s="5">
        <f t="shared" si="7"/>
        <v>-2.6486792788968927E-3</v>
      </c>
      <c r="G198" s="5">
        <f t="shared" si="7"/>
        <v>-7.9545301874857088E-3</v>
      </c>
    </row>
    <row r="199" spans="1:7" x14ac:dyDescent="0.25">
      <c r="A199" s="12">
        <v>44811</v>
      </c>
      <c r="B199" s="13">
        <v>956.51</v>
      </c>
      <c r="C199" s="13">
        <v>995.8</v>
      </c>
      <c r="D199" s="5">
        <f t="shared" si="6"/>
        <v>6.8632912436087201</v>
      </c>
      <c r="E199" s="5">
        <f t="shared" si="6"/>
        <v>6.9035464342080823</v>
      </c>
      <c r="F199" s="5">
        <f t="shared" si="7"/>
        <v>-9.0855314716007385E-3</v>
      </c>
      <c r="G199" s="5">
        <f t="shared" si="7"/>
        <v>6.6498985608207661E-3</v>
      </c>
    </row>
    <row r="200" spans="1:7" x14ac:dyDescent="0.25">
      <c r="A200" s="12">
        <v>44812</v>
      </c>
      <c r="B200" s="13">
        <v>957.22</v>
      </c>
      <c r="C200" s="13">
        <v>991.3</v>
      </c>
      <c r="D200" s="5">
        <f t="shared" si="6"/>
        <v>6.8640332500909045</v>
      </c>
      <c r="E200" s="5">
        <f t="shared" si="6"/>
        <v>6.8990172130388521</v>
      </c>
      <c r="F200" s="5">
        <f t="shared" si="7"/>
        <v>7.4200648218436527E-4</v>
      </c>
      <c r="G200" s="5">
        <f t="shared" si="7"/>
        <v>-4.5292211692302686E-3</v>
      </c>
    </row>
    <row r="201" spans="1:7" x14ac:dyDescent="0.25">
      <c r="A201" s="12">
        <v>44813</v>
      </c>
      <c r="B201" s="13">
        <v>970.29</v>
      </c>
      <c r="C201" s="13">
        <v>1007.4</v>
      </c>
      <c r="D201" s="5">
        <f t="shared" si="6"/>
        <v>6.8775949958872458</v>
      </c>
      <c r="E201" s="5">
        <f t="shared" si="6"/>
        <v>6.9151280333115501</v>
      </c>
      <c r="F201" s="5">
        <f t="shared" si="7"/>
        <v>1.3561745796341285E-2</v>
      </c>
      <c r="G201" s="5">
        <f t="shared" si="7"/>
        <v>1.6110820272698056E-2</v>
      </c>
    </row>
    <row r="202" spans="1:7" x14ac:dyDescent="0.25">
      <c r="A202" s="12">
        <v>44816</v>
      </c>
      <c r="B202" s="13">
        <v>979.05</v>
      </c>
      <c r="C202" s="13">
        <v>1021.8</v>
      </c>
      <c r="D202" s="5">
        <f t="shared" si="6"/>
        <v>6.8865827137493358</v>
      </c>
      <c r="E202" s="5">
        <f t="shared" si="6"/>
        <v>6.9293210568966979</v>
      </c>
      <c r="F202" s="5">
        <f t="shared" si="7"/>
        <v>8.9877178620900722E-3</v>
      </c>
      <c r="G202" s="5">
        <f t="shared" si="7"/>
        <v>1.4193023585147735E-2</v>
      </c>
    </row>
    <row r="203" spans="1:7" x14ac:dyDescent="0.25">
      <c r="A203" s="12">
        <v>44817</v>
      </c>
      <c r="B203" s="13">
        <v>979.91</v>
      </c>
      <c r="C203" s="13">
        <v>997.9</v>
      </c>
      <c r="D203" s="5">
        <f t="shared" si="6"/>
        <v>6.8874607307126725</v>
      </c>
      <c r="E203" s="5">
        <f t="shared" si="6"/>
        <v>6.905653070890267</v>
      </c>
      <c r="F203" s="5">
        <f t="shared" si="7"/>
        <v>8.7801696333666968E-4</v>
      </c>
      <c r="G203" s="5">
        <f t="shared" si="7"/>
        <v>-2.366798600643083E-2</v>
      </c>
    </row>
    <row r="204" spans="1:7" x14ac:dyDescent="0.25">
      <c r="A204" s="12">
        <v>44818</v>
      </c>
      <c r="B204" s="13">
        <v>962.55</v>
      </c>
      <c r="C204" s="13">
        <v>1004.3</v>
      </c>
      <c r="D204" s="5">
        <f t="shared" si="6"/>
        <v>6.8695860128646338</v>
      </c>
      <c r="E204" s="5">
        <f t="shared" si="6"/>
        <v>6.9120460603992937</v>
      </c>
      <c r="F204" s="5">
        <f t="shared" si="7"/>
        <v>-1.7874717848038735E-2</v>
      </c>
      <c r="G204" s="5">
        <f t="shared" si="7"/>
        <v>6.3929895090266697E-3</v>
      </c>
    </row>
    <row r="205" spans="1:7" x14ac:dyDescent="0.25">
      <c r="A205" s="12">
        <v>44819</v>
      </c>
      <c r="B205" s="13">
        <v>958.58</v>
      </c>
      <c r="C205" s="13">
        <v>997</v>
      </c>
      <c r="D205" s="5">
        <f t="shared" si="6"/>
        <v>6.8654530227482304</v>
      </c>
      <c r="E205" s="5">
        <f t="shared" si="6"/>
        <v>6.9047507699618382</v>
      </c>
      <c r="F205" s="5">
        <f t="shared" si="7"/>
        <v>-4.1329901164033345E-3</v>
      </c>
      <c r="G205" s="5">
        <f t="shared" si="7"/>
        <v>-7.2952904374554706E-3</v>
      </c>
    </row>
    <row r="206" spans="1:7" x14ac:dyDescent="0.25">
      <c r="A206" s="12">
        <v>44820</v>
      </c>
      <c r="B206" s="13">
        <v>944.12</v>
      </c>
      <c r="C206" s="13">
        <v>985.7</v>
      </c>
      <c r="D206" s="5">
        <f t="shared" si="6"/>
        <v>6.8502532767106787</v>
      </c>
      <c r="E206" s="5">
        <f t="shared" si="6"/>
        <v>6.8933520486713933</v>
      </c>
      <c r="F206" s="5">
        <f t="shared" si="7"/>
        <v>-1.5199746037551698E-2</v>
      </c>
      <c r="G206" s="5">
        <f t="shared" si="7"/>
        <v>-1.1398721290444946E-2</v>
      </c>
    </row>
    <row r="207" spans="1:7" x14ac:dyDescent="0.25">
      <c r="A207" s="12">
        <v>44823</v>
      </c>
      <c r="B207" s="13">
        <v>938.53</v>
      </c>
      <c r="C207" s="13">
        <v>990.1</v>
      </c>
      <c r="D207" s="5">
        <f t="shared" si="6"/>
        <v>6.8443148214187017</v>
      </c>
      <c r="E207" s="5">
        <f t="shared" si="6"/>
        <v>6.897805948128469</v>
      </c>
      <c r="F207" s="5">
        <f t="shared" si="7"/>
        <v>-5.9384552919770073E-3</v>
      </c>
      <c r="G207" s="5">
        <f t="shared" si="7"/>
        <v>4.4538994570757495E-3</v>
      </c>
    </row>
    <row r="208" spans="1:7" x14ac:dyDescent="0.25">
      <c r="A208" s="12">
        <v>44824</v>
      </c>
      <c r="B208" s="13">
        <v>946.17</v>
      </c>
      <c r="C208" s="13">
        <v>987.5</v>
      </c>
      <c r="D208" s="5">
        <f t="shared" si="6"/>
        <v>6.8524222569239592</v>
      </c>
      <c r="E208" s="5">
        <f t="shared" si="6"/>
        <v>6.8951764967752771</v>
      </c>
      <c r="F208" s="5">
        <f t="shared" si="7"/>
        <v>8.1074355052574987E-3</v>
      </c>
      <c r="G208" s="5">
        <f t="shared" si="7"/>
        <v>-2.629451353191925E-3</v>
      </c>
    </row>
    <row r="209" spans="1:7" x14ac:dyDescent="0.25">
      <c r="A209" s="12">
        <v>44825</v>
      </c>
      <c r="B209" s="13">
        <v>932.08</v>
      </c>
      <c r="C209" s="13">
        <v>972.6</v>
      </c>
      <c r="D209" s="5">
        <f t="shared" si="6"/>
        <v>6.8374186479116856</v>
      </c>
      <c r="E209" s="5">
        <f t="shared" si="6"/>
        <v>6.8799728979696857</v>
      </c>
      <c r="F209" s="5">
        <f t="shared" si="7"/>
        <v>-1.50036090122736E-2</v>
      </c>
      <c r="G209" s="5">
        <f t="shared" si="7"/>
        <v>-1.5203598805591412E-2</v>
      </c>
    </row>
    <row r="210" spans="1:7" x14ac:dyDescent="0.25">
      <c r="A210" s="12">
        <v>44826</v>
      </c>
      <c r="B210" s="13">
        <v>922.61</v>
      </c>
      <c r="C210" s="13">
        <v>974.5</v>
      </c>
      <c r="D210" s="5">
        <f t="shared" si="6"/>
        <v>6.8272066099984281</v>
      </c>
      <c r="E210" s="5">
        <f t="shared" si="6"/>
        <v>6.8819245189476153</v>
      </c>
      <c r="F210" s="5">
        <f t="shared" si="7"/>
        <v>-1.0212037913257532E-2</v>
      </c>
      <c r="G210" s="5">
        <f t="shared" si="7"/>
        <v>1.9516209779295579E-3</v>
      </c>
    </row>
    <row r="211" spans="1:7" x14ac:dyDescent="0.25">
      <c r="A211" s="12">
        <v>44827</v>
      </c>
      <c r="B211" s="13">
        <v>905.84</v>
      </c>
      <c r="C211" s="13">
        <v>953</v>
      </c>
      <c r="D211" s="5">
        <f t="shared" si="6"/>
        <v>6.8088626900057845</v>
      </c>
      <c r="E211" s="5">
        <f t="shared" si="6"/>
        <v>6.8596149036542018</v>
      </c>
      <c r="F211" s="5">
        <f t="shared" si="7"/>
        <v>-1.834391999264362E-2</v>
      </c>
      <c r="G211" s="5">
        <f t="shared" si="7"/>
        <v>-2.2309615293413465E-2</v>
      </c>
    </row>
    <row r="212" spans="1:7" x14ac:dyDescent="0.25">
      <c r="A212" s="12">
        <v>44830</v>
      </c>
      <c r="B212" s="13">
        <v>888.58</v>
      </c>
      <c r="C212" s="13">
        <v>941.6</v>
      </c>
      <c r="D212" s="5">
        <f t="shared" si="6"/>
        <v>6.7896246829336375</v>
      </c>
      <c r="E212" s="5">
        <f t="shared" si="6"/>
        <v>6.8475805559460667</v>
      </c>
      <c r="F212" s="5">
        <f t="shared" si="7"/>
        <v>-1.9238007072146956E-2</v>
      </c>
      <c r="G212" s="5">
        <f t="shared" si="7"/>
        <v>-1.2034347708135051E-2</v>
      </c>
    </row>
    <row r="213" spans="1:7" x14ac:dyDescent="0.25">
      <c r="A213" s="12">
        <v>44831</v>
      </c>
      <c r="B213" s="13">
        <v>891.89</v>
      </c>
      <c r="C213" s="13">
        <v>942.6</v>
      </c>
      <c r="D213" s="5">
        <f t="shared" si="6"/>
        <v>6.7933428065900214</v>
      </c>
      <c r="E213" s="5">
        <f t="shared" si="6"/>
        <v>6.8486420144896307</v>
      </c>
      <c r="F213" s="5">
        <f t="shared" si="7"/>
        <v>3.7181236563839093E-3</v>
      </c>
      <c r="G213" s="5">
        <f t="shared" si="7"/>
        <v>1.0614585435639867E-3</v>
      </c>
    </row>
    <row r="214" spans="1:7" x14ac:dyDescent="0.25">
      <c r="A214" s="12">
        <v>44832</v>
      </c>
      <c r="B214" s="13">
        <v>875.85</v>
      </c>
      <c r="C214" s="13">
        <v>943.7</v>
      </c>
      <c r="D214" s="5">
        <f t="shared" si="6"/>
        <v>6.7751948433976565</v>
      </c>
      <c r="E214" s="5">
        <f t="shared" si="6"/>
        <v>6.8498083190272876</v>
      </c>
      <c r="F214" s="5">
        <f t="shared" si="7"/>
        <v>-1.8147963192364891E-2</v>
      </c>
      <c r="G214" s="5">
        <f t="shared" si="7"/>
        <v>1.1663045376568704E-3</v>
      </c>
    </row>
    <row r="215" spans="1:7" x14ac:dyDescent="0.25">
      <c r="A215" s="12">
        <v>44833</v>
      </c>
      <c r="B215" s="13">
        <v>873.29</v>
      </c>
      <c r="C215" s="13">
        <v>924.1</v>
      </c>
      <c r="D215" s="5">
        <f t="shared" si="6"/>
        <v>6.7722676885353925</v>
      </c>
      <c r="E215" s="5">
        <f t="shared" si="6"/>
        <v>6.8288202908939946</v>
      </c>
      <c r="F215" s="5">
        <f t="shared" si="7"/>
        <v>-2.9271548622640253E-3</v>
      </c>
      <c r="G215" s="5">
        <f t="shared" si="7"/>
        <v>-2.0988028133293035E-2</v>
      </c>
    </row>
    <row r="216" spans="1:7" x14ac:dyDescent="0.25">
      <c r="A216" s="12">
        <v>44834</v>
      </c>
      <c r="B216" s="13">
        <v>875.79</v>
      </c>
      <c r="C216" s="13">
        <v>920.9</v>
      </c>
      <c r="D216" s="5">
        <f t="shared" si="6"/>
        <v>6.7751263361701168</v>
      </c>
      <c r="E216" s="5">
        <f t="shared" si="6"/>
        <v>6.8253514527273209</v>
      </c>
      <c r="F216" s="5">
        <f t="shared" si="7"/>
        <v>2.8586476347243206E-3</v>
      </c>
      <c r="G216" s="5">
        <f t="shared" si="7"/>
        <v>-3.468838166673649E-3</v>
      </c>
    </row>
    <row r="217" spans="1:7" x14ac:dyDescent="0.25">
      <c r="A217" s="12">
        <v>44837</v>
      </c>
      <c r="B217" s="13">
        <v>876.15</v>
      </c>
      <c r="C217" s="13">
        <v>928.9</v>
      </c>
      <c r="D217" s="5">
        <f t="shared" si="6"/>
        <v>6.7755373091544282</v>
      </c>
      <c r="E217" s="5">
        <f t="shared" si="6"/>
        <v>6.8340010903934747</v>
      </c>
      <c r="F217" s="5">
        <f t="shared" si="7"/>
        <v>4.1097298431136409E-4</v>
      </c>
      <c r="G217" s="5">
        <f t="shared" si="7"/>
        <v>8.6496376661537866E-3</v>
      </c>
    </row>
    <row r="218" spans="1:7" x14ac:dyDescent="0.25">
      <c r="A218" s="12">
        <v>44838</v>
      </c>
      <c r="B218" s="13">
        <v>893.65</v>
      </c>
      <c r="C218" s="13">
        <v>959.9</v>
      </c>
      <c r="D218" s="5">
        <f t="shared" si="6"/>
        <v>6.7953141996363877</v>
      </c>
      <c r="E218" s="5">
        <f t="shared" si="6"/>
        <v>6.8668291123694916</v>
      </c>
      <c r="F218" s="5">
        <f t="shared" si="7"/>
        <v>1.9776890481959519E-2</v>
      </c>
      <c r="G218" s="5">
        <f t="shared" si="7"/>
        <v>3.2828021976016863E-2</v>
      </c>
    </row>
    <row r="219" spans="1:7" x14ac:dyDescent="0.25">
      <c r="A219" s="12">
        <v>44839</v>
      </c>
      <c r="B219" s="13">
        <v>909.52</v>
      </c>
      <c r="C219" s="13">
        <v>964.9</v>
      </c>
      <c r="D219" s="5">
        <f t="shared" si="6"/>
        <v>6.8129169878208513</v>
      </c>
      <c r="E219" s="5">
        <f t="shared" si="6"/>
        <v>6.8720244690263383</v>
      </c>
      <c r="F219" s="5">
        <f t="shared" si="7"/>
        <v>1.7602788184463591E-2</v>
      </c>
      <c r="G219" s="5">
        <f t="shared" si="7"/>
        <v>5.1953566568467835E-3</v>
      </c>
    </row>
    <row r="220" spans="1:7" x14ac:dyDescent="0.25">
      <c r="A220" s="12">
        <v>44840</v>
      </c>
      <c r="B220" s="13">
        <v>910.57</v>
      </c>
      <c r="C220" s="13">
        <v>960.7</v>
      </c>
      <c r="D220" s="5">
        <f t="shared" si="6"/>
        <v>6.8140707770471893</v>
      </c>
      <c r="E220" s="5">
        <f t="shared" si="6"/>
        <v>6.8676621854156927</v>
      </c>
      <c r="F220" s="5">
        <f t="shared" si="7"/>
        <v>1.1537892263380201E-3</v>
      </c>
      <c r="G220" s="5">
        <f t="shared" si="7"/>
        <v>-4.362283610645612E-3</v>
      </c>
    </row>
    <row r="221" spans="1:7" x14ac:dyDescent="0.25">
      <c r="A221" s="12">
        <v>44841</v>
      </c>
      <c r="B221" s="13">
        <v>897.74</v>
      </c>
      <c r="C221" s="13">
        <v>944</v>
      </c>
      <c r="D221" s="5">
        <f t="shared" si="6"/>
        <v>6.7998804940856461</v>
      </c>
      <c r="E221" s="5">
        <f t="shared" si="6"/>
        <v>6.8501261661455004</v>
      </c>
      <c r="F221" s="5">
        <f t="shared" si="7"/>
        <v>-1.4190282961543232E-2</v>
      </c>
      <c r="G221" s="5">
        <f t="shared" si="7"/>
        <v>-1.7536019270192327E-2</v>
      </c>
    </row>
    <row r="222" spans="1:7" x14ac:dyDescent="0.25">
      <c r="A222" s="12">
        <v>44844</v>
      </c>
      <c r="B222" s="13">
        <v>884.81</v>
      </c>
      <c r="C222" s="13">
        <v>933.5</v>
      </c>
      <c r="D222" s="5">
        <f t="shared" si="6"/>
        <v>6.7853729326933534</v>
      </c>
      <c r="E222" s="5">
        <f t="shared" si="6"/>
        <v>6.838940962981777</v>
      </c>
      <c r="F222" s="5">
        <f t="shared" si="7"/>
        <v>-1.45075613922927E-2</v>
      </c>
      <c r="G222" s="5">
        <f t="shared" si="7"/>
        <v>-1.1185203163723401E-2</v>
      </c>
    </row>
    <row r="223" spans="1:7" x14ac:dyDescent="0.25">
      <c r="A223" s="12">
        <v>44845</v>
      </c>
      <c r="B223" s="13">
        <v>864.66</v>
      </c>
      <c r="C223" s="13">
        <v>915.7</v>
      </c>
      <c r="D223" s="5">
        <f t="shared" si="6"/>
        <v>6.7623363660783253</v>
      </c>
      <c r="E223" s="5">
        <f t="shared" si="6"/>
        <v>6.8196888001136866</v>
      </c>
      <c r="F223" s="5">
        <f t="shared" si="7"/>
        <v>-2.3036566615028065E-2</v>
      </c>
      <c r="G223" s="5">
        <f t="shared" si="7"/>
        <v>-1.9252162868090394E-2</v>
      </c>
    </row>
    <row r="224" spans="1:7" x14ac:dyDescent="0.25">
      <c r="A224" s="12">
        <v>44846</v>
      </c>
      <c r="B224" s="13">
        <v>865.34</v>
      </c>
      <c r="C224" s="13">
        <v>917.6</v>
      </c>
      <c r="D224" s="5">
        <f t="shared" si="6"/>
        <v>6.7631224932864402</v>
      </c>
      <c r="E224" s="5">
        <f t="shared" si="6"/>
        <v>6.8217615658151614</v>
      </c>
      <c r="F224" s="5">
        <f t="shared" si="7"/>
        <v>7.8612720811488401E-4</v>
      </c>
      <c r="G224" s="5">
        <f t="shared" si="7"/>
        <v>2.0727657014747436E-3</v>
      </c>
    </row>
    <row r="225" spans="1:7" x14ac:dyDescent="0.25">
      <c r="A225" s="12">
        <v>44847</v>
      </c>
      <c r="B225" s="13">
        <v>854.53</v>
      </c>
      <c r="C225" s="13">
        <v>922.6</v>
      </c>
      <c r="D225" s="5">
        <f t="shared" si="6"/>
        <v>6.7505516101898042</v>
      </c>
      <c r="E225" s="5">
        <f t="shared" si="6"/>
        <v>6.8271957711237201</v>
      </c>
      <c r="F225" s="5">
        <f t="shared" si="7"/>
        <v>-1.257088309663601E-2</v>
      </c>
      <c r="G225" s="5">
        <f t="shared" si="7"/>
        <v>5.4342053085587594E-3</v>
      </c>
    </row>
    <row r="226" spans="1:7" x14ac:dyDescent="0.25">
      <c r="A226" s="12">
        <v>44848</v>
      </c>
      <c r="B226" s="13">
        <v>863.33</v>
      </c>
      <c r="C226" s="13">
        <v>910.9</v>
      </c>
      <c r="D226" s="5">
        <f t="shared" si="6"/>
        <v>6.760797005014159</v>
      </c>
      <c r="E226" s="5">
        <f t="shared" si="6"/>
        <v>6.8144331217507643</v>
      </c>
      <c r="F226" s="5">
        <f t="shared" si="7"/>
        <v>1.0245394824354825E-2</v>
      </c>
      <c r="G226" s="5">
        <f t="shared" si="7"/>
        <v>-1.2762649372955792E-2</v>
      </c>
    </row>
    <row r="227" spans="1:7" x14ac:dyDescent="0.25">
      <c r="A227" s="12">
        <v>44851</v>
      </c>
      <c r="B227" s="13">
        <v>865.77</v>
      </c>
      <c r="C227" s="13">
        <v>932.2</v>
      </c>
      <c r="D227" s="5">
        <f t="shared" si="6"/>
        <v>6.7636192843729042</v>
      </c>
      <c r="E227" s="5">
        <f t="shared" si="6"/>
        <v>6.8375473839386407</v>
      </c>
      <c r="F227" s="5">
        <f t="shared" si="7"/>
        <v>2.8222793587451278E-3</v>
      </c>
      <c r="G227" s="5">
        <f t="shared" si="7"/>
        <v>2.3114262187876378E-2</v>
      </c>
    </row>
    <row r="228" spans="1:7" x14ac:dyDescent="0.25">
      <c r="A228" s="12">
        <v>44852</v>
      </c>
      <c r="B228" s="13">
        <v>879.07</v>
      </c>
      <c r="C228" s="13">
        <v>933.7</v>
      </c>
      <c r="D228" s="5">
        <f t="shared" si="6"/>
        <v>6.7788645304643467</v>
      </c>
      <c r="E228" s="5">
        <f t="shared" si="6"/>
        <v>6.8391551874898804</v>
      </c>
      <c r="F228" s="5">
        <f t="shared" si="7"/>
        <v>1.524524609144251E-2</v>
      </c>
      <c r="G228" s="5">
        <f t="shared" si="7"/>
        <v>1.6078035512396838E-3</v>
      </c>
    </row>
    <row r="229" spans="1:7" x14ac:dyDescent="0.25">
      <c r="A229" s="12">
        <v>44853</v>
      </c>
      <c r="B229" s="13">
        <v>865.91</v>
      </c>
      <c r="C229" s="13">
        <v>919.7</v>
      </c>
      <c r="D229" s="5">
        <f t="shared" si="6"/>
        <v>6.7637809770647461</v>
      </c>
      <c r="E229" s="5">
        <f t="shared" si="6"/>
        <v>6.8240475299086523</v>
      </c>
      <c r="F229" s="5">
        <f t="shared" si="7"/>
        <v>-1.5083553399600547E-2</v>
      </c>
      <c r="G229" s="5">
        <f t="shared" si="7"/>
        <v>-1.5107657581228118E-2</v>
      </c>
    </row>
    <row r="230" spans="1:7" x14ac:dyDescent="0.25">
      <c r="A230" s="12">
        <v>44854</v>
      </c>
      <c r="B230" s="13">
        <v>864.76</v>
      </c>
      <c r="C230" s="13">
        <v>927.5</v>
      </c>
      <c r="D230" s="5">
        <f t="shared" si="6"/>
        <v>6.7624520117862641</v>
      </c>
      <c r="E230" s="5">
        <f t="shared" si="6"/>
        <v>6.8324927944815901</v>
      </c>
      <c r="F230" s="5">
        <f t="shared" si="7"/>
        <v>-1.3289652784820305E-3</v>
      </c>
      <c r="G230" s="5">
        <f t="shared" si="7"/>
        <v>8.4452645729378162E-3</v>
      </c>
    </row>
    <row r="231" spans="1:7" x14ac:dyDescent="0.25">
      <c r="A231" s="12">
        <v>44855</v>
      </c>
      <c r="B231" s="13">
        <v>865.04</v>
      </c>
      <c r="C231" s="13">
        <v>940.8</v>
      </c>
      <c r="D231" s="5">
        <f t="shared" si="6"/>
        <v>6.7627757486372815</v>
      </c>
      <c r="E231" s="5">
        <f t="shared" si="6"/>
        <v>6.8467305771443625</v>
      </c>
      <c r="F231" s="5">
        <f t="shared" si="7"/>
        <v>3.2373685101738658E-4</v>
      </c>
      <c r="G231" s="5">
        <f t="shared" si="7"/>
        <v>1.4237782662772425E-2</v>
      </c>
    </row>
    <row r="232" spans="1:7" x14ac:dyDescent="0.25">
      <c r="A232" s="12">
        <v>44858</v>
      </c>
      <c r="B232" s="13">
        <v>842.76</v>
      </c>
      <c r="C232" s="13">
        <v>904.7</v>
      </c>
      <c r="D232" s="5">
        <f t="shared" si="6"/>
        <v>6.7366822199589294</v>
      </c>
      <c r="E232" s="5">
        <f t="shared" si="6"/>
        <v>6.8076033970316958</v>
      </c>
      <c r="F232" s="5">
        <f t="shared" si="7"/>
        <v>-2.6093528678352129E-2</v>
      </c>
      <c r="G232" s="5">
        <f t="shared" si="7"/>
        <v>-3.9127180112666693E-2</v>
      </c>
    </row>
    <row r="233" spans="1:7" x14ac:dyDescent="0.25">
      <c r="A233" s="12">
        <v>44859</v>
      </c>
      <c r="B233" s="13">
        <v>844.51</v>
      </c>
      <c r="C233" s="13">
        <v>909</v>
      </c>
      <c r="D233" s="5">
        <f t="shared" si="6"/>
        <v>6.7387565775039757</v>
      </c>
      <c r="E233" s="5">
        <f t="shared" si="6"/>
        <v>6.8123450941774788</v>
      </c>
      <c r="F233" s="5">
        <f t="shared" si="7"/>
        <v>2.074357545046368E-3</v>
      </c>
      <c r="G233" s="5">
        <f t="shared" si="7"/>
        <v>4.741697145782986E-3</v>
      </c>
    </row>
    <row r="234" spans="1:7" x14ac:dyDescent="0.25">
      <c r="A234" s="12">
        <v>44860</v>
      </c>
      <c r="B234" s="13">
        <v>851.81</v>
      </c>
      <c r="C234" s="13">
        <v>923.6</v>
      </c>
      <c r="D234" s="5">
        <f t="shared" si="6"/>
        <v>6.7473634972652352</v>
      </c>
      <c r="E234" s="5">
        <f t="shared" si="6"/>
        <v>6.8282790774803406</v>
      </c>
      <c r="F234" s="5">
        <f t="shared" si="7"/>
        <v>8.6069197612594905E-3</v>
      </c>
      <c r="G234" s="5">
        <f t="shared" si="7"/>
        <v>1.5933983302861776E-2</v>
      </c>
    </row>
    <row r="235" spans="1:7" x14ac:dyDescent="0.25">
      <c r="A235" s="12">
        <v>44861</v>
      </c>
      <c r="B235" s="13">
        <v>859.46</v>
      </c>
      <c r="C235" s="13">
        <v>913.1</v>
      </c>
      <c r="D235" s="5">
        <f t="shared" si="6"/>
        <v>6.7563042850546635</v>
      </c>
      <c r="E235" s="5">
        <f t="shared" si="6"/>
        <v>6.8168454036222945</v>
      </c>
      <c r="F235" s="5">
        <f t="shared" si="7"/>
        <v>8.9407877894283061E-3</v>
      </c>
      <c r="G235" s="5">
        <f t="shared" si="7"/>
        <v>-1.1433673858046056E-2</v>
      </c>
    </row>
    <row r="236" spans="1:7" x14ac:dyDescent="0.25">
      <c r="A236" s="12">
        <v>44862</v>
      </c>
      <c r="B236" s="13">
        <v>845.58</v>
      </c>
      <c r="C236" s="13">
        <v>910</v>
      </c>
      <c r="D236" s="5">
        <f t="shared" si="6"/>
        <v>6.7400227824314749</v>
      </c>
      <c r="E236" s="5">
        <f t="shared" si="6"/>
        <v>6.8134445995108956</v>
      </c>
      <c r="F236" s="5">
        <f t="shared" si="7"/>
        <v>-1.6281502623188615E-2</v>
      </c>
      <c r="G236" s="5">
        <f t="shared" si="7"/>
        <v>-3.4008041113988696E-3</v>
      </c>
    </row>
    <row r="237" spans="1:7" x14ac:dyDescent="0.25">
      <c r="A237" s="12">
        <v>44865</v>
      </c>
      <c r="B237" s="13">
        <v>848.16</v>
      </c>
      <c r="C237" s="13">
        <v>907.5</v>
      </c>
      <c r="D237" s="5">
        <f t="shared" si="6"/>
        <v>6.7430692972394963</v>
      </c>
      <c r="E237" s="5">
        <f t="shared" si="6"/>
        <v>6.8106935661390056</v>
      </c>
      <c r="F237" s="5">
        <f t="shared" si="7"/>
        <v>3.0465148080214277E-3</v>
      </c>
      <c r="G237" s="5">
        <f t="shared" si="7"/>
        <v>-2.7510333718900881E-3</v>
      </c>
    </row>
    <row r="238" spans="1:7" x14ac:dyDescent="0.25">
      <c r="A238" s="12">
        <v>44866</v>
      </c>
      <c r="B238" s="13">
        <v>867.58</v>
      </c>
      <c r="C238" s="13">
        <v>928.1</v>
      </c>
      <c r="D238" s="5">
        <f t="shared" si="6"/>
        <v>6.7657077265892749</v>
      </c>
      <c r="E238" s="5">
        <f t="shared" si="6"/>
        <v>6.8331394856013468</v>
      </c>
      <c r="F238" s="5">
        <f t="shared" si="7"/>
        <v>2.2638429349778555E-2</v>
      </c>
      <c r="G238" s="5">
        <f t="shared" si="7"/>
        <v>2.2445919462341202E-2</v>
      </c>
    </row>
    <row r="239" spans="1:7" x14ac:dyDescent="0.25">
      <c r="A239" s="12">
        <v>44867</v>
      </c>
      <c r="B239" s="13">
        <v>873.02</v>
      </c>
      <c r="C239" s="13">
        <v>921</v>
      </c>
      <c r="D239" s="5">
        <f t="shared" si="6"/>
        <v>6.7719584650846292</v>
      </c>
      <c r="E239" s="5">
        <f t="shared" si="6"/>
        <v>6.8254600362553068</v>
      </c>
      <c r="F239" s="5">
        <f t="shared" si="7"/>
        <v>6.250738495354291E-3</v>
      </c>
      <c r="G239" s="5">
        <f t="shared" si="7"/>
        <v>-7.6794493460399238E-3</v>
      </c>
    </row>
    <row r="240" spans="1:7" x14ac:dyDescent="0.25">
      <c r="A240" s="12">
        <v>44868</v>
      </c>
      <c r="B240" s="13">
        <v>860.9</v>
      </c>
      <c r="C240" s="13">
        <v>931.2</v>
      </c>
      <c r="D240" s="5">
        <f t="shared" si="6"/>
        <v>6.7579783536639093</v>
      </c>
      <c r="E240" s="5">
        <f t="shared" si="6"/>
        <v>6.836474076977173</v>
      </c>
      <c r="F240" s="5">
        <f t="shared" si="7"/>
        <v>-1.3980111420719865E-2</v>
      </c>
      <c r="G240" s="5">
        <f t="shared" si="7"/>
        <v>1.1014040721866181E-2</v>
      </c>
    </row>
    <row r="241" spans="1:7" x14ac:dyDescent="0.25">
      <c r="A241" s="12">
        <v>44869</v>
      </c>
      <c r="B241" s="13">
        <v>884.98</v>
      </c>
      <c r="C241" s="13">
        <v>968.5</v>
      </c>
      <c r="D241" s="5">
        <f t="shared" si="6"/>
        <v>6.7855650458825147</v>
      </c>
      <c r="E241" s="5">
        <f t="shared" si="6"/>
        <v>6.875748482847051</v>
      </c>
      <c r="F241" s="5">
        <f t="shared" si="7"/>
        <v>2.7586692218605435E-2</v>
      </c>
      <c r="G241" s="5">
        <f t="shared" si="7"/>
        <v>3.927440586987796E-2</v>
      </c>
    </row>
    <row r="242" spans="1:7" x14ac:dyDescent="0.25">
      <c r="A242" s="12">
        <v>44872</v>
      </c>
      <c r="B242" s="13">
        <v>897.36</v>
      </c>
      <c r="C242" s="13">
        <v>969.2</v>
      </c>
      <c r="D242" s="5">
        <f t="shared" si="6"/>
        <v>6.7994571193369682</v>
      </c>
      <c r="E242" s="5">
        <f t="shared" si="6"/>
        <v>6.876470988942371</v>
      </c>
      <c r="F242" s="5">
        <f t="shared" si="7"/>
        <v>1.3892073454453424E-2</v>
      </c>
      <c r="G242" s="5">
        <f t="shared" si="7"/>
        <v>7.2250609531998577E-4</v>
      </c>
    </row>
    <row r="243" spans="1:7" x14ac:dyDescent="0.25">
      <c r="A243" s="12">
        <v>44873</v>
      </c>
      <c r="B243" s="13">
        <v>900.02</v>
      </c>
      <c r="C243" s="13">
        <v>975.2</v>
      </c>
      <c r="D243" s="5">
        <f t="shared" si="6"/>
        <v>6.8024169852996232</v>
      </c>
      <c r="E243" s="5">
        <f t="shared" si="6"/>
        <v>6.8826425781670615</v>
      </c>
      <c r="F243" s="5">
        <f t="shared" si="7"/>
        <v>2.9598659626550727E-3</v>
      </c>
      <c r="G243" s="5">
        <f t="shared" si="7"/>
        <v>6.1715892246905213E-3</v>
      </c>
    </row>
    <row r="244" spans="1:7" x14ac:dyDescent="0.25">
      <c r="A244" s="12">
        <v>44874</v>
      </c>
      <c r="B244" s="13">
        <v>900.32</v>
      </c>
      <c r="C244" s="13">
        <v>956.3</v>
      </c>
      <c r="D244" s="5">
        <f t="shared" si="6"/>
        <v>6.8027502556849688</v>
      </c>
      <c r="E244" s="5">
        <f t="shared" si="6"/>
        <v>6.8630716713554971</v>
      </c>
      <c r="F244" s="5">
        <f t="shared" si="7"/>
        <v>3.332703853455854E-4</v>
      </c>
      <c r="G244" s="5">
        <f t="shared" si="7"/>
        <v>-1.957090681156437E-2</v>
      </c>
    </row>
    <row r="245" spans="1:7" x14ac:dyDescent="0.25">
      <c r="A245" s="12">
        <v>44875</v>
      </c>
      <c r="B245" s="13">
        <v>889.6</v>
      </c>
      <c r="C245" s="13">
        <v>978.4</v>
      </c>
      <c r="D245" s="5">
        <f t="shared" si="6"/>
        <v>6.790771923496318</v>
      </c>
      <c r="E245" s="5">
        <f t="shared" si="6"/>
        <v>6.8859185843729627</v>
      </c>
      <c r="F245" s="5">
        <f t="shared" si="7"/>
        <v>-1.1978332188650853E-2</v>
      </c>
      <c r="G245" s="5">
        <f t="shared" si="7"/>
        <v>2.2846913017465553E-2</v>
      </c>
    </row>
    <row r="246" spans="1:7" x14ac:dyDescent="0.25">
      <c r="A246" s="12">
        <v>44876</v>
      </c>
      <c r="B246" s="13">
        <v>935.73</v>
      </c>
      <c r="C246" s="13">
        <v>1005</v>
      </c>
      <c r="D246" s="5">
        <f t="shared" si="6"/>
        <v>6.8413269733260984</v>
      </c>
      <c r="E246" s="5">
        <f t="shared" si="6"/>
        <v>6.9127428204931762</v>
      </c>
      <c r="F246" s="5">
        <f t="shared" si="7"/>
        <v>5.055504982978043E-2</v>
      </c>
      <c r="G246" s="5">
        <f t="shared" si="7"/>
        <v>2.6824236120213563E-2</v>
      </c>
    </row>
    <row r="247" spans="1:7" x14ac:dyDescent="0.25">
      <c r="A247" s="12">
        <v>44879</v>
      </c>
      <c r="B247" s="13">
        <v>939.78</v>
      </c>
      <c r="C247" s="13">
        <v>1002.3</v>
      </c>
      <c r="D247" s="5">
        <f t="shared" si="6"/>
        <v>6.8456458053186253</v>
      </c>
      <c r="E247" s="5">
        <f t="shared" si="6"/>
        <v>6.9100526380308205</v>
      </c>
      <c r="F247" s="5">
        <f t="shared" si="7"/>
        <v>4.318831992526917E-3</v>
      </c>
      <c r="G247" s="5">
        <f t="shared" si="7"/>
        <v>-2.6901824623557502E-3</v>
      </c>
    </row>
    <row r="248" spans="1:7" x14ac:dyDescent="0.25">
      <c r="A248" s="12">
        <v>44880</v>
      </c>
      <c r="B248" s="13">
        <v>960.64</v>
      </c>
      <c r="C248" s="13">
        <v>1022.1</v>
      </c>
      <c r="D248" s="5">
        <f t="shared" si="6"/>
        <v>6.8675997290050423</v>
      </c>
      <c r="E248" s="5">
        <f t="shared" si="6"/>
        <v>6.9296146133350307</v>
      </c>
      <c r="F248" s="5">
        <f t="shared" si="7"/>
        <v>2.1953923686417021E-2</v>
      </c>
      <c r="G248" s="5">
        <f t="shared" si="7"/>
        <v>1.9561975304210222E-2</v>
      </c>
    </row>
    <row r="249" spans="1:7" x14ac:dyDescent="0.25">
      <c r="A249" s="12">
        <v>44881</v>
      </c>
      <c r="B249" s="13">
        <v>954.31</v>
      </c>
      <c r="C249" s="13">
        <v>1005.3</v>
      </c>
      <c r="D249" s="5">
        <f t="shared" si="6"/>
        <v>6.8609885662533516</v>
      </c>
      <c r="E249" s="5">
        <f t="shared" si="6"/>
        <v>6.9130412834113741</v>
      </c>
      <c r="F249" s="5">
        <f t="shared" si="7"/>
        <v>-6.6111627516907134E-3</v>
      </c>
      <c r="G249" s="5">
        <f t="shared" si="7"/>
        <v>-1.6573329923656566E-2</v>
      </c>
    </row>
    <row r="250" spans="1:7" x14ac:dyDescent="0.25">
      <c r="A250" s="12">
        <v>44882</v>
      </c>
      <c r="B250" s="13">
        <v>942.36</v>
      </c>
      <c r="C250" s="13">
        <v>1008.4</v>
      </c>
      <c r="D250" s="5">
        <f t="shared" si="6"/>
        <v>6.8483873671747837</v>
      </c>
      <c r="E250" s="5">
        <f t="shared" si="6"/>
        <v>6.9161201953137645</v>
      </c>
      <c r="F250" s="5">
        <f t="shared" si="7"/>
        <v>-1.2601199078567937E-2</v>
      </c>
      <c r="G250" s="5">
        <f t="shared" si="7"/>
        <v>3.0789119023904021E-3</v>
      </c>
    </row>
    <row r="251" spans="1:7" x14ac:dyDescent="0.25">
      <c r="A251" s="12">
        <v>44883</v>
      </c>
      <c r="B251" s="13">
        <v>943.01</v>
      </c>
      <c r="C251" s="13">
        <v>1002.3</v>
      </c>
      <c r="D251" s="5">
        <f t="shared" si="6"/>
        <v>6.8490768870311012</v>
      </c>
      <c r="E251" s="5">
        <f t="shared" si="6"/>
        <v>6.9100526380308205</v>
      </c>
      <c r="F251" s="5">
        <f t="shared" si="7"/>
        <v>6.8951985631748869E-4</v>
      </c>
      <c r="G251" s="5">
        <f t="shared" si="7"/>
        <v>-6.0675572829440583E-3</v>
      </c>
    </row>
    <row r="252" spans="1:7" x14ac:dyDescent="0.25">
      <c r="A252" s="12">
        <v>44886</v>
      </c>
      <c r="B252" s="13">
        <v>931.05</v>
      </c>
      <c r="C252" s="13">
        <v>991.3</v>
      </c>
      <c r="D252" s="5">
        <f t="shared" si="6"/>
        <v>6.8363129815277714</v>
      </c>
      <c r="E252" s="5">
        <f t="shared" si="6"/>
        <v>6.8990172130388521</v>
      </c>
      <c r="F252" s="5">
        <f t="shared" si="7"/>
        <v>-1.2763905503329731E-2</v>
      </c>
      <c r="G252" s="5">
        <f t="shared" si="7"/>
        <v>-1.1035424991968412E-2</v>
      </c>
    </row>
    <row r="253" spans="1:7" x14ac:dyDescent="0.25">
      <c r="A253" s="12">
        <v>44887</v>
      </c>
      <c r="B253" s="13">
        <v>927.41</v>
      </c>
      <c r="C253" s="13">
        <v>992.7</v>
      </c>
      <c r="D253" s="5">
        <f t="shared" si="6"/>
        <v>6.8323957547329544</v>
      </c>
      <c r="E253" s="5">
        <f t="shared" si="6"/>
        <v>6.9004285035956761</v>
      </c>
      <c r="F253" s="5">
        <f t="shared" si="7"/>
        <v>-3.9172267948170969E-3</v>
      </c>
      <c r="G253" s="5">
        <f t="shared" si="7"/>
        <v>1.4112905568239853E-3</v>
      </c>
    </row>
    <row r="254" spans="1:7" x14ac:dyDescent="0.25">
      <c r="A254" s="12">
        <v>44888</v>
      </c>
      <c r="B254" s="13">
        <v>932.3</v>
      </c>
      <c r="C254" s="13">
        <v>995.5</v>
      </c>
      <c r="D254" s="5">
        <f t="shared" si="6"/>
        <v>6.8376546513026479</v>
      </c>
      <c r="E254" s="5">
        <f t="shared" si="6"/>
        <v>6.9032451235042513</v>
      </c>
      <c r="F254" s="5">
        <f t="shared" si="7"/>
        <v>5.258896569693583E-3</v>
      </c>
      <c r="G254" s="5">
        <f t="shared" si="7"/>
        <v>2.8166199085752908E-3</v>
      </c>
    </row>
    <row r="255" spans="1:7" x14ac:dyDescent="0.25">
      <c r="A255" s="12">
        <v>44889</v>
      </c>
      <c r="B255" s="13">
        <v>945.57</v>
      </c>
      <c r="C255" s="13">
        <v>995.5</v>
      </c>
      <c r="D255" s="5">
        <f t="shared" si="6"/>
        <v>6.8517879202602323</v>
      </c>
      <c r="E255" s="5">
        <f t="shared" si="6"/>
        <v>6.9032451235042513</v>
      </c>
      <c r="F255" s="5">
        <f t="shared" si="7"/>
        <v>1.4133268957584377E-2</v>
      </c>
      <c r="G255" s="5">
        <f t="shared" si="7"/>
        <v>0</v>
      </c>
    </row>
    <row r="256" spans="1:7" x14ac:dyDescent="0.25">
      <c r="A256" s="12">
        <v>44890</v>
      </c>
      <c r="B256" s="13">
        <v>941.01</v>
      </c>
      <c r="C256" s="13">
        <v>992.4</v>
      </c>
      <c r="D256" s="5">
        <f t="shared" si="6"/>
        <v>6.8469537665214748</v>
      </c>
      <c r="E256" s="5">
        <f t="shared" si="6"/>
        <v>6.9001262518176461</v>
      </c>
      <c r="F256" s="5">
        <f t="shared" si="7"/>
        <v>-4.8341537387575073E-3</v>
      </c>
      <c r="G256" s="5">
        <f t="shared" si="7"/>
        <v>-3.1188716866052957E-3</v>
      </c>
    </row>
    <row r="257" spans="1:7" x14ac:dyDescent="0.25">
      <c r="A257" s="12">
        <v>44893</v>
      </c>
      <c r="B257" s="13">
        <v>930.77</v>
      </c>
      <c r="C257" s="13">
        <v>985.8</v>
      </c>
      <c r="D257" s="5">
        <f t="shared" si="6"/>
        <v>6.8360122005692352</v>
      </c>
      <c r="E257" s="5">
        <f t="shared" si="6"/>
        <v>6.8934534942712773</v>
      </c>
      <c r="F257" s="5">
        <f t="shared" si="7"/>
        <v>-1.0941565952239607E-2</v>
      </c>
      <c r="G257" s="5">
        <f t="shared" si="7"/>
        <v>-6.6727575463687572E-3</v>
      </c>
    </row>
    <row r="258" spans="1:7" x14ac:dyDescent="0.25">
      <c r="A258" s="12">
        <v>44894</v>
      </c>
      <c r="B258" s="13">
        <v>952.94</v>
      </c>
      <c r="C258" s="13">
        <v>1008.4</v>
      </c>
      <c r="D258" s="5">
        <f t="shared" si="6"/>
        <v>6.859551942595596</v>
      </c>
      <c r="E258" s="5">
        <f t="shared" si="6"/>
        <v>6.9161201953137645</v>
      </c>
      <c r="F258" s="5">
        <f t="shared" si="7"/>
        <v>2.3539742026360777E-2</v>
      </c>
      <c r="G258" s="5">
        <f t="shared" si="7"/>
        <v>2.2666701042487247E-2</v>
      </c>
    </row>
    <row r="259" spans="1:7" x14ac:dyDescent="0.25">
      <c r="A259" s="12">
        <v>44895</v>
      </c>
      <c r="B259" s="13">
        <v>972.29</v>
      </c>
      <c r="C259" s="13">
        <v>1039.3</v>
      </c>
      <c r="D259" s="5">
        <f t="shared" si="6"/>
        <v>6.8796541138712275</v>
      </c>
      <c r="E259" s="5">
        <f t="shared" si="6"/>
        <v>6.9463026885943755</v>
      </c>
      <c r="F259" s="5">
        <f t="shared" si="7"/>
        <v>2.010217127563152E-2</v>
      </c>
      <c r="G259" s="5">
        <f t="shared" si="7"/>
        <v>3.0182493280610956E-2</v>
      </c>
    </row>
    <row r="260" spans="1:7" x14ac:dyDescent="0.25">
      <c r="A260" s="12">
        <v>44896</v>
      </c>
      <c r="B260" s="13">
        <v>978.3</v>
      </c>
      <c r="C260" s="13">
        <v>1027.9000000000001</v>
      </c>
      <c r="D260" s="5">
        <f t="shared" ref="D260:E323" si="8">LN(B260)</f>
        <v>6.8858163714633829</v>
      </c>
      <c r="E260" s="5">
        <f t="shared" si="8"/>
        <v>6.9352731650188764</v>
      </c>
      <c r="F260" s="5">
        <f t="shared" ref="F260:G323" si="9">D260-D259</f>
        <v>6.1622575921553846E-3</v>
      </c>
      <c r="G260" s="5">
        <f t="shared" si="9"/>
        <v>-1.1029523575499134E-2</v>
      </c>
    </row>
    <row r="261" spans="1:7" x14ac:dyDescent="0.25">
      <c r="A261" s="12">
        <v>44897</v>
      </c>
      <c r="B261" s="13">
        <v>973.85</v>
      </c>
      <c r="C261" s="13">
        <v>1033.4000000000001</v>
      </c>
      <c r="D261" s="5">
        <f t="shared" si="8"/>
        <v>6.8812572876759086</v>
      </c>
      <c r="E261" s="5">
        <f t="shared" si="8"/>
        <v>6.9406096158530843</v>
      </c>
      <c r="F261" s="5">
        <f t="shared" si="9"/>
        <v>-4.5590837874742718E-3</v>
      </c>
      <c r="G261" s="5">
        <f t="shared" si="9"/>
        <v>5.3364508342079731E-3</v>
      </c>
    </row>
    <row r="262" spans="1:7" x14ac:dyDescent="0.25">
      <c r="A262" s="12">
        <v>44900</v>
      </c>
      <c r="B262" s="13">
        <v>984.26</v>
      </c>
      <c r="C262" s="13">
        <v>1021.6</v>
      </c>
      <c r="D262" s="5">
        <f t="shared" si="8"/>
        <v>6.8918900897925539</v>
      </c>
      <c r="E262" s="5">
        <f t="shared" si="8"/>
        <v>6.9291253047183297</v>
      </c>
      <c r="F262" s="5">
        <f t="shared" si="9"/>
        <v>1.0632802116645301E-2</v>
      </c>
      <c r="G262" s="5">
        <f t="shared" si="9"/>
        <v>-1.1484311134754677E-2</v>
      </c>
    </row>
    <row r="263" spans="1:7" x14ac:dyDescent="0.25">
      <c r="A263" s="12">
        <v>44901</v>
      </c>
      <c r="B263" s="13">
        <v>972.93</v>
      </c>
      <c r="C263" s="13">
        <v>1021.6</v>
      </c>
      <c r="D263" s="5">
        <f t="shared" si="8"/>
        <v>6.8803121371519795</v>
      </c>
      <c r="E263" s="5">
        <f t="shared" si="8"/>
        <v>6.9291253047183297</v>
      </c>
      <c r="F263" s="5">
        <f t="shared" si="9"/>
        <v>-1.1577952640574374E-2</v>
      </c>
      <c r="G263" s="5">
        <f t="shared" si="9"/>
        <v>0</v>
      </c>
    </row>
    <row r="264" spans="1:7" x14ac:dyDescent="0.25">
      <c r="A264" s="12">
        <v>44902</v>
      </c>
      <c r="B264" s="13">
        <v>958.77</v>
      </c>
      <c r="C264" s="13">
        <v>1011.9</v>
      </c>
      <c r="D264" s="5">
        <f t="shared" si="8"/>
        <v>6.8656512129593255</v>
      </c>
      <c r="E264" s="5">
        <f t="shared" si="8"/>
        <v>6.9195850307357141</v>
      </c>
      <c r="F264" s="5">
        <f t="shared" si="9"/>
        <v>-1.4660924192654079E-2</v>
      </c>
      <c r="G264" s="5">
        <f t="shared" si="9"/>
        <v>-9.540273982615588E-3</v>
      </c>
    </row>
    <row r="265" spans="1:7" x14ac:dyDescent="0.25">
      <c r="A265" s="12">
        <v>44903</v>
      </c>
      <c r="B265" s="13">
        <v>969.21</v>
      </c>
      <c r="C265" s="13">
        <v>1023.5</v>
      </c>
      <c r="D265" s="5">
        <f t="shared" si="8"/>
        <v>6.8764813066770092</v>
      </c>
      <c r="E265" s="5">
        <f t="shared" si="8"/>
        <v>6.9309834051013439</v>
      </c>
      <c r="F265" s="5">
        <f t="shared" si="9"/>
        <v>1.0830093717683731E-2</v>
      </c>
      <c r="G265" s="5">
        <f t="shared" si="9"/>
        <v>1.1398374365629849E-2</v>
      </c>
    </row>
    <row r="266" spans="1:7" x14ac:dyDescent="0.25">
      <c r="A266" s="12">
        <v>44904</v>
      </c>
      <c r="B266" s="13">
        <v>978.28</v>
      </c>
      <c r="C266" s="13">
        <v>1021.2</v>
      </c>
      <c r="D266" s="5">
        <f t="shared" si="8"/>
        <v>6.8857959276277096</v>
      </c>
      <c r="E266" s="5">
        <f t="shared" si="8"/>
        <v>6.9287336853673285</v>
      </c>
      <c r="F266" s="5">
        <f t="shared" si="9"/>
        <v>9.3146209507004585E-3</v>
      </c>
      <c r="G266" s="5">
        <f t="shared" si="9"/>
        <v>-2.2497197340154429E-3</v>
      </c>
    </row>
    <row r="267" spans="1:7" x14ac:dyDescent="0.25">
      <c r="A267" s="12">
        <v>44907</v>
      </c>
      <c r="B267" s="13">
        <v>963.58</v>
      </c>
      <c r="C267" s="13">
        <v>1018.7</v>
      </c>
      <c r="D267" s="5">
        <f t="shared" si="8"/>
        <v>6.8706555150251107</v>
      </c>
      <c r="E267" s="5">
        <f t="shared" si="8"/>
        <v>6.9262825835960209</v>
      </c>
      <c r="F267" s="5">
        <f t="shared" si="9"/>
        <v>-1.5140412602598907E-2</v>
      </c>
      <c r="G267" s="5">
        <f t="shared" si="9"/>
        <v>-2.4511017713075844E-3</v>
      </c>
    </row>
    <row r="268" spans="1:7" x14ac:dyDescent="0.25">
      <c r="A268" s="12">
        <v>44908</v>
      </c>
      <c r="B268" s="13">
        <v>965.25</v>
      </c>
      <c r="C268" s="13">
        <v>1020.5</v>
      </c>
      <c r="D268" s="5">
        <f t="shared" si="8"/>
        <v>6.8723871351443453</v>
      </c>
      <c r="E268" s="5">
        <f t="shared" si="8"/>
        <v>6.9280479822498995</v>
      </c>
      <c r="F268" s="5">
        <f t="shared" si="9"/>
        <v>1.7316201192345559E-3</v>
      </c>
      <c r="G268" s="5">
        <f t="shared" si="9"/>
        <v>1.7653986538785915E-3</v>
      </c>
    </row>
    <row r="269" spans="1:7" x14ac:dyDescent="0.25">
      <c r="A269" s="12">
        <v>44909</v>
      </c>
      <c r="B269" s="13">
        <v>973.71</v>
      </c>
      <c r="C269" s="13">
        <v>1020.5</v>
      </c>
      <c r="D269" s="5">
        <f t="shared" si="8"/>
        <v>6.8811135180357015</v>
      </c>
      <c r="E269" s="5">
        <f t="shared" si="8"/>
        <v>6.9280479822498995</v>
      </c>
      <c r="F269" s="5">
        <f t="shared" si="9"/>
        <v>8.7263828913561881E-3</v>
      </c>
      <c r="G269" s="5">
        <f t="shared" si="9"/>
        <v>0</v>
      </c>
    </row>
    <row r="270" spans="1:7" x14ac:dyDescent="0.25">
      <c r="A270" s="12">
        <v>44910</v>
      </c>
      <c r="B270" s="13">
        <v>960.22</v>
      </c>
      <c r="C270" s="13">
        <v>998.8</v>
      </c>
      <c r="D270" s="5">
        <f t="shared" si="8"/>
        <v>6.8671624248738787</v>
      </c>
      <c r="E270" s="5">
        <f t="shared" si="8"/>
        <v>6.9065545584056185</v>
      </c>
      <c r="F270" s="5">
        <f t="shared" si="9"/>
        <v>-1.3951093161822747E-2</v>
      </c>
      <c r="G270" s="5">
        <f t="shared" si="9"/>
        <v>-2.149342384428099E-2</v>
      </c>
    </row>
    <row r="271" spans="1:7" x14ac:dyDescent="0.25">
      <c r="A271" s="12">
        <v>44911</v>
      </c>
      <c r="B271" s="13">
        <v>957.3</v>
      </c>
      <c r="C271" s="13">
        <v>1001.5</v>
      </c>
      <c r="D271" s="5">
        <f t="shared" si="8"/>
        <v>6.8641168219523072</v>
      </c>
      <c r="E271" s="5">
        <f t="shared" si="8"/>
        <v>6.9092541551058728</v>
      </c>
      <c r="F271" s="5">
        <f t="shared" si="9"/>
        <v>-3.0456029215715219E-3</v>
      </c>
      <c r="G271" s="5">
        <f t="shared" si="9"/>
        <v>2.6995967002543253E-3</v>
      </c>
    </row>
    <row r="272" spans="1:7" x14ac:dyDescent="0.25">
      <c r="A272" s="12">
        <v>44914</v>
      </c>
      <c r="B272" s="13">
        <v>957.64</v>
      </c>
      <c r="C272" s="13">
        <v>1004.2</v>
      </c>
      <c r="D272" s="5">
        <f t="shared" si="8"/>
        <v>6.8644719244657786</v>
      </c>
      <c r="E272" s="5">
        <f t="shared" si="8"/>
        <v>6.9119464836006053</v>
      </c>
      <c r="F272" s="5">
        <f t="shared" si="9"/>
        <v>3.5510251347137256E-4</v>
      </c>
      <c r="G272" s="5">
        <f t="shared" si="9"/>
        <v>2.6923284947324433E-3</v>
      </c>
    </row>
    <row r="273" spans="1:7" x14ac:dyDescent="0.25">
      <c r="A273" s="12">
        <v>44915</v>
      </c>
      <c r="B273" s="13">
        <v>951.08</v>
      </c>
      <c r="C273" s="13">
        <v>1003.8</v>
      </c>
      <c r="D273" s="5">
        <f t="shared" si="8"/>
        <v>6.8575981809842022</v>
      </c>
      <c r="E273" s="5">
        <f t="shared" si="8"/>
        <v>6.9115480772208331</v>
      </c>
      <c r="F273" s="5">
        <f t="shared" si="9"/>
        <v>-6.8737434815764331E-3</v>
      </c>
      <c r="G273" s="5">
        <f t="shared" si="9"/>
        <v>-3.9840637977217597E-4</v>
      </c>
    </row>
    <row r="274" spans="1:7" x14ac:dyDescent="0.25">
      <c r="A274" s="12">
        <v>44916</v>
      </c>
      <c r="B274" s="13">
        <v>952.98</v>
      </c>
      <c r="C274" s="13">
        <v>1011.6</v>
      </c>
      <c r="D274" s="5">
        <f t="shared" si="8"/>
        <v>6.8595939170751183</v>
      </c>
      <c r="E274" s="5">
        <f t="shared" si="8"/>
        <v>6.9192885147958103</v>
      </c>
      <c r="F274" s="5">
        <f t="shared" si="9"/>
        <v>1.9957360909161892E-3</v>
      </c>
      <c r="G274" s="5">
        <f t="shared" si="9"/>
        <v>7.7404375749772214E-3</v>
      </c>
    </row>
    <row r="275" spans="1:7" x14ac:dyDescent="0.25">
      <c r="A275" s="12">
        <v>44917</v>
      </c>
      <c r="B275" s="13">
        <v>964.06</v>
      </c>
      <c r="C275" s="13">
        <v>1003.7</v>
      </c>
      <c r="D275" s="5">
        <f t="shared" si="8"/>
        <v>6.8711535333375764</v>
      </c>
      <c r="E275" s="5">
        <f t="shared" si="8"/>
        <v>6.9114484508197549</v>
      </c>
      <c r="F275" s="5">
        <f t="shared" si="9"/>
        <v>1.155961626245805E-2</v>
      </c>
      <c r="G275" s="5">
        <f t="shared" si="9"/>
        <v>-7.8400639760554114E-3</v>
      </c>
    </row>
    <row r="276" spans="1:7" x14ac:dyDescent="0.25">
      <c r="A276" s="12">
        <v>44918</v>
      </c>
      <c r="B276" s="13">
        <v>954.78</v>
      </c>
      <c r="C276" s="13">
        <v>1004.4</v>
      </c>
      <c r="D276" s="5">
        <f t="shared" si="8"/>
        <v>6.8614809474501479</v>
      </c>
      <c r="E276" s="5">
        <f t="shared" si="8"/>
        <v>6.9121456272834303</v>
      </c>
      <c r="F276" s="5">
        <f t="shared" si="9"/>
        <v>-9.6725858874284754E-3</v>
      </c>
      <c r="G276" s="5">
        <f t="shared" si="9"/>
        <v>6.9717646367539743E-4</v>
      </c>
    </row>
    <row r="277" spans="1:7" x14ac:dyDescent="0.25">
      <c r="A277" s="12">
        <v>44921</v>
      </c>
      <c r="B277" s="13">
        <v>956.48</v>
      </c>
      <c r="C277" s="17">
        <f>C276</f>
        <v>1004.4</v>
      </c>
      <c r="D277" s="5">
        <f t="shared" si="8"/>
        <v>6.8632598790955734</v>
      </c>
      <c r="E277" s="5">
        <f t="shared" si="8"/>
        <v>6.9121456272834303</v>
      </c>
      <c r="F277" s="5">
        <f t="shared" si="9"/>
        <v>1.77893164542553E-3</v>
      </c>
      <c r="G277" s="5">
        <f t="shared" si="9"/>
        <v>0</v>
      </c>
    </row>
    <row r="278" spans="1:7" x14ac:dyDescent="0.25">
      <c r="A278" s="12">
        <v>44922</v>
      </c>
      <c r="B278" s="13">
        <v>959.39</v>
      </c>
      <c r="C278" s="13">
        <v>1021.5</v>
      </c>
      <c r="D278" s="5">
        <f t="shared" si="8"/>
        <v>6.8662976658324872</v>
      </c>
      <c r="E278" s="5">
        <f t="shared" si="8"/>
        <v>6.9290274142576767</v>
      </c>
      <c r="F278" s="5">
        <f t="shared" si="9"/>
        <v>3.0377867369137945E-3</v>
      </c>
      <c r="G278" s="5">
        <f t="shared" si="9"/>
        <v>1.688178697424636E-2</v>
      </c>
    </row>
    <row r="279" spans="1:7" x14ac:dyDescent="0.25">
      <c r="A279" s="12">
        <v>44923</v>
      </c>
      <c r="B279" s="13">
        <v>960.18</v>
      </c>
      <c r="C279" s="13">
        <v>1007.5</v>
      </c>
      <c r="D279" s="5">
        <f t="shared" si="8"/>
        <v>6.8671207668859537</v>
      </c>
      <c r="E279" s="5">
        <f t="shared" si="8"/>
        <v>6.9152272938208377</v>
      </c>
      <c r="F279" s="5">
        <f t="shared" si="9"/>
        <v>8.2310105346650175E-4</v>
      </c>
      <c r="G279" s="5">
        <f t="shared" si="9"/>
        <v>-1.3800120436838981E-2</v>
      </c>
    </row>
    <row r="280" spans="1:7" x14ac:dyDescent="0.25">
      <c r="A280" s="12">
        <v>44924</v>
      </c>
      <c r="B280" s="13">
        <v>957.45</v>
      </c>
      <c r="C280" s="13">
        <v>1023.9</v>
      </c>
      <c r="D280" s="5">
        <f t="shared" si="8"/>
        <v>6.8642735003701763</v>
      </c>
      <c r="E280" s="5">
        <f t="shared" si="8"/>
        <v>6.9313741445807713</v>
      </c>
      <c r="F280" s="5">
        <f t="shared" si="9"/>
        <v>-2.8472665157774912E-3</v>
      </c>
      <c r="G280" s="5">
        <f t="shared" si="9"/>
        <v>1.6146850759933606E-2</v>
      </c>
    </row>
    <row r="281" spans="1:7" x14ac:dyDescent="0.25">
      <c r="A281" s="12">
        <v>44925</v>
      </c>
      <c r="B281" s="13">
        <v>956.38</v>
      </c>
      <c r="C281" s="13">
        <v>1009.9</v>
      </c>
      <c r="D281" s="5">
        <f t="shared" si="8"/>
        <v>6.8631553236131113</v>
      </c>
      <c r="E281" s="5">
        <f t="shared" si="8"/>
        <v>6.9176065950325114</v>
      </c>
      <c r="F281" s="5">
        <f t="shared" si="9"/>
        <v>-1.118176757064937E-3</v>
      </c>
      <c r="G281" s="5">
        <f t="shared" si="9"/>
        <v>-1.3767549548259872E-2</v>
      </c>
    </row>
    <row r="282" spans="1:7" x14ac:dyDescent="0.25">
      <c r="A282" s="12">
        <v>44928</v>
      </c>
      <c r="B282" s="13">
        <v>956.12</v>
      </c>
      <c r="C282" s="17">
        <f>C281</f>
        <v>1009.9</v>
      </c>
      <c r="D282" s="5">
        <f t="shared" si="8"/>
        <v>6.8628834281865991</v>
      </c>
      <c r="E282" s="5">
        <f t="shared" si="8"/>
        <v>6.9176065950325114</v>
      </c>
      <c r="F282" s="5">
        <f t="shared" si="9"/>
        <v>-2.718954265121809E-4</v>
      </c>
      <c r="G282" s="5">
        <f t="shared" si="9"/>
        <v>0</v>
      </c>
    </row>
    <row r="283" spans="1:7" x14ac:dyDescent="0.25">
      <c r="A283" s="12">
        <v>44929</v>
      </c>
      <c r="B283" s="13">
        <v>962.57</v>
      </c>
      <c r="C283" s="13">
        <v>1016.6</v>
      </c>
      <c r="D283" s="5">
        <f t="shared" si="8"/>
        <v>6.8696067907901668</v>
      </c>
      <c r="E283" s="5">
        <f t="shared" si="8"/>
        <v>6.9242190050128025</v>
      </c>
      <c r="F283" s="5">
        <f t="shared" si="9"/>
        <v>6.7233626035676508E-3</v>
      </c>
      <c r="G283" s="5">
        <f t="shared" si="9"/>
        <v>6.6124099802911118E-3</v>
      </c>
    </row>
    <row r="284" spans="1:7" x14ac:dyDescent="0.25">
      <c r="A284" s="12">
        <v>44930</v>
      </c>
      <c r="B284" s="13">
        <v>974.22</v>
      </c>
      <c r="C284" s="13">
        <v>1044.5</v>
      </c>
      <c r="D284" s="5">
        <f t="shared" si="8"/>
        <v>6.8816371508270784</v>
      </c>
      <c r="E284" s="5">
        <f t="shared" si="8"/>
        <v>6.9512935809966203</v>
      </c>
      <c r="F284" s="5">
        <f t="shared" si="9"/>
        <v>1.2030360036911603E-2</v>
      </c>
      <c r="G284" s="5">
        <f t="shared" si="9"/>
        <v>2.7074575983817795E-2</v>
      </c>
    </row>
    <row r="285" spans="1:7" x14ac:dyDescent="0.25">
      <c r="A285" s="12">
        <v>44931</v>
      </c>
      <c r="B285" s="13">
        <v>984</v>
      </c>
      <c r="C285" s="13">
        <v>1043.8</v>
      </c>
      <c r="D285" s="5">
        <f t="shared" si="8"/>
        <v>6.8916258970522533</v>
      </c>
      <c r="E285" s="5">
        <f t="shared" si="8"/>
        <v>6.9506231792093125</v>
      </c>
      <c r="F285" s="5">
        <f t="shared" si="9"/>
        <v>9.9887462251748715E-3</v>
      </c>
      <c r="G285" s="5">
        <f t="shared" si="9"/>
        <v>-6.7040178730781719E-4</v>
      </c>
    </row>
    <row r="286" spans="1:7" x14ac:dyDescent="0.25">
      <c r="A286" s="12">
        <v>44932</v>
      </c>
      <c r="B286" s="13">
        <v>988.68</v>
      </c>
      <c r="C286" s="13">
        <v>1057.9000000000001</v>
      </c>
      <c r="D286" s="5">
        <f t="shared" si="8"/>
        <v>6.8963707201154989</v>
      </c>
      <c r="E286" s="5">
        <f t="shared" si="8"/>
        <v>6.9640410899927288</v>
      </c>
      <c r="F286" s="5">
        <f t="shared" si="9"/>
        <v>4.7448230632456401E-3</v>
      </c>
      <c r="G286" s="5">
        <f t="shared" si="9"/>
        <v>1.3417910783416254E-2</v>
      </c>
    </row>
    <row r="287" spans="1:7" x14ac:dyDescent="0.25">
      <c r="A287" s="12">
        <v>44935</v>
      </c>
      <c r="B287" s="13">
        <v>1013.5</v>
      </c>
      <c r="C287" s="13">
        <v>1063.5</v>
      </c>
      <c r="D287" s="5">
        <f t="shared" si="8"/>
        <v>6.9211649658920544</v>
      </c>
      <c r="E287" s="5">
        <f t="shared" si="8"/>
        <v>6.9693206346402921</v>
      </c>
      <c r="F287" s="5">
        <f t="shared" si="9"/>
        <v>2.4794245776555535E-2</v>
      </c>
      <c r="G287" s="5">
        <f t="shared" si="9"/>
        <v>5.2795446475633057E-3</v>
      </c>
    </row>
    <row r="288" spans="1:7" x14ac:dyDescent="0.25">
      <c r="A288" s="12">
        <v>44936</v>
      </c>
      <c r="B288" s="13">
        <v>1014.02</v>
      </c>
      <c r="C288" s="13">
        <v>1072.5999999999999</v>
      </c>
      <c r="D288" s="5">
        <f t="shared" si="8"/>
        <v>6.9216779078224935</v>
      </c>
      <c r="E288" s="5">
        <f t="shared" si="8"/>
        <v>6.9778408865488251</v>
      </c>
      <c r="F288" s="5">
        <f t="shared" si="9"/>
        <v>5.1294193043904812E-4</v>
      </c>
      <c r="G288" s="5">
        <f t="shared" si="9"/>
        <v>8.5202519085330053E-3</v>
      </c>
    </row>
    <row r="289" spans="1:7" x14ac:dyDescent="0.25">
      <c r="A289" s="12">
        <v>44937</v>
      </c>
      <c r="B289" s="13">
        <v>1016.85</v>
      </c>
      <c r="C289" s="13">
        <v>1075.3</v>
      </c>
      <c r="D289" s="5">
        <f t="shared" si="8"/>
        <v>6.9244648925450845</v>
      </c>
      <c r="E289" s="5">
        <f t="shared" si="8"/>
        <v>6.9803549713964808</v>
      </c>
      <c r="F289" s="5">
        <f t="shared" si="9"/>
        <v>2.7869847225909794E-3</v>
      </c>
      <c r="G289" s="5">
        <f t="shared" si="9"/>
        <v>2.5140848476556954E-3</v>
      </c>
    </row>
    <row r="290" spans="1:7" x14ac:dyDescent="0.25">
      <c r="A290" s="12">
        <v>44938</v>
      </c>
      <c r="B290" s="13">
        <v>1018.31</v>
      </c>
      <c r="C290" s="13">
        <v>1078</v>
      </c>
      <c r="D290" s="5">
        <f t="shared" si="8"/>
        <v>6.9258996694181176</v>
      </c>
      <c r="E290" s="5">
        <f t="shared" si="8"/>
        <v>6.9828627514689421</v>
      </c>
      <c r="F290" s="5">
        <f t="shared" si="9"/>
        <v>1.4347768730331723E-3</v>
      </c>
      <c r="G290" s="5">
        <f t="shared" si="9"/>
        <v>2.5077800724613297E-3</v>
      </c>
    </row>
    <row r="291" spans="1:7" x14ac:dyDescent="0.25">
      <c r="A291" s="12">
        <v>44939</v>
      </c>
      <c r="B291" s="13">
        <v>1029.8399999999999</v>
      </c>
      <c r="C291" s="13">
        <v>1085.4000000000001</v>
      </c>
      <c r="D291" s="5">
        <f t="shared" si="8"/>
        <v>6.9371587293513786</v>
      </c>
      <c r="E291" s="5">
        <f t="shared" si="8"/>
        <v>6.9897038616293043</v>
      </c>
      <c r="F291" s="5">
        <f t="shared" si="9"/>
        <v>1.1259059933260929E-2</v>
      </c>
      <c r="G291" s="5">
        <f t="shared" si="9"/>
        <v>6.8411101603622626E-3</v>
      </c>
    </row>
    <row r="292" spans="1:7" x14ac:dyDescent="0.25">
      <c r="A292" s="12">
        <v>44942</v>
      </c>
      <c r="B292" s="13">
        <v>1030.9100000000001</v>
      </c>
      <c r="C292" s="13">
        <v>1085.4000000000001</v>
      </c>
      <c r="D292" s="5">
        <f t="shared" si="8"/>
        <v>6.9381971863171987</v>
      </c>
      <c r="E292" s="5">
        <f t="shared" si="8"/>
        <v>6.9897038616293043</v>
      </c>
      <c r="F292" s="5">
        <f t="shared" si="9"/>
        <v>1.038456965820167E-3</v>
      </c>
      <c r="G292" s="5">
        <f t="shared" si="9"/>
        <v>0</v>
      </c>
    </row>
    <row r="293" spans="1:7" x14ac:dyDescent="0.25">
      <c r="A293" s="12">
        <v>44943</v>
      </c>
      <c r="B293" s="13">
        <v>1027.3800000000001</v>
      </c>
      <c r="C293" s="13">
        <v>1079.5</v>
      </c>
      <c r="D293" s="5">
        <f t="shared" si="8"/>
        <v>6.9347671512289351</v>
      </c>
      <c r="E293" s="5">
        <f t="shared" si="8"/>
        <v>6.984253249954862</v>
      </c>
      <c r="F293" s="5">
        <f t="shared" si="9"/>
        <v>-3.4300350882636721E-3</v>
      </c>
      <c r="G293" s="5">
        <f t="shared" si="9"/>
        <v>-5.4506116744423849E-3</v>
      </c>
    </row>
    <row r="294" spans="1:7" x14ac:dyDescent="0.25">
      <c r="A294" s="12">
        <v>44944</v>
      </c>
      <c r="B294" s="13">
        <v>1030.06</v>
      </c>
      <c r="C294" s="13">
        <v>1068.5999999999999</v>
      </c>
      <c r="D294" s="5">
        <f t="shared" si="8"/>
        <v>6.9373723319542595</v>
      </c>
      <c r="E294" s="5">
        <f t="shared" si="8"/>
        <v>6.9741046595236709</v>
      </c>
      <c r="F294" s="5">
        <f t="shared" si="9"/>
        <v>2.6051807253244519E-3</v>
      </c>
      <c r="G294" s="5">
        <f t="shared" si="9"/>
        <v>-1.0148590431191096E-2</v>
      </c>
    </row>
    <row r="295" spans="1:7" x14ac:dyDescent="0.25">
      <c r="A295" s="12">
        <v>44945</v>
      </c>
      <c r="B295" s="13">
        <v>1027.9100000000001</v>
      </c>
      <c r="C295" s="13">
        <v>1077.5</v>
      </c>
      <c r="D295" s="5">
        <f t="shared" si="8"/>
        <v>6.9352828935443727</v>
      </c>
      <c r="E295" s="5">
        <f t="shared" si="8"/>
        <v>6.9823988219779025</v>
      </c>
      <c r="F295" s="5">
        <f t="shared" si="9"/>
        <v>-2.0894384098868457E-3</v>
      </c>
      <c r="G295" s="5">
        <f t="shared" si="9"/>
        <v>8.2941624542316461E-3</v>
      </c>
    </row>
    <row r="296" spans="1:7" x14ac:dyDescent="0.25">
      <c r="A296" s="12">
        <v>44946</v>
      </c>
      <c r="B296" s="13">
        <v>1036.24</v>
      </c>
      <c r="C296" s="13">
        <v>1096</v>
      </c>
      <c r="D296" s="5">
        <f t="shared" si="8"/>
        <v>6.9433540562220006</v>
      </c>
      <c r="E296" s="5">
        <f t="shared" si="8"/>
        <v>6.9994224675079613</v>
      </c>
      <c r="F296" s="5">
        <f t="shared" si="9"/>
        <v>8.0711626776279743E-3</v>
      </c>
      <c r="G296" s="5">
        <f t="shared" si="9"/>
        <v>1.7023645530058751E-2</v>
      </c>
    </row>
    <row r="297" spans="1:7" x14ac:dyDescent="0.25">
      <c r="A297" s="12">
        <v>44949</v>
      </c>
      <c r="B297" s="13">
        <v>1038.68</v>
      </c>
      <c r="C297" s="13">
        <v>1104.8</v>
      </c>
      <c r="D297" s="5">
        <f t="shared" si="8"/>
        <v>6.9457059552106113</v>
      </c>
      <c r="E297" s="5">
        <f t="shared" si="8"/>
        <v>7.0074196020950827</v>
      </c>
      <c r="F297" s="5">
        <f t="shared" si="9"/>
        <v>2.3518989886106567E-3</v>
      </c>
      <c r="G297" s="5">
        <f t="shared" si="9"/>
        <v>7.9971345871214794E-3</v>
      </c>
    </row>
    <row r="298" spans="1:7" x14ac:dyDescent="0.25">
      <c r="A298" s="12">
        <v>44950</v>
      </c>
      <c r="B298" s="13">
        <v>1039.2</v>
      </c>
      <c r="C298" s="13">
        <v>1104.7</v>
      </c>
      <c r="D298" s="5">
        <f t="shared" si="8"/>
        <v>6.94620646535639</v>
      </c>
      <c r="E298" s="5">
        <f t="shared" si="8"/>
        <v>7.0073290838782292</v>
      </c>
      <c r="F298" s="5">
        <f t="shared" si="9"/>
        <v>5.0051014577867647E-4</v>
      </c>
      <c r="G298" s="5">
        <f t="shared" si="9"/>
        <v>-9.0518216853574529E-5</v>
      </c>
    </row>
    <row r="299" spans="1:7" x14ac:dyDescent="0.25">
      <c r="A299" s="12">
        <v>44951</v>
      </c>
      <c r="B299" s="13">
        <v>1041.26</v>
      </c>
      <c r="C299" s="13">
        <v>1105.0999999999999</v>
      </c>
      <c r="D299" s="5">
        <f t="shared" si="8"/>
        <v>6.9481867972764721</v>
      </c>
      <c r="E299" s="5">
        <f t="shared" si="8"/>
        <v>7.0076911075947361</v>
      </c>
      <c r="F299" s="5">
        <f t="shared" si="9"/>
        <v>1.980331920082179E-3</v>
      </c>
      <c r="G299" s="5">
        <f t="shared" si="9"/>
        <v>3.6202371650695397E-4</v>
      </c>
    </row>
    <row r="300" spans="1:7" x14ac:dyDescent="0.25">
      <c r="A300" s="12">
        <v>44952</v>
      </c>
      <c r="B300" s="13">
        <v>1052.46</v>
      </c>
      <c r="C300" s="13">
        <v>1118.2</v>
      </c>
      <c r="D300" s="5">
        <f t="shared" si="8"/>
        <v>6.9588855600837443</v>
      </c>
      <c r="E300" s="5">
        <f t="shared" si="8"/>
        <v>7.0194755285925448</v>
      </c>
      <c r="F300" s="5">
        <f t="shared" si="9"/>
        <v>1.0698762807272111E-2</v>
      </c>
      <c r="G300" s="5">
        <f t="shared" si="9"/>
        <v>1.1784420997808631E-2</v>
      </c>
    </row>
    <row r="301" spans="1:7" x14ac:dyDescent="0.25">
      <c r="A301" s="12">
        <v>44953</v>
      </c>
      <c r="B301" s="13">
        <v>1051.19</v>
      </c>
      <c r="C301" s="13">
        <v>1113.0999999999999</v>
      </c>
      <c r="D301" s="5">
        <f t="shared" si="8"/>
        <v>6.9576781347475025</v>
      </c>
      <c r="E301" s="5">
        <f t="shared" si="8"/>
        <v>7.0149041944991799</v>
      </c>
      <c r="F301" s="5">
        <f t="shared" si="9"/>
        <v>-1.2074253362417409E-3</v>
      </c>
      <c r="G301" s="5">
        <f t="shared" si="9"/>
        <v>-4.5713340933648539E-3</v>
      </c>
    </row>
    <row r="302" spans="1:7" x14ac:dyDescent="0.25">
      <c r="A302" s="12">
        <v>44956</v>
      </c>
      <c r="B302" s="13">
        <v>1044</v>
      </c>
      <c r="C302" s="13">
        <v>1093.2</v>
      </c>
      <c r="D302" s="5">
        <f t="shared" si="8"/>
        <v>6.9508147684425836</v>
      </c>
      <c r="E302" s="5">
        <f t="shared" si="8"/>
        <v>6.9968644540539131</v>
      </c>
      <c r="F302" s="5">
        <f t="shared" si="9"/>
        <v>-6.8633663049189053E-3</v>
      </c>
      <c r="G302" s="5">
        <f t="shared" si="9"/>
        <v>-1.8039740445266794E-2</v>
      </c>
    </row>
    <row r="303" spans="1:7" x14ac:dyDescent="0.25">
      <c r="A303" s="12">
        <v>44957</v>
      </c>
      <c r="B303" s="13">
        <v>1031.5</v>
      </c>
      <c r="C303" s="13">
        <v>1088.0999999999999</v>
      </c>
      <c r="D303" s="5">
        <f t="shared" si="8"/>
        <v>6.9387693325113062</v>
      </c>
      <c r="E303" s="5">
        <f t="shared" si="8"/>
        <v>6.9921883349569667</v>
      </c>
      <c r="F303" s="5">
        <f t="shared" si="9"/>
        <v>-1.2045435931277382E-2</v>
      </c>
      <c r="G303" s="5">
        <f t="shared" si="9"/>
        <v>-4.6761190969464295E-3</v>
      </c>
    </row>
    <row r="304" spans="1:7" x14ac:dyDescent="0.25">
      <c r="A304" s="12">
        <v>44958</v>
      </c>
      <c r="B304" s="13">
        <v>1042.79</v>
      </c>
      <c r="C304" s="13">
        <v>1100.9000000000001</v>
      </c>
      <c r="D304" s="5">
        <f t="shared" si="8"/>
        <v>6.9496550924468146</v>
      </c>
      <c r="E304" s="5">
        <f t="shared" si="8"/>
        <v>7.0038833060763572</v>
      </c>
      <c r="F304" s="5">
        <f t="shared" si="9"/>
        <v>1.0885759935508332E-2</v>
      </c>
      <c r="G304" s="5">
        <f t="shared" si="9"/>
        <v>1.1694971119390551E-2</v>
      </c>
    </row>
    <row r="305" spans="1:7" x14ac:dyDescent="0.25">
      <c r="A305" s="12">
        <v>44959</v>
      </c>
      <c r="B305" s="13">
        <v>1045.56</v>
      </c>
      <c r="C305" s="13">
        <v>1089.0999999999999</v>
      </c>
      <c r="D305" s="5">
        <f t="shared" si="8"/>
        <v>6.9523079060311961</v>
      </c>
      <c r="E305" s="5">
        <f t="shared" si="8"/>
        <v>6.9931069460816406</v>
      </c>
      <c r="F305" s="5">
        <f t="shared" si="9"/>
        <v>2.6528135843815193E-3</v>
      </c>
      <c r="G305" s="5">
        <f t="shared" si="9"/>
        <v>-1.07763599947166E-2</v>
      </c>
    </row>
    <row r="306" spans="1:7" x14ac:dyDescent="0.25">
      <c r="A306" s="12">
        <v>44960</v>
      </c>
      <c r="B306" s="13">
        <v>1038.71</v>
      </c>
      <c r="C306" s="13">
        <v>1076.8</v>
      </c>
      <c r="D306" s="5">
        <f t="shared" si="8"/>
        <v>6.9457348376063113</v>
      </c>
      <c r="E306" s="5">
        <f t="shared" si="8"/>
        <v>6.9817489588904635</v>
      </c>
      <c r="F306" s="5">
        <f t="shared" si="9"/>
        <v>-6.5730684248848092E-3</v>
      </c>
      <c r="G306" s="5">
        <f t="shared" si="9"/>
        <v>-1.1357987191177088E-2</v>
      </c>
    </row>
    <row r="307" spans="1:7" x14ac:dyDescent="0.25">
      <c r="A307" s="12">
        <v>44963</v>
      </c>
      <c r="B307" s="13">
        <v>1014.49</v>
      </c>
      <c r="C307" s="13">
        <v>1066.9000000000001</v>
      </c>
      <c r="D307" s="5">
        <f t="shared" si="8"/>
        <v>6.9221413021448388</v>
      </c>
      <c r="E307" s="5">
        <f t="shared" si="8"/>
        <v>6.9725125261974155</v>
      </c>
      <c r="F307" s="5">
        <f t="shared" si="9"/>
        <v>-2.359353546147247E-2</v>
      </c>
      <c r="G307" s="5">
        <f t="shared" si="9"/>
        <v>-9.23643269304808E-3</v>
      </c>
    </row>
    <row r="308" spans="1:7" x14ac:dyDescent="0.25">
      <c r="A308" s="12">
        <v>44964</v>
      </c>
      <c r="B308" s="13">
        <v>1015.51</v>
      </c>
      <c r="C308" s="13">
        <v>1069.7</v>
      </c>
      <c r="D308" s="5">
        <f t="shared" si="8"/>
        <v>6.9231462283377843</v>
      </c>
      <c r="E308" s="5">
        <f t="shared" si="8"/>
        <v>6.9751335143120849</v>
      </c>
      <c r="F308" s="5">
        <f t="shared" si="9"/>
        <v>1.0049261929454545E-3</v>
      </c>
      <c r="G308" s="5">
        <f t="shared" si="9"/>
        <v>2.6209881146694869E-3</v>
      </c>
    </row>
    <row r="309" spans="1:7" x14ac:dyDescent="0.25">
      <c r="A309" s="12">
        <v>44965</v>
      </c>
      <c r="B309" s="13">
        <v>1020.58</v>
      </c>
      <c r="C309" s="13">
        <v>1069.5999999999999</v>
      </c>
      <c r="D309" s="5">
        <f t="shared" si="8"/>
        <v>6.9281263721219686</v>
      </c>
      <c r="E309" s="5">
        <f t="shared" si="8"/>
        <v>6.9750400257877336</v>
      </c>
      <c r="F309" s="5">
        <f t="shared" si="9"/>
        <v>4.980143784184321E-3</v>
      </c>
      <c r="G309" s="5">
        <f t="shared" si="9"/>
        <v>-9.348852435131505E-5</v>
      </c>
    </row>
    <row r="310" spans="1:7" x14ac:dyDescent="0.25">
      <c r="A310" s="12">
        <v>44966</v>
      </c>
      <c r="B310" s="13">
        <v>1024.51</v>
      </c>
      <c r="C310" s="13">
        <v>1074.7</v>
      </c>
      <c r="D310" s="5">
        <f t="shared" si="8"/>
        <v>6.931969728490273</v>
      </c>
      <c r="E310" s="5">
        <f t="shared" si="8"/>
        <v>6.979796831847108</v>
      </c>
      <c r="F310" s="5">
        <f t="shared" si="9"/>
        <v>3.8433563683044625E-3</v>
      </c>
      <c r="G310" s="5">
        <f t="shared" si="9"/>
        <v>4.7568060593743411E-3</v>
      </c>
    </row>
    <row r="311" spans="1:7" x14ac:dyDescent="0.25">
      <c r="A311" s="12">
        <v>44967</v>
      </c>
      <c r="B311" s="13">
        <v>1013.67</v>
      </c>
      <c r="C311" s="13">
        <v>1067.0999999999999</v>
      </c>
      <c r="D311" s="5">
        <f t="shared" si="8"/>
        <v>6.9213326873958243</v>
      </c>
      <c r="E311" s="5">
        <f t="shared" si="8"/>
        <v>6.9726999676225194</v>
      </c>
      <c r="F311" s="5">
        <f t="shared" si="9"/>
        <v>-1.063704109444874E-2</v>
      </c>
      <c r="G311" s="5">
        <f t="shared" si="9"/>
        <v>-7.0968642245885505E-3</v>
      </c>
    </row>
    <row r="312" spans="1:7" x14ac:dyDescent="0.25">
      <c r="A312" s="12">
        <v>44970</v>
      </c>
      <c r="B312" s="13">
        <v>1013.53</v>
      </c>
      <c r="C312" s="13">
        <v>1077</v>
      </c>
      <c r="D312" s="5">
        <f t="shared" si="8"/>
        <v>6.9211945658486433</v>
      </c>
      <c r="E312" s="5">
        <f t="shared" si="8"/>
        <v>6.9819346771563886</v>
      </c>
      <c r="F312" s="5">
        <f t="shared" si="9"/>
        <v>-1.3812154718095826E-4</v>
      </c>
      <c r="G312" s="5">
        <f t="shared" si="9"/>
        <v>9.2347095338691787E-3</v>
      </c>
    </row>
    <row r="313" spans="1:7" x14ac:dyDescent="0.25">
      <c r="A313" s="12">
        <v>44971</v>
      </c>
      <c r="B313" s="13">
        <v>1014.49</v>
      </c>
      <c r="C313" s="13">
        <v>1077.3</v>
      </c>
      <c r="D313" s="5">
        <f t="shared" si="8"/>
        <v>6.9221413021448388</v>
      </c>
      <c r="E313" s="5">
        <f t="shared" si="8"/>
        <v>6.9822131899001469</v>
      </c>
      <c r="F313" s="5">
        <f t="shared" si="9"/>
        <v>9.4673629619546062E-4</v>
      </c>
      <c r="G313" s="5">
        <f t="shared" si="9"/>
        <v>2.7851274375834123E-4</v>
      </c>
    </row>
    <row r="314" spans="1:7" x14ac:dyDescent="0.25">
      <c r="A314" s="12">
        <v>44972</v>
      </c>
      <c r="B314" s="13">
        <v>1004.87</v>
      </c>
      <c r="C314" s="13">
        <v>1069.3</v>
      </c>
      <c r="D314" s="5">
        <f t="shared" si="8"/>
        <v>6.9126134588924941</v>
      </c>
      <c r="E314" s="5">
        <f t="shared" si="8"/>
        <v>6.9747595077626112</v>
      </c>
      <c r="F314" s="5">
        <f t="shared" si="9"/>
        <v>-9.527843252344681E-3</v>
      </c>
      <c r="G314" s="5">
        <f t="shared" si="9"/>
        <v>-7.4536821375357221E-3</v>
      </c>
    </row>
    <row r="315" spans="1:7" x14ac:dyDescent="0.25">
      <c r="A315" s="12">
        <v>44973</v>
      </c>
      <c r="B315" s="13">
        <v>1011.14</v>
      </c>
      <c r="C315" s="13">
        <v>1070.4000000000001</v>
      </c>
      <c r="D315" s="5">
        <f t="shared" si="8"/>
        <v>6.9188336861891377</v>
      </c>
      <c r="E315" s="5">
        <f t="shared" si="8"/>
        <v>6.9757876893739637</v>
      </c>
      <c r="F315" s="5">
        <f t="shared" si="9"/>
        <v>6.2202272966436212E-3</v>
      </c>
      <c r="G315" s="5">
        <f t="shared" si="9"/>
        <v>1.02818161135243E-3</v>
      </c>
    </row>
    <row r="316" spans="1:7" x14ac:dyDescent="0.25">
      <c r="A316" s="12">
        <v>44974</v>
      </c>
      <c r="B316" s="13">
        <v>999.42</v>
      </c>
      <c r="C316" s="13">
        <v>1059.7</v>
      </c>
      <c r="D316" s="5">
        <f t="shared" si="8"/>
        <v>6.9071751107170716</v>
      </c>
      <c r="E316" s="5">
        <f t="shared" si="8"/>
        <v>6.9657411281807899</v>
      </c>
      <c r="F316" s="5">
        <f t="shared" si="9"/>
        <v>-1.1658575472066168E-2</v>
      </c>
      <c r="G316" s="5">
        <f t="shared" si="9"/>
        <v>-1.0046561193173709E-2</v>
      </c>
    </row>
    <row r="317" spans="1:7" x14ac:dyDescent="0.25">
      <c r="A317" s="12">
        <v>44977</v>
      </c>
      <c r="B317" s="13">
        <v>1005.21</v>
      </c>
      <c r="C317" s="13">
        <v>1059.7</v>
      </c>
      <c r="D317" s="5">
        <f t="shared" si="8"/>
        <v>6.9129517538889544</v>
      </c>
      <c r="E317" s="5">
        <f t="shared" si="8"/>
        <v>6.9657411281807899</v>
      </c>
      <c r="F317" s="5">
        <f t="shared" si="9"/>
        <v>5.776643171882867E-3</v>
      </c>
      <c r="G317" s="5">
        <f t="shared" si="9"/>
        <v>0</v>
      </c>
    </row>
    <row r="318" spans="1:7" x14ac:dyDescent="0.25">
      <c r="A318" s="12">
        <v>44978</v>
      </c>
      <c r="B318" s="13">
        <v>995.19</v>
      </c>
      <c r="C318" s="13">
        <v>1048.5</v>
      </c>
      <c r="D318" s="5">
        <f t="shared" si="8"/>
        <v>6.9029336737029201</v>
      </c>
      <c r="E318" s="5">
        <f t="shared" si="8"/>
        <v>6.9551158503419748</v>
      </c>
      <c r="F318" s="5">
        <f t="shared" si="9"/>
        <v>-1.0018080186034339E-2</v>
      </c>
      <c r="G318" s="5">
        <f t="shared" si="9"/>
        <v>-1.0625277838815173E-2</v>
      </c>
    </row>
    <row r="319" spans="1:7" x14ac:dyDescent="0.25">
      <c r="A319" s="12">
        <v>44979</v>
      </c>
      <c r="B319" s="13">
        <v>982.06</v>
      </c>
      <c r="C319" s="13">
        <v>1041.8</v>
      </c>
      <c r="D319" s="5">
        <f t="shared" si="8"/>
        <v>6.8896524062842834</v>
      </c>
      <c r="E319" s="5">
        <f t="shared" si="8"/>
        <v>6.9487052653110908</v>
      </c>
      <c r="F319" s="5">
        <f t="shared" si="9"/>
        <v>-1.3281267418636666E-2</v>
      </c>
      <c r="G319" s="5">
        <f t="shared" si="9"/>
        <v>-6.4105850308839862E-3</v>
      </c>
    </row>
    <row r="320" spans="1:7" x14ac:dyDescent="0.25">
      <c r="A320" s="12">
        <v>44980</v>
      </c>
      <c r="B320" s="13">
        <v>987.74</v>
      </c>
      <c r="C320" s="13">
        <v>1046.5</v>
      </c>
      <c r="D320" s="5">
        <f t="shared" si="8"/>
        <v>6.8954195052210165</v>
      </c>
      <c r="E320" s="5">
        <f t="shared" si="8"/>
        <v>6.953206541886054</v>
      </c>
      <c r="F320" s="5">
        <f t="shared" si="9"/>
        <v>5.767098936733106E-3</v>
      </c>
      <c r="G320" s="5">
        <f t="shared" si="9"/>
        <v>4.5012765749632422E-3</v>
      </c>
    </row>
    <row r="321" spans="1:7" x14ac:dyDescent="0.25">
      <c r="A321" s="12">
        <v>44981</v>
      </c>
      <c r="B321" s="13">
        <v>971.87</v>
      </c>
      <c r="C321" s="13">
        <v>1023.3</v>
      </c>
      <c r="D321" s="5">
        <f t="shared" si="8"/>
        <v>6.8792220506598314</v>
      </c>
      <c r="E321" s="5">
        <f t="shared" si="8"/>
        <v>6.9307879780927095</v>
      </c>
      <c r="F321" s="5">
        <f t="shared" si="9"/>
        <v>-1.6197454561185154E-2</v>
      </c>
      <c r="G321" s="5">
        <f t="shared" si="9"/>
        <v>-2.2418563793344504E-2</v>
      </c>
    </row>
    <row r="322" spans="1:7" x14ac:dyDescent="0.25">
      <c r="A322" s="12">
        <v>44984</v>
      </c>
      <c r="B322" s="13">
        <v>967.25</v>
      </c>
      <c r="C322" s="13">
        <v>1027.8</v>
      </c>
      <c r="D322" s="5">
        <f t="shared" si="8"/>
        <v>6.8744569935806226</v>
      </c>
      <c r="E322" s="5">
        <f t="shared" si="8"/>
        <v>6.9351758745581291</v>
      </c>
      <c r="F322" s="5">
        <f t="shared" si="9"/>
        <v>-4.7650570792088232E-3</v>
      </c>
      <c r="G322" s="5">
        <f t="shared" si="9"/>
        <v>4.387896465419594E-3</v>
      </c>
    </row>
    <row r="323" spans="1:7" x14ac:dyDescent="0.25">
      <c r="A323" s="12">
        <v>44985</v>
      </c>
      <c r="B323" s="13">
        <v>964.01</v>
      </c>
      <c r="C323" s="13">
        <v>1020.9</v>
      </c>
      <c r="D323" s="5">
        <f t="shared" si="8"/>
        <v>6.8711016680007253</v>
      </c>
      <c r="E323" s="5">
        <f t="shared" si="8"/>
        <v>6.9284398701749694</v>
      </c>
      <c r="F323" s="5">
        <f t="shared" si="9"/>
        <v>-3.3553255798972614E-3</v>
      </c>
      <c r="G323" s="5">
        <f t="shared" si="9"/>
        <v>-6.7360043831596883E-3</v>
      </c>
    </row>
    <row r="324" spans="1:7" x14ac:dyDescent="0.25">
      <c r="A324" s="12">
        <v>44986</v>
      </c>
      <c r="B324" s="13">
        <v>984.19</v>
      </c>
      <c r="C324" s="13">
        <v>1043.2</v>
      </c>
      <c r="D324" s="5">
        <f t="shared" ref="D324:E387" si="10">LN(B324)</f>
        <v>6.8918189678437827</v>
      </c>
      <c r="E324" s="5">
        <f t="shared" si="10"/>
        <v>6.9500481911723888</v>
      </c>
      <c r="F324" s="5">
        <f t="shared" ref="F324:G387" si="11">D324-D323</f>
        <v>2.0717299843057368E-2</v>
      </c>
      <c r="G324" s="5">
        <f t="shared" si="11"/>
        <v>2.1608320997419384E-2</v>
      </c>
    </row>
    <row r="325" spans="1:7" x14ac:dyDescent="0.25">
      <c r="A325" s="12">
        <v>44987</v>
      </c>
      <c r="B325" s="13">
        <v>980.05</v>
      </c>
      <c r="C325" s="13">
        <v>1046.9000000000001</v>
      </c>
      <c r="D325" s="5">
        <f t="shared" si="10"/>
        <v>6.8876035907712838</v>
      </c>
      <c r="E325" s="5">
        <f t="shared" si="10"/>
        <v>6.9535886953253092</v>
      </c>
      <c r="F325" s="5">
        <f t="shared" si="11"/>
        <v>-4.2153770724988604E-3</v>
      </c>
      <c r="G325" s="5">
        <f t="shared" si="11"/>
        <v>3.5405041529203984E-3</v>
      </c>
    </row>
    <row r="326" spans="1:7" x14ac:dyDescent="0.25">
      <c r="A326" s="12">
        <v>44988</v>
      </c>
      <c r="B326" s="13">
        <v>988.03</v>
      </c>
      <c r="C326" s="13">
        <v>1063.3</v>
      </c>
      <c r="D326" s="5">
        <f t="shared" si="10"/>
        <v>6.8957130616593494</v>
      </c>
      <c r="E326" s="5">
        <f t="shared" si="10"/>
        <v>6.9691325586570407</v>
      </c>
      <c r="F326" s="5">
        <f t="shared" si="11"/>
        <v>8.109470888065573E-3</v>
      </c>
      <c r="G326" s="5">
        <f t="shared" si="11"/>
        <v>1.5543863331731522E-2</v>
      </c>
    </row>
    <row r="327" spans="1:7" x14ac:dyDescent="0.25">
      <c r="A327" s="12">
        <v>44991</v>
      </c>
      <c r="B327" s="13">
        <v>993.74</v>
      </c>
      <c r="C327" s="13">
        <v>1060.4000000000001</v>
      </c>
      <c r="D327" s="5">
        <f t="shared" si="10"/>
        <v>6.9014756030248288</v>
      </c>
      <c r="E327" s="5">
        <f t="shared" si="10"/>
        <v>6.9664014744148703</v>
      </c>
      <c r="F327" s="5">
        <f t="shared" si="11"/>
        <v>5.7625413654793789E-3</v>
      </c>
      <c r="G327" s="5">
        <f t="shared" si="11"/>
        <v>-2.7310842421703896E-3</v>
      </c>
    </row>
    <row r="328" spans="1:7" x14ac:dyDescent="0.25">
      <c r="A328" s="12">
        <v>44992</v>
      </c>
      <c r="B328" s="13">
        <v>988.38</v>
      </c>
      <c r="C328" s="13">
        <v>1043.2</v>
      </c>
      <c r="D328" s="5">
        <f t="shared" si="10"/>
        <v>6.8960672391869462</v>
      </c>
      <c r="E328" s="5">
        <f t="shared" si="10"/>
        <v>6.9500481911723888</v>
      </c>
      <c r="F328" s="5">
        <f t="shared" si="11"/>
        <v>-5.4083638378825682E-3</v>
      </c>
      <c r="G328" s="5">
        <f t="shared" si="11"/>
        <v>-1.6353283242481531E-2</v>
      </c>
    </row>
    <row r="329" spans="1:7" x14ac:dyDescent="0.25">
      <c r="A329" s="12">
        <v>44993</v>
      </c>
      <c r="B329" s="13">
        <v>978.07</v>
      </c>
      <c r="C329" s="13">
        <v>1047.2</v>
      </c>
      <c r="D329" s="5">
        <f t="shared" si="10"/>
        <v>6.8855812421156015</v>
      </c>
      <c r="E329" s="5">
        <f t="shared" si="10"/>
        <v>6.9538752145956906</v>
      </c>
      <c r="F329" s="5">
        <f t="shared" si="11"/>
        <v>-1.0485997071344677E-2</v>
      </c>
      <c r="G329" s="5">
        <f t="shared" si="11"/>
        <v>3.8270234233017675E-3</v>
      </c>
    </row>
    <row r="330" spans="1:7" x14ac:dyDescent="0.25">
      <c r="A330" s="12">
        <v>44994</v>
      </c>
      <c r="B330" s="13">
        <v>968.39</v>
      </c>
      <c r="C330" s="13">
        <v>1024.8</v>
      </c>
      <c r="D330" s="5">
        <f t="shared" si="10"/>
        <v>6.8756348986991451</v>
      </c>
      <c r="E330" s="5">
        <f t="shared" si="10"/>
        <v>6.9322527505825242</v>
      </c>
      <c r="F330" s="5">
        <f t="shared" si="11"/>
        <v>-9.9463434164563935E-3</v>
      </c>
      <c r="G330" s="5">
        <f t="shared" si="11"/>
        <v>-2.1622464013166365E-2</v>
      </c>
    </row>
    <row r="331" spans="1:7" x14ac:dyDescent="0.25">
      <c r="A331" s="12">
        <v>44995</v>
      </c>
      <c r="B331" s="13">
        <v>955.28</v>
      </c>
      <c r="C331" s="13">
        <v>1020.1</v>
      </c>
      <c r="D331" s="5">
        <f t="shared" si="10"/>
        <v>6.8620044912251288</v>
      </c>
      <c r="E331" s="5">
        <f t="shared" si="10"/>
        <v>6.9276559406884735</v>
      </c>
      <c r="F331" s="5">
        <f t="shared" si="11"/>
        <v>-1.3630407474016337E-2</v>
      </c>
      <c r="G331" s="5">
        <f t="shared" si="11"/>
        <v>-4.5968098940507574E-3</v>
      </c>
    </row>
    <row r="332" spans="1:7" x14ac:dyDescent="0.25">
      <c r="A332" s="12">
        <v>44998</v>
      </c>
      <c r="B332" s="13">
        <v>961.5</v>
      </c>
      <c r="C332" s="13">
        <v>1021</v>
      </c>
      <c r="D332" s="5">
        <f t="shared" si="10"/>
        <v>6.8684945650288345</v>
      </c>
      <c r="E332" s="5">
        <f t="shared" si="10"/>
        <v>6.9285378181646653</v>
      </c>
      <c r="F332" s="5">
        <f t="shared" si="11"/>
        <v>6.4900738037056982E-3</v>
      </c>
      <c r="G332" s="5">
        <f t="shared" si="11"/>
        <v>8.8187747619183909E-4</v>
      </c>
    </row>
    <row r="333" spans="1:7" x14ac:dyDescent="0.25">
      <c r="A333" s="12">
        <v>44999</v>
      </c>
      <c r="B333" s="13">
        <v>945.12</v>
      </c>
      <c r="C333" s="13">
        <v>1022</v>
      </c>
      <c r="D333" s="5">
        <f t="shared" si="10"/>
        <v>6.8513119035589254</v>
      </c>
      <c r="E333" s="5">
        <f t="shared" si="10"/>
        <v>6.9295167707636498</v>
      </c>
      <c r="F333" s="5">
        <f t="shared" si="11"/>
        <v>-1.71826614699091E-2</v>
      </c>
      <c r="G333" s="5">
        <f t="shared" si="11"/>
        <v>9.7895259898450604E-4</v>
      </c>
    </row>
    <row r="334" spans="1:7" x14ac:dyDescent="0.25">
      <c r="A334" s="12">
        <v>45000</v>
      </c>
      <c r="B334" s="13">
        <v>946.87</v>
      </c>
      <c r="C334" s="13">
        <v>983.8</v>
      </c>
      <c r="D334" s="5">
        <f t="shared" si="10"/>
        <v>6.8531618081557388</v>
      </c>
      <c r="E334" s="5">
        <f t="shared" si="10"/>
        <v>6.8914226243612395</v>
      </c>
      <c r="F334" s="5">
        <f t="shared" si="11"/>
        <v>1.8499045968134453E-3</v>
      </c>
      <c r="G334" s="5">
        <f t="shared" si="11"/>
        <v>-3.8094146402410267E-2</v>
      </c>
    </row>
    <row r="335" spans="1:7" x14ac:dyDescent="0.25">
      <c r="A335" s="12">
        <v>45001</v>
      </c>
      <c r="B335" s="13">
        <v>941.35</v>
      </c>
      <c r="C335" s="13">
        <v>986.5</v>
      </c>
      <c r="D335" s="5">
        <f t="shared" si="10"/>
        <v>6.8473150151707207</v>
      </c>
      <c r="E335" s="5">
        <f t="shared" si="10"/>
        <v>6.89416332546267</v>
      </c>
      <c r="F335" s="5">
        <f t="shared" si="11"/>
        <v>-5.8467929850181122E-3</v>
      </c>
      <c r="G335" s="5">
        <f t="shared" si="11"/>
        <v>2.7407011014304317E-3</v>
      </c>
    </row>
    <row r="336" spans="1:7" x14ac:dyDescent="0.25">
      <c r="A336" s="12">
        <v>45002</v>
      </c>
      <c r="B336" s="13">
        <v>951.56</v>
      </c>
      <c r="C336" s="13">
        <v>982.2</v>
      </c>
      <c r="D336" s="5">
        <f t="shared" si="10"/>
        <v>6.8581027430770654</v>
      </c>
      <c r="E336" s="5">
        <f t="shared" si="10"/>
        <v>6.8897949536051444</v>
      </c>
      <c r="F336" s="5">
        <f t="shared" si="11"/>
        <v>1.0787727906344635E-2</v>
      </c>
      <c r="G336" s="5">
        <f t="shared" si="11"/>
        <v>-4.3683718575255881E-3</v>
      </c>
    </row>
    <row r="337" spans="1:7" x14ac:dyDescent="0.25">
      <c r="A337" s="12">
        <v>45005</v>
      </c>
      <c r="B337" s="13">
        <v>942.98</v>
      </c>
      <c r="C337" s="13">
        <v>985.4</v>
      </c>
      <c r="D337" s="5">
        <f t="shared" si="10"/>
        <v>6.8490450735008039</v>
      </c>
      <c r="E337" s="5">
        <f t="shared" si="10"/>
        <v>6.893047650109863</v>
      </c>
      <c r="F337" s="5">
        <f t="shared" si="11"/>
        <v>-9.0576695762614179E-3</v>
      </c>
      <c r="G337" s="5">
        <f t="shared" si="11"/>
        <v>3.2526965047185996E-3</v>
      </c>
    </row>
    <row r="338" spans="1:7" x14ac:dyDescent="0.25">
      <c r="A338" s="12">
        <v>45006</v>
      </c>
      <c r="B338" s="13">
        <v>952.45</v>
      </c>
      <c r="C338" s="13">
        <v>994.8</v>
      </c>
      <c r="D338" s="5">
        <f t="shared" si="10"/>
        <v>6.8590376121847072</v>
      </c>
      <c r="E338" s="5">
        <f t="shared" si="10"/>
        <v>6.9025417119292491</v>
      </c>
      <c r="F338" s="5">
        <f t="shared" si="11"/>
        <v>9.9925386839032626E-3</v>
      </c>
      <c r="G338" s="5">
        <f t="shared" si="11"/>
        <v>9.4940618193861681E-3</v>
      </c>
    </row>
    <row r="339" spans="1:7" x14ac:dyDescent="0.25">
      <c r="A339" s="12">
        <v>45007</v>
      </c>
      <c r="B339" s="13">
        <v>961.48</v>
      </c>
      <c r="C339" s="13">
        <v>998.9</v>
      </c>
      <c r="D339" s="5">
        <f t="shared" si="10"/>
        <v>6.8684737639804609</v>
      </c>
      <c r="E339" s="5">
        <f t="shared" si="10"/>
        <v>6.906654673538104</v>
      </c>
      <c r="F339" s="5">
        <f t="shared" si="11"/>
        <v>9.4361517957537444E-3</v>
      </c>
      <c r="G339" s="5">
        <f t="shared" si="11"/>
        <v>4.1129616088548815E-3</v>
      </c>
    </row>
    <row r="340" spans="1:7" x14ac:dyDescent="0.25">
      <c r="A340" s="12">
        <v>45008</v>
      </c>
      <c r="B340" s="13">
        <v>977.78</v>
      </c>
      <c r="C340" s="13">
        <v>1012.6</v>
      </c>
      <c r="D340" s="5">
        <f t="shared" si="10"/>
        <v>6.8852846958547689</v>
      </c>
      <c r="E340" s="5">
        <f t="shared" si="10"/>
        <v>6.9202765595358091</v>
      </c>
      <c r="F340" s="5">
        <f t="shared" si="11"/>
        <v>1.6810931874307933E-2</v>
      </c>
      <c r="G340" s="5">
        <f t="shared" si="11"/>
        <v>1.3621885997705085E-2</v>
      </c>
    </row>
    <row r="341" spans="1:7" x14ac:dyDescent="0.25">
      <c r="A341" s="12">
        <v>45009</v>
      </c>
      <c r="B341" s="13">
        <v>972.17</v>
      </c>
      <c r="C341" s="13">
        <v>1003.1</v>
      </c>
      <c r="D341" s="5">
        <f t="shared" si="10"/>
        <v>6.8795306862870627</v>
      </c>
      <c r="E341" s="5">
        <f t="shared" si="10"/>
        <v>6.9108504838894396</v>
      </c>
      <c r="F341" s="5">
        <f t="shared" si="11"/>
        <v>-5.7540095677062197E-3</v>
      </c>
      <c r="G341" s="5">
        <f t="shared" si="11"/>
        <v>-9.4260756463695472E-3</v>
      </c>
    </row>
    <row r="342" spans="1:7" x14ac:dyDescent="0.25">
      <c r="A342" s="12">
        <v>45012</v>
      </c>
      <c r="B342" s="13">
        <v>964.01</v>
      </c>
      <c r="C342" s="13">
        <v>1002.8</v>
      </c>
      <c r="D342" s="5">
        <f t="shared" si="10"/>
        <v>6.8711016680007253</v>
      </c>
      <c r="E342" s="5">
        <f t="shared" si="10"/>
        <v>6.910551366284138</v>
      </c>
      <c r="F342" s="5">
        <f t="shared" si="11"/>
        <v>-8.4290182863373531E-3</v>
      </c>
      <c r="G342" s="5">
        <f t="shared" si="11"/>
        <v>-2.9911760530154652E-4</v>
      </c>
    </row>
    <row r="343" spans="1:7" x14ac:dyDescent="0.25">
      <c r="A343" s="12">
        <v>45013</v>
      </c>
      <c r="B343" s="13">
        <v>970.69</v>
      </c>
      <c r="C343" s="13">
        <v>1019.2</v>
      </c>
      <c r="D343" s="5">
        <f t="shared" si="10"/>
        <v>6.8780071588210863</v>
      </c>
      <c r="E343" s="5">
        <f t="shared" si="10"/>
        <v>6.9267732848178989</v>
      </c>
      <c r="F343" s="5">
        <f t="shared" si="11"/>
        <v>6.90549082036096E-3</v>
      </c>
      <c r="G343" s="5">
        <f t="shared" si="11"/>
        <v>1.6221918533760871E-2</v>
      </c>
    </row>
    <row r="344" spans="1:7" x14ac:dyDescent="0.25">
      <c r="A344" s="12">
        <v>45014</v>
      </c>
      <c r="B344" s="13">
        <v>980.14</v>
      </c>
      <c r="C344" s="13">
        <v>1022.6</v>
      </c>
      <c r="D344" s="5">
        <f t="shared" si="10"/>
        <v>6.8876954186043644</v>
      </c>
      <c r="E344" s="5">
        <f t="shared" si="10"/>
        <v>6.9301036826458988</v>
      </c>
      <c r="F344" s="5">
        <f t="shared" si="11"/>
        <v>9.6882597832781414E-3</v>
      </c>
      <c r="G344" s="5">
        <f t="shared" si="11"/>
        <v>3.3303978279999313E-3</v>
      </c>
    </row>
    <row r="345" spans="1:7" x14ac:dyDescent="0.25">
      <c r="A345" s="12">
        <v>45015</v>
      </c>
      <c r="B345" s="13">
        <v>985.77</v>
      </c>
      <c r="C345" s="13">
        <v>1035.7</v>
      </c>
      <c r="D345" s="5">
        <f t="shared" si="10"/>
        <v>6.8934230616718741</v>
      </c>
      <c r="E345" s="5">
        <f t="shared" si="10"/>
        <v>6.9428328055948336</v>
      </c>
      <c r="F345" s="5">
        <f t="shared" si="11"/>
        <v>5.7276430675097245E-3</v>
      </c>
      <c r="G345" s="5">
        <f t="shared" si="11"/>
        <v>1.2729122948934801E-2</v>
      </c>
    </row>
    <row r="346" spans="1:7" x14ac:dyDescent="0.25">
      <c r="A346" s="12">
        <v>45016</v>
      </c>
      <c r="B346" s="13">
        <v>990.28</v>
      </c>
      <c r="C346" s="13">
        <v>1032.9000000000001</v>
      </c>
      <c r="D346" s="5">
        <f t="shared" si="10"/>
        <v>6.8979877314230844</v>
      </c>
      <c r="E346" s="5">
        <f t="shared" si="10"/>
        <v>6.9401256590125877</v>
      </c>
      <c r="F346" s="5">
        <f t="shared" si="11"/>
        <v>4.5646697512102818E-3</v>
      </c>
      <c r="G346" s="5">
        <f t="shared" si="11"/>
        <v>-2.7071465822459118E-3</v>
      </c>
    </row>
    <row r="347" spans="1:7" x14ac:dyDescent="0.25">
      <c r="A347" s="12">
        <v>45019</v>
      </c>
      <c r="B347" s="13">
        <v>989.18</v>
      </c>
      <c r="C347" s="13">
        <v>1030.8</v>
      </c>
      <c r="D347" s="5">
        <f t="shared" si="10"/>
        <v>6.8968763170845984</v>
      </c>
      <c r="E347" s="5">
        <f t="shared" si="10"/>
        <v>6.9380904787782098</v>
      </c>
      <c r="F347" s="5">
        <f t="shared" si="11"/>
        <v>-1.1114143384860498E-3</v>
      </c>
      <c r="G347" s="5">
        <f t="shared" si="11"/>
        <v>-2.0351802343778758E-3</v>
      </c>
    </row>
    <row r="348" spans="1:7" x14ac:dyDescent="0.25">
      <c r="A348" s="12">
        <v>45020</v>
      </c>
      <c r="B348" s="13">
        <v>987.62</v>
      </c>
      <c r="C348" s="13">
        <v>1027.3</v>
      </c>
      <c r="D348" s="5">
        <f t="shared" si="10"/>
        <v>6.8952980083797843</v>
      </c>
      <c r="E348" s="5">
        <f t="shared" si="10"/>
        <v>6.9346892802222175</v>
      </c>
      <c r="F348" s="5">
        <f t="shared" si="11"/>
        <v>-1.5783087048140132E-3</v>
      </c>
      <c r="G348" s="5">
        <f t="shared" si="11"/>
        <v>-3.4011985559923019E-3</v>
      </c>
    </row>
    <row r="349" spans="1:7" x14ac:dyDescent="0.25">
      <c r="A349" s="12">
        <v>45021</v>
      </c>
      <c r="B349" s="13">
        <v>987.85</v>
      </c>
      <c r="C349" s="13">
        <v>1013.7</v>
      </c>
      <c r="D349" s="5">
        <f t="shared" si="10"/>
        <v>6.8955308643594142</v>
      </c>
      <c r="E349" s="5">
        <f t="shared" si="10"/>
        <v>6.9213622823883538</v>
      </c>
      <c r="F349" s="5">
        <f t="shared" si="11"/>
        <v>2.3285597962985349E-4</v>
      </c>
      <c r="G349" s="5">
        <f t="shared" si="11"/>
        <v>-1.3326997833863707E-2</v>
      </c>
    </row>
    <row r="350" spans="1:7" x14ac:dyDescent="0.25">
      <c r="A350" s="12">
        <v>45022</v>
      </c>
      <c r="B350" s="13">
        <v>984.43</v>
      </c>
      <c r="C350" s="13">
        <v>1019.8</v>
      </c>
      <c r="D350" s="5">
        <f t="shared" si="10"/>
        <v>6.8920627934690319</v>
      </c>
      <c r="E350" s="5">
        <f t="shared" si="10"/>
        <v>6.9273618086210549</v>
      </c>
      <c r="F350" s="5">
        <f t="shared" si="11"/>
        <v>-3.4680708903822577E-3</v>
      </c>
      <c r="G350" s="5">
        <f t="shared" si="11"/>
        <v>5.9995262327010579E-3</v>
      </c>
    </row>
    <row r="351" spans="1:7" x14ac:dyDescent="0.25">
      <c r="A351" s="12">
        <v>45023</v>
      </c>
      <c r="B351" s="13">
        <v>987.07</v>
      </c>
      <c r="C351" s="13">
        <v>1019.8</v>
      </c>
      <c r="D351" s="5">
        <f t="shared" si="10"/>
        <v>6.8947409589044524</v>
      </c>
      <c r="E351" s="5">
        <f t="shared" si="10"/>
        <v>6.9273618086210549</v>
      </c>
      <c r="F351" s="5">
        <f t="shared" si="11"/>
        <v>2.6781654354204321E-3</v>
      </c>
      <c r="G351" s="5">
        <f t="shared" si="11"/>
        <v>0</v>
      </c>
    </row>
    <row r="352" spans="1:7" x14ac:dyDescent="0.25">
      <c r="A352" s="12">
        <v>45026</v>
      </c>
      <c r="B352" s="13">
        <v>988.68</v>
      </c>
      <c r="C352" s="13">
        <v>1027.3</v>
      </c>
      <c r="D352" s="5">
        <f t="shared" si="10"/>
        <v>6.8963707201154989</v>
      </c>
      <c r="E352" s="5">
        <f t="shared" si="10"/>
        <v>6.9346892802222175</v>
      </c>
      <c r="F352" s="5">
        <f t="shared" si="11"/>
        <v>1.6297612110465209E-3</v>
      </c>
      <c r="G352" s="5">
        <f t="shared" si="11"/>
        <v>7.3274716011626495E-3</v>
      </c>
    </row>
    <row r="353" spans="1:7" x14ac:dyDescent="0.25">
      <c r="A353" s="12">
        <v>45027</v>
      </c>
      <c r="B353" s="13">
        <v>996.25</v>
      </c>
      <c r="C353" s="13">
        <v>1035.3</v>
      </c>
      <c r="D353" s="5">
        <f t="shared" si="10"/>
        <v>6.9039982301044249</v>
      </c>
      <c r="E353" s="5">
        <f t="shared" si="10"/>
        <v>6.9424465187720674</v>
      </c>
      <c r="F353" s="5">
        <f t="shared" si="11"/>
        <v>7.6275099889260289E-3</v>
      </c>
      <c r="G353" s="5">
        <f t="shared" si="11"/>
        <v>7.7572385498498875E-3</v>
      </c>
    </row>
    <row r="354" spans="1:7" x14ac:dyDescent="0.25">
      <c r="A354" s="12">
        <v>45028</v>
      </c>
      <c r="B354" s="13">
        <v>993.58</v>
      </c>
      <c r="C354" s="13">
        <v>1025.0999999999999</v>
      </c>
      <c r="D354" s="5">
        <f t="shared" si="10"/>
        <v>6.9013145821521498</v>
      </c>
      <c r="E354" s="5">
        <f t="shared" si="10"/>
        <v>6.932545447789356</v>
      </c>
      <c r="F354" s="5">
        <f t="shared" si="11"/>
        <v>-2.6836479522751588E-3</v>
      </c>
      <c r="G354" s="5">
        <f t="shared" si="11"/>
        <v>-9.9010709827114241E-3</v>
      </c>
    </row>
    <row r="355" spans="1:7" x14ac:dyDescent="0.25">
      <c r="A355" s="12">
        <v>45029</v>
      </c>
      <c r="B355" s="13">
        <v>997.03</v>
      </c>
      <c r="C355" s="13">
        <v>1039.0999999999999</v>
      </c>
      <c r="D355" s="5">
        <f t="shared" si="10"/>
        <v>6.9047808597799474</v>
      </c>
      <c r="E355" s="5">
        <f t="shared" si="10"/>
        <v>6.9461102328586009</v>
      </c>
      <c r="F355" s="5">
        <f t="shared" si="11"/>
        <v>3.4662776277976093E-3</v>
      </c>
      <c r="G355" s="5">
        <f t="shared" si="11"/>
        <v>1.3564785069244856E-2</v>
      </c>
    </row>
    <row r="356" spans="1:7" x14ac:dyDescent="0.25">
      <c r="A356" s="12">
        <v>45030</v>
      </c>
      <c r="B356" s="13">
        <v>1000.49</v>
      </c>
      <c r="C356" s="13">
        <v>1037.4000000000001</v>
      </c>
      <c r="D356" s="5">
        <f t="shared" si="10"/>
        <v>6.9082451589713392</v>
      </c>
      <c r="E356" s="5">
        <f t="shared" si="10"/>
        <v>6.9444728619172995</v>
      </c>
      <c r="F356" s="5">
        <f t="shared" si="11"/>
        <v>3.4642991913917953E-3</v>
      </c>
      <c r="G356" s="5">
        <f t="shared" si="11"/>
        <v>-1.6373709413013415E-3</v>
      </c>
    </row>
    <row r="357" spans="1:7" x14ac:dyDescent="0.25">
      <c r="A357" s="12">
        <v>45033</v>
      </c>
      <c r="B357" s="13">
        <v>1003.78</v>
      </c>
      <c r="C357" s="13">
        <v>1045.9000000000001</v>
      </c>
      <c r="D357" s="5">
        <f t="shared" si="10"/>
        <v>6.9115281527346353</v>
      </c>
      <c r="E357" s="5">
        <f t="shared" si="10"/>
        <v>6.952633037760223</v>
      </c>
      <c r="F357" s="5">
        <f t="shared" si="11"/>
        <v>3.2829937632961048E-3</v>
      </c>
      <c r="G357" s="5">
        <f t="shared" si="11"/>
        <v>8.1601758429235005E-3</v>
      </c>
    </row>
    <row r="358" spans="1:7" x14ac:dyDescent="0.25">
      <c r="A358" s="12">
        <v>45034</v>
      </c>
      <c r="B358" s="13">
        <v>1000.54</v>
      </c>
      <c r="C358" s="13">
        <v>1043.2</v>
      </c>
      <c r="D358" s="5">
        <f t="shared" si="10"/>
        <v>6.9082951332346036</v>
      </c>
      <c r="E358" s="5">
        <f t="shared" si="10"/>
        <v>6.9500481911723888</v>
      </c>
      <c r="F358" s="5">
        <f t="shared" si="11"/>
        <v>-3.2330195000316309E-3</v>
      </c>
      <c r="G358" s="5">
        <f t="shared" si="11"/>
        <v>-2.5848465878341997E-3</v>
      </c>
    </row>
    <row r="359" spans="1:7" x14ac:dyDescent="0.25">
      <c r="A359" s="12">
        <v>45035</v>
      </c>
      <c r="B359" s="13">
        <v>990.37</v>
      </c>
      <c r="C359" s="13">
        <v>1034.5</v>
      </c>
      <c r="D359" s="5">
        <f t="shared" si="10"/>
        <v>6.8980786106799572</v>
      </c>
      <c r="E359" s="5">
        <f t="shared" si="10"/>
        <v>6.9416734971855973</v>
      </c>
      <c r="F359" s="5">
        <f t="shared" si="11"/>
        <v>-1.0216522554646446E-2</v>
      </c>
      <c r="G359" s="5">
        <f t="shared" si="11"/>
        <v>-8.3746939867914705E-3</v>
      </c>
    </row>
    <row r="360" spans="1:7" x14ac:dyDescent="0.25">
      <c r="A360" s="12">
        <v>45036</v>
      </c>
      <c r="B360" s="13">
        <v>989.79</v>
      </c>
      <c r="C360" s="13">
        <v>1029.5</v>
      </c>
      <c r="D360" s="5">
        <f t="shared" si="10"/>
        <v>6.8974927994156277</v>
      </c>
      <c r="E360" s="5">
        <f t="shared" si="10"/>
        <v>6.9368285264678438</v>
      </c>
      <c r="F360" s="5">
        <f t="shared" si="11"/>
        <v>-5.8581126432954989E-4</v>
      </c>
      <c r="G360" s="5">
        <f t="shared" si="11"/>
        <v>-4.8449707177535828E-3</v>
      </c>
    </row>
    <row r="361" spans="1:7" x14ac:dyDescent="0.25">
      <c r="A361" s="12">
        <v>45037</v>
      </c>
      <c r="B361" s="13">
        <v>980.74</v>
      </c>
      <c r="C361" s="13">
        <v>1020.4</v>
      </c>
      <c r="D361" s="5">
        <f t="shared" si="10"/>
        <v>6.8883073887593209</v>
      </c>
      <c r="E361" s="5">
        <f t="shared" si="10"/>
        <v>6.9279499862676559</v>
      </c>
      <c r="F361" s="5">
        <f t="shared" si="11"/>
        <v>-9.1854106563067361E-3</v>
      </c>
      <c r="G361" s="5">
        <f t="shared" si="11"/>
        <v>-8.8785402001878566E-3</v>
      </c>
    </row>
    <row r="362" spans="1:7" x14ac:dyDescent="0.25">
      <c r="A362" s="12">
        <v>45040</v>
      </c>
      <c r="B362" s="13">
        <v>977.38</v>
      </c>
      <c r="C362" s="13">
        <v>1016</v>
      </c>
      <c r="D362" s="5">
        <f t="shared" si="10"/>
        <v>6.8848755221752942</v>
      </c>
      <c r="E362" s="5">
        <f t="shared" si="10"/>
        <v>6.9236286281384274</v>
      </c>
      <c r="F362" s="5">
        <f t="shared" si="11"/>
        <v>-3.4318665840267215E-3</v>
      </c>
      <c r="G362" s="5">
        <f t="shared" si="11"/>
        <v>-4.3213581292285141E-3</v>
      </c>
    </row>
    <row r="363" spans="1:7" x14ac:dyDescent="0.25">
      <c r="A363" s="12">
        <v>45041</v>
      </c>
      <c r="B363" s="13">
        <v>965.6</v>
      </c>
      <c r="C363" s="13">
        <v>992.5</v>
      </c>
      <c r="D363" s="5">
        <f t="shared" si="10"/>
        <v>6.8727496697833219</v>
      </c>
      <c r="E363" s="5">
        <f t="shared" si="10"/>
        <v>6.9002270125613459</v>
      </c>
      <c r="F363" s="5">
        <f t="shared" si="11"/>
        <v>-1.212585239197228E-2</v>
      </c>
      <c r="G363" s="5">
        <f t="shared" si="11"/>
        <v>-2.3401615577081536E-2</v>
      </c>
    </row>
    <row r="364" spans="1:7" x14ac:dyDescent="0.25">
      <c r="A364" s="12">
        <v>45042</v>
      </c>
      <c r="B364" s="13">
        <v>967.85</v>
      </c>
      <c r="C364" s="13">
        <v>998.3</v>
      </c>
      <c r="D364" s="5">
        <f t="shared" si="10"/>
        <v>6.8750771165915552</v>
      </c>
      <c r="E364" s="5">
        <f t="shared" si="10"/>
        <v>6.9060538323423799</v>
      </c>
      <c r="F364" s="5">
        <f t="shared" si="11"/>
        <v>2.3274468082332689E-3</v>
      </c>
      <c r="G364" s="5">
        <f t="shared" si="11"/>
        <v>5.8268197810340538E-3</v>
      </c>
    </row>
    <row r="365" spans="1:7" x14ac:dyDescent="0.25">
      <c r="A365" s="12">
        <v>45043</v>
      </c>
      <c r="B365" s="13">
        <v>972.18</v>
      </c>
      <c r="C365" s="13">
        <v>1014.6</v>
      </c>
      <c r="D365" s="5">
        <f t="shared" si="10"/>
        <v>6.8795409725009646</v>
      </c>
      <c r="E365" s="5">
        <f t="shared" si="10"/>
        <v>6.9222497251325894</v>
      </c>
      <c r="F365" s="5">
        <f t="shared" si="11"/>
        <v>4.4638559094094532E-3</v>
      </c>
      <c r="G365" s="5">
        <f t="shared" si="11"/>
        <v>1.6195892790209498E-2</v>
      </c>
    </row>
    <row r="366" spans="1:7" x14ac:dyDescent="0.25">
      <c r="A366" s="12">
        <v>45044</v>
      </c>
      <c r="B366" s="13">
        <v>977.05</v>
      </c>
      <c r="C366" s="13">
        <v>1019.5</v>
      </c>
      <c r="D366" s="5">
        <f t="shared" si="10"/>
        <v>6.8845378278059526</v>
      </c>
      <c r="E366" s="5">
        <f t="shared" si="10"/>
        <v>6.9270675900145102</v>
      </c>
      <c r="F366" s="5">
        <f t="shared" si="11"/>
        <v>4.9968553049879461E-3</v>
      </c>
      <c r="G366" s="5">
        <f t="shared" si="11"/>
        <v>4.8178648819208192E-3</v>
      </c>
    </row>
    <row r="367" spans="1:7" x14ac:dyDescent="0.25">
      <c r="A367" s="12">
        <v>45047</v>
      </c>
      <c r="B367" s="13">
        <v>976.74</v>
      </c>
      <c r="C367" s="13">
        <v>1016.1</v>
      </c>
      <c r="D367" s="5">
        <f t="shared" si="10"/>
        <v>6.8842204958484734</v>
      </c>
      <c r="E367" s="5">
        <f t="shared" si="10"/>
        <v>6.9237270484918358</v>
      </c>
      <c r="F367" s="5">
        <f t="shared" si="11"/>
        <v>-3.173319574791833E-4</v>
      </c>
      <c r="G367" s="5">
        <f t="shared" si="11"/>
        <v>-3.3405415226743784E-3</v>
      </c>
    </row>
    <row r="368" spans="1:7" x14ac:dyDescent="0.25">
      <c r="A368" s="12">
        <v>45048</v>
      </c>
      <c r="B368" s="13">
        <v>973.94</v>
      </c>
      <c r="C368" s="13">
        <v>1001</v>
      </c>
      <c r="D368" s="5">
        <f t="shared" si="10"/>
        <v>6.8813497001023656</v>
      </c>
      <c r="E368" s="5">
        <f t="shared" si="10"/>
        <v>6.9087547793152204</v>
      </c>
      <c r="F368" s="5">
        <f t="shared" si="11"/>
        <v>-2.8707957461078237E-3</v>
      </c>
      <c r="G368" s="5">
        <f t="shared" si="11"/>
        <v>-1.4972269176615427E-2</v>
      </c>
    </row>
    <row r="369" spans="1:7" x14ac:dyDescent="0.25">
      <c r="A369" s="12">
        <v>45049</v>
      </c>
      <c r="B369" s="13">
        <v>969.62</v>
      </c>
      <c r="C369" s="13">
        <v>997.9</v>
      </c>
      <c r="D369" s="5">
        <f t="shared" si="10"/>
        <v>6.8769042421650211</v>
      </c>
      <c r="E369" s="5">
        <f t="shared" si="10"/>
        <v>6.905653070890267</v>
      </c>
      <c r="F369" s="5">
        <f t="shared" si="11"/>
        <v>-4.4454579373445213E-3</v>
      </c>
      <c r="G369" s="5">
        <f t="shared" si="11"/>
        <v>-3.1017084249533866E-3</v>
      </c>
    </row>
    <row r="370" spans="1:7" x14ac:dyDescent="0.25">
      <c r="A370" s="12">
        <v>45050</v>
      </c>
      <c r="B370" s="13">
        <v>976.36</v>
      </c>
      <c r="C370" s="13">
        <v>1002.2</v>
      </c>
      <c r="D370" s="5">
        <f t="shared" si="10"/>
        <v>6.8838313708627634</v>
      </c>
      <c r="E370" s="5">
        <f t="shared" si="10"/>
        <v>6.9099528625256239</v>
      </c>
      <c r="F370" s="5">
        <f t="shared" si="11"/>
        <v>6.9271286977423685E-3</v>
      </c>
      <c r="G370" s="5">
        <f t="shared" si="11"/>
        <v>4.2997916353568755E-3</v>
      </c>
    </row>
    <row r="371" spans="1:7" x14ac:dyDescent="0.25">
      <c r="A371" s="12">
        <v>45051</v>
      </c>
      <c r="B371" s="13">
        <v>981.66</v>
      </c>
      <c r="C371" s="13">
        <v>1019</v>
      </c>
      <c r="D371" s="5">
        <f t="shared" si="10"/>
        <v>6.8892450162230405</v>
      </c>
      <c r="E371" s="5">
        <f t="shared" si="10"/>
        <v>6.926577033222725</v>
      </c>
      <c r="F371" s="5">
        <f t="shared" si="11"/>
        <v>5.4136453602771084E-3</v>
      </c>
      <c r="G371" s="5">
        <f t="shared" si="11"/>
        <v>1.6624170697101093E-2</v>
      </c>
    </row>
    <row r="372" spans="1:7" x14ac:dyDescent="0.25">
      <c r="A372" s="12">
        <v>45054</v>
      </c>
      <c r="B372" s="13">
        <v>989.44</v>
      </c>
      <c r="C372" s="13">
        <v>1020.1</v>
      </c>
      <c r="D372" s="5">
        <f t="shared" si="10"/>
        <v>6.8971391265189474</v>
      </c>
      <c r="E372" s="5">
        <f t="shared" si="10"/>
        <v>6.9276559406884735</v>
      </c>
      <c r="F372" s="5">
        <f t="shared" si="11"/>
        <v>7.8941102959069198E-3</v>
      </c>
      <c r="G372" s="5">
        <f t="shared" si="11"/>
        <v>1.0789074657484576E-3</v>
      </c>
    </row>
    <row r="373" spans="1:7" x14ac:dyDescent="0.25">
      <c r="A373" s="12">
        <v>45055</v>
      </c>
      <c r="B373" s="13">
        <v>982.24</v>
      </c>
      <c r="C373" s="13">
        <v>1014.4</v>
      </c>
      <c r="D373" s="5">
        <f t="shared" si="10"/>
        <v>6.8898356776791863</v>
      </c>
      <c r="E373" s="5">
        <f t="shared" si="10"/>
        <v>6.9220525836829614</v>
      </c>
      <c r="F373" s="5">
        <f t="shared" si="11"/>
        <v>-7.3034488397611952E-3</v>
      </c>
      <c r="G373" s="5">
        <f t="shared" si="11"/>
        <v>-5.6033570055120663E-3</v>
      </c>
    </row>
    <row r="374" spans="1:7" x14ac:dyDescent="0.25">
      <c r="A374" s="12">
        <v>45056</v>
      </c>
      <c r="B374" s="13">
        <v>979.64</v>
      </c>
      <c r="C374" s="13">
        <v>1012.5</v>
      </c>
      <c r="D374" s="5">
        <f t="shared" si="10"/>
        <v>6.8871851572374272</v>
      </c>
      <c r="E374" s="5">
        <f t="shared" si="10"/>
        <v>6.9201777989806939</v>
      </c>
      <c r="F374" s="5">
        <f t="shared" si="11"/>
        <v>-2.6505204417590633E-3</v>
      </c>
      <c r="G374" s="5">
        <f t="shared" si="11"/>
        <v>-1.8747847022675401E-3</v>
      </c>
    </row>
    <row r="375" spans="1:7" x14ac:dyDescent="0.25">
      <c r="A375" s="12">
        <v>45057</v>
      </c>
      <c r="B375" s="13">
        <v>977.82</v>
      </c>
      <c r="C375" s="13">
        <v>1004.2</v>
      </c>
      <c r="D375" s="5">
        <f t="shared" si="10"/>
        <v>6.8853256040159527</v>
      </c>
      <c r="E375" s="5">
        <f t="shared" si="10"/>
        <v>6.9119464836006053</v>
      </c>
      <c r="F375" s="5">
        <f t="shared" si="11"/>
        <v>-1.8595532214744637E-3</v>
      </c>
      <c r="G375" s="5">
        <f t="shared" si="11"/>
        <v>-8.2313153800885885E-3</v>
      </c>
    </row>
    <row r="376" spans="1:7" x14ac:dyDescent="0.25">
      <c r="A376" s="12">
        <v>45058</v>
      </c>
      <c r="B376" s="13">
        <v>973</v>
      </c>
      <c r="C376" s="13">
        <v>995.9</v>
      </c>
      <c r="D376" s="5">
        <f t="shared" si="10"/>
        <v>6.8803840821860049</v>
      </c>
      <c r="E376" s="5">
        <f t="shared" si="10"/>
        <v>6.9036468509375934</v>
      </c>
      <c r="F376" s="5">
        <f t="shared" si="11"/>
        <v>-4.9415218299477814E-3</v>
      </c>
      <c r="G376" s="5">
        <f t="shared" si="11"/>
        <v>-8.2996326630118133E-3</v>
      </c>
    </row>
    <row r="377" spans="1:7" x14ac:dyDescent="0.25">
      <c r="A377" s="12">
        <v>45061</v>
      </c>
      <c r="B377" s="13">
        <v>977.48</v>
      </c>
      <c r="C377" s="13">
        <v>1014.5</v>
      </c>
      <c r="D377" s="5">
        <f t="shared" si="10"/>
        <v>6.884977831292149</v>
      </c>
      <c r="E377" s="5">
        <f t="shared" si="10"/>
        <v>6.9221511592658693</v>
      </c>
      <c r="F377" s="5">
        <f t="shared" si="11"/>
        <v>4.5937491061440738E-3</v>
      </c>
      <c r="G377" s="5">
        <f t="shared" si="11"/>
        <v>1.8504308328275876E-2</v>
      </c>
    </row>
    <row r="378" spans="1:7" x14ac:dyDescent="0.25">
      <c r="A378" s="12">
        <v>45062</v>
      </c>
      <c r="B378" s="13">
        <v>979.24</v>
      </c>
      <c r="C378" s="13">
        <v>1010.3</v>
      </c>
      <c r="D378" s="5">
        <f t="shared" si="10"/>
        <v>6.8867767605969394</v>
      </c>
      <c r="E378" s="5">
        <f t="shared" si="10"/>
        <v>6.9180025954336868</v>
      </c>
      <c r="F378" s="5">
        <f t="shared" si="11"/>
        <v>1.7989293047904198E-3</v>
      </c>
      <c r="G378" s="5">
        <f t="shared" si="11"/>
        <v>-4.1485638321825391E-3</v>
      </c>
    </row>
    <row r="379" spans="1:7" x14ac:dyDescent="0.25">
      <c r="A379" s="12">
        <v>45063</v>
      </c>
      <c r="B379" s="13">
        <v>975.83</v>
      </c>
      <c r="C379" s="13">
        <v>1014.8</v>
      </c>
      <c r="D379" s="5">
        <f t="shared" si="10"/>
        <v>6.8832883909140685</v>
      </c>
      <c r="E379" s="5">
        <f t="shared" si="10"/>
        <v>6.9224468277251265</v>
      </c>
      <c r="F379" s="5">
        <f t="shared" si="11"/>
        <v>-3.4883696828709176E-3</v>
      </c>
      <c r="G379" s="5">
        <f t="shared" si="11"/>
        <v>4.4442322914397536E-3</v>
      </c>
    </row>
    <row r="380" spans="1:7" x14ac:dyDescent="0.25">
      <c r="A380" s="12">
        <v>45064</v>
      </c>
      <c r="B380" s="13">
        <v>978.16</v>
      </c>
      <c r="C380" s="13">
        <v>1013.8</v>
      </c>
      <c r="D380" s="5">
        <f t="shared" si="10"/>
        <v>6.8856732558359344</v>
      </c>
      <c r="E380" s="5">
        <f t="shared" si="10"/>
        <v>6.9214609260382494</v>
      </c>
      <c r="F380" s="5">
        <f t="shared" si="11"/>
        <v>2.384864921865848E-3</v>
      </c>
      <c r="G380" s="5">
        <f t="shared" si="11"/>
        <v>-9.859016868771775E-4</v>
      </c>
    </row>
    <row r="381" spans="1:7" x14ac:dyDescent="0.25">
      <c r="A381" s="12">
        <v>45065</v>
      </c>
      <c r="B381" s="13">
        <v>977.24</v>
      </c>
      <c r="C381" s="13">
        <v>1016.4</v>
      </c>
      <c r="D381" s="5">
        <f t="shared" si="10"/>
        <v>6.8847322718245971</v>
      </c>
      <c r="E381" s="5">
        <f t="shared" si="10"/>
        <v>6.9240222514460088</v>
      </c>
      <c r="F381" s="5">
        <f t="shared" si="11"/>
        <v>-9.4098401133724252E-4</v>
      </c>
      <c r="G381" s="5">
        <f t="shared" si="11"/>
        <v>2.5613254077594405E-3</v>
      </c>
    </row>
    <row r="382" spans="1:7" x14ac:dyDescent="0.25">
      <c r="A382" s="12">
        <v>45068</v>
      </c>
      <c r="B382" s="13">
        <v>983.27</v>
      </c>
      <c r="C382" s="13">
        <v>1023.5</v>
      </c>
      <c r="D382" s="5">
        <f t="shared" si="10"/>
        <v>6.8908837518118888</v>
      </c>
      <c r="E382" s="5">
        <f t="shared" si="10"/>
        <v>6.9309834051013439</v>
      </c>
      <c r="F382" s="5">
        <f t="shared" si="11"/>
        <v>6.1514799872917081E-3</v>
      </c>
      <c r="G382" s="5">
        <f t="shared" si="11"/>
        <v>6.9611536553351172E-3</v>
      </c>
    </row>
    <row r="383" spans="1:7" x14ac:dyDescent="0.25">
      <c r="A383" s="12">
        <v>45069</v>
      </c>
      <c r="B383" s="13">
        <v>978.6</v>
      </c>
      <c r="C383" s="13">
        <v>1009.3</v>
      </c>
      <c r="D383" s="5">
        <f t="shared" si="10"/>
        <v>6.8861229788550231</v>
      </c>
      <c r="E383" s="5">
        <f t="shared" si="10"/>
        <v>6.9170123002448136</v>
      </c>
      <c r="F383" s="5">
        <f t="shared" si="11"/>
        <v>-4.760772956865722E-3</v>
      </c>
      <c r="G383" s="5">
        <f t="shared" si="11"/>
        <v>-1.3971104856530303E-2</v>
      </c>
    </row>
    <row r="384" spans="1:7" x14ac:dyDescent="0.25">
      <c r="A384" s="12">
        <v>45070</v>
      </c>
      <c r="B384" s="13">
        <v>970.9</v>
      </c>
      <c r="C384" s="13">
        <v>1003</v>
      </c>
      <c r="D384" s="5">
        <f t="shared" si="10"/>
        <v>6.8782234763760988</v>
      </c>
      <c r="E384" s="5">
        <f t="shared" si="10"/>
        <v>6.9107507879619359</v>
      </c>
      <c r="F384" s="5">
        <f t="shared" si="11"/>
        <v>-7.8995024789243473E-3</v>
      </c>
      <c r="G384" s="5">
        <f t="shared" si="11"/>
        <v>-6.2615122828777459E-3</v>
      </c>
    </row>
    <row r="385" spans="1:7" x14ac:dyDescent="0.25">
      <c r="A385" s="12">
        <v>45071</v>
      </c>
      <c r="B385" s="13">
        <v>964.01</v>
      </c>
      <c r="C385" s="13">
        <v>1004.1</v>
      </c>
      <c r="D385" s="5">
        <f t="shared" si="10"/>
        <v>6.8711016680007253</v>
      </c>
      <c r="E385" s="5">
        <f t="shared" si="10"/>
        <v>6.9118468968853906</v>
      </c>
      <c r="F385" s="5">
        <f t="shared" si="11"/>
        <v>-7.1218083753734618E-3</v>
      </c>
      <c r="G385" s="5">
        <f t="shared" si="11"/>
        <v>1.0961089234546861E-3</v>
      </c>
    </row>
    <row r="386" spans="1:7" x14ac:dyDescent="0.25">
      <c r="A386" s="12">
        <v>45072</v>
      </c>
      <c r="B386" s="13">
        <v>972.86</v>
      </c>
      <c r="C386" s="13">
        <v>1026.9000000000001</v>
      </c>
      <c r="D386" s="5">
        <f t="shared" si="10"/>
        <v>6.8802401869414949</v>
      </c>
      <c r="E386" s="5">
        <f t="shared" si="10"/>
        <v>6.934299834204249</v>
      </c>
      <c r="F386" s="5">
        <f t="shared" si="11"/>
        <v>9.1385189407695577E-3</v>
      </c>
      <c r="G386" s="5">
        <f t="shared" si="11"/>
        <v>2.2452937318858446E-2</v>
      </c>
    </row>
    <row r="387" spans="1:7" x14ac:dyDescent="0.25">
      <c r="A387" s="12">
        <v>45075</v>
      </c>
      <c r="B387" s="13">
        <v>971.75</v>
      </c>
      <c r="C387" s="13">
        <v>1026.9000000000001</v>
      </c>
      <c r="D387" s="5">
        <f t="shared" si="10"/>
        <v>6.8790985697323324</v>
      </c>
      <c r="E387" s="5">
        <f t="shared" si="10"/>
        <v>6.934299834204249</v>
      </c>
      <c r="F387" s="5">
        <f t="shared" si="11"/>
        <v>-1.1416172091625043E-3</v>
      </c>
      <c r="G387" s="5">
        <f t="shared" si="11"/>
        <v>0</v>
      </c>
    </row>
    <row r="388" spans="1:7" x14ac:dyDescent="0.25">
      <c r="A388" s="12">
        <v>45076</v>
      </c>
      <c r="B388" s="13">
        <v>970.32</v>
      </c>
      <c r="C388" s="13">
        <v>1010.3</v>
      </c>
      <c r="D388" s="5">
        <f t="shared" ref="D388:E451" si="12">LN(B388)</f>
        <v>6.8776259140006255</v>
      </c>
      <c r="E388" s="5">
        <f t="shared" si="12"/>
        <v>6.9180025954336868</v>
      </c>
      <c r="F388" s="5">
        <f t="shared" ref="F388:G451" si="13">D388-D387</f>
        <v>-1.4726557317068512E-3</v>
      </c>
      <c r="G388" s="5">
        <f t="shared" si="13"/>
        <v>-1.6297238770562217E-2</v>
      </c>
    </row>
    <row r="389" spans="1:7" x14ac:dyDescent="0.25">
      <c r="A389" s="12">
        <v>45077</v>
      </c>
      <c r="B389" s="13">
        <v>958.53</v>
      </c>
      <c r="C389" s="13">
        <v>999</v>
      </c>
      <c r="D389" s="5">
        <f t="shared" si="12"/>
        <v>6.8654008609004373</v>
      </c>
      <c r="E389" s="5">
        <f t="shared" si="12"/>
        <v>6.9067547786485539</v>
      </c>
      <c r="F389" s="5">
        <f t="shared" si="13"/>
        <v>-1.2225053100188177E-2</v>
      </c>
      <c r="G389" s="5">
        <f t="shared" si="13"/>
        <v>-1.1247816785132869E-2</v>
      </c>
    </row>
    <row r="390" spans="1:7" x14ac:dyDescent="0.25">
      <c r="A390" s="12">
        <v>45078</v>
      </c>
      <c r="B390" s="13">
        <v>961.8</v>
      </c>
      <c r="C390" s="13">
        <v>1014.2</v>
      </c>
      <c r="D390" s="5">
        <f t="shared" si="12"/>
        <v>6.868806528843562</v>
      </c>
      <c r="E390" s="5">
        <f t="shared" si="12"/>
        <v>6.9218554033609188</v>
      </c>
      <c r="F390" s="5">
        <f t="shared" si="13"/>
        <v>3.4056679431246906E-3</v>
      </c>
      <c r="G390" s="5">
        <f t="shared" si="13"/>
        <v>1.5100624712364841E-2</v>
      </c>
    </row>
    <row r="391" spans="1:7" x14ac:dyDescent="0.25">
      <c r="A391" s="12">
        <v>45079</v>
      </c>
      <c r="B391" s="13">
        <v>984.36</v>
      </c>
      <c r="C391" s="13">
        <v>1035.2</v>
      </c>
      <c r="D391" s="5">
        <f t="shared" si="12"/>
        <v>6.8919916838026589</v>
      </c>
      <c r="E391" s="5">
        <f t="shared" si="12"/>
        <v>6.9423499237466357</v>
      </c>
      <c r="F391" s="5">
        <f t="shared" si="13"/>
        <v>2.3185154959096899E-2</v>
      </c>
      <c r="G391" s="5">
        <f t="shared" si="13"/>
        <v>2.0494520385716974E-2</v>
      </c>
    </row>
    <row r="392" spans="1:7" x14ac:dyDescent="0.25">
      <c r="A392" s="12">
        <v>45082</v>
      </c>
      <c r="B392" s="13">
        <v>986.69</v>
      </c>
      <c r="C392" s="13">
        <v>1033.9000000000001</v>
      </c>
      <c r="D392" s="5">
        <f t="shared" si="12"/>
        <v>6.8943559070190199</v>
      </c>
      <c r="E392" s="5">
        <f t="shared" si="12"/>
        <v>6.9410933385926477</v>
      </c>
      <c r="F392" s="5">
        <f t="shared" si="13"/>
        <v>2.3642232163609833E-3</v>
      </c>
      <c r="G392" s="5">
        <f t="shared" si="13"/>
        <v>-1.2565851539880768E-3</v>
      </c>
    </row>
    <row r="393" spans="1:7" x14ac:dyDescent="0.25">
      <c r="A393" s="12">
        <v>45083</v>
      </c>
      <c r="B393" s="13">
        <v>988.49</v>
      </c>
      <c r="C393" s="13">
        <v>1043.5</v>
      </c>
      <c r="D393" s="5">
        <f t="shared" si="12"/>
        <v>6.8961785262216155</v>
      </c>
      <c r="E393" s="5">
        <f t="shared" si="12"/>
        <v>6.9503357265172552</v>
      </c>
      <c r="F393" s="5">
        <f t="shared" si="13"/>
        <v>1.8226192025956323E-3</v>
      </c>
      <c r="G393" s="5">
        <f t="shared" si="13"/>
        <v>9.2423879246075202E-3</v>
      </c>
    </row>
    <row r="394" spans="1:7" x14ac:dyDescent="0.25">
      <c r="A394" s="12">
        <v>45084</v>
      </c>
      <c r="B394" s="13">
        <v>995.41</v>
      </c>
      <c r="C394" s="13">
        <v>1042.5999999999999</v>
      </c>
      <c r="D394" s="5">
        <f t="shared" si="12"/>
        <v>6.9031547125865691</v>
      </c>
      <c r="E394" s="5">
        <f t="shared" si="12"/>
        <v>6.9494728723340051</v>
      </c>
      <c r="F394" s="5">
        <f t="shared" si="13"/>
        <v>6.9761863649535627E-3</v>
      </c>
      <c r="G394" s="5">
        <f t="shared" si="13"/>
        <v>-8.6285418325005026E-4</v>
      </c>
    </row>
    <row r="395" spans="1:7" x14ac:dyDescent="0.25">
      <c r="A395" s="12">
        <v>45085</v>
      </c>
      <c r="B395" s="13">
        <v>994.08</v>
      </c>
      <c r="C395" s="13">
        <v>1047.2</v>
      </c>
      <c r="D395" s="5">
        <f t="shared" si="12"/>
        <v>6.9018176863153835</v>
      </c>
      <c r="E395" s="5">
        <f t="shared" si="12"/>
        <v>6.9538752145956906</v>
      </c>
      <c r="F395" s="5">
        <f t="shared" si="13"/>
        <v>-1.3370262711855929E-3</v>
      </c>
      <c r="G395" s="5">
        <f t="shared" si="13"/>
        <v>4.4023422616854546E-3</v>
      </c>
    </row>
    <row r="396" spans="1:7" x14ac:dyDescent="0.25">
      <c r="A396" s="12">
        <v>45086</v>
      </c>
      <c r="B396" s="13">
        <v>1002.33</v>
      </c>
      <c r="C396" s="13">
        <v>1054.5</v>
      </c>
      <c r="D396" s="5">
        <f t="shared" si="12"/>
        <v>6.9100825687412284</v>
      </c>
      <c r="E396" s="5">
        <f t="shared" si="12"/>
        <v>6.9608219999188297</v>
      </c>
      <c r="F396" s="5">
        <f t="shared" si="13"/>
        <v>8.2648824258448883E-3</v>
      </c>
      <c r="G396" s="5">
        <f t="shared" si="13"/>
        <v>6.9467853231390819E-3</v>
      </c>
    </row>
    <row r="397" spans="1:7" x14ac:dyDescent="0.25">
      <c r="A397" s="12">
        <v>45089</v>
      </c>
      <c r="B397" s="13">
        <v>1003.14</v>
      </c>
      <c r="C397" s="13">
        <v>1056.4000000000001</v>
      </c>
      <c r="D397" s="5">
        <f t="shared" si="12"/>
        <v>6.9108903594776097</v>
      </c>
      <c r="E397" s="5">
        <f t="shared" si="12"/>
        <v>6.9626221804229775</v>
      </c>
      <c r="F397" s="5">
        <f t="shared" si="13"/>
        <v>8.077907363812642E-4</v>
      </c>
      <c r="G397" s="5">
        <f t="shared" si="13"/>
        <v>1.8001805041478747E-3</v>
      </c>
    </row>
    <row r="398" spans="1:7" x14ac:dyDescent="0.25">
      <c r="A398" s="12">
        <v>45090</v>
      </c>
      <c r="B398" s="13">
        <v>1013.25</v>
      </c>
      <c r="C398" s="13">
        <v>1067.2</v>
      </c>
      <c r="D398" s="5">
        <f t="shared" si="12"/>
        <v>6.9209182655084183</v>
      </c>
      <c r="E398" s="5">
        <f t="shared" si="12"/>
        <v>6.9727936751613591</v>
      </c>
      <c r="F398" s="5">
        <f t="shared" si="13"/>
        <v>1.0027906030808609E-2</v>
      </c>
      <c r="G398" s="5">
        <f t="shared" si="13"/>
        <v>1.0171494738381526E-2</v>
      </c>
    </row>
    <row r="399" spans="1:7" x14ac:dyDescent="0.25">
      <c r="A399" s="12">
        <v>45091</v>
      </c>
      <c r="B399" s="13">
        <v>1014.91</v>
      </c>
      <c r="C399" s="13">
        <v>1075</v>
      </c>
      <c r="D399" s="5">
        <f t="shared" si="12"/>
        <v>6.9225552175937359</v>
      </c>
      <c r="E399" s="5">
        <f t="shared" si="12"/>
        <v>6.9800759405617629</v>
      </c>
      <c r="F399" s="5">
        <f t="shared" si="13"/>
        <v>1.6369520853176667E-3</v>
      </c>
      <c r="G399" s="5">
        <f t="shared" si="13"/>
        <v>7.2822654004038867E-3</v>
      </c>
    </row>
    <row r="400" spans="1:7" x14ac:dyDescent="0.25">
      <c r="A400" s="12">
        <v>45092</v>
      </c>
      <c r="B400" s="13">
        <v>1023.59</v>
      </c>
      <c r="C400" s="13">
        <v>1086</v>
      </c>
      <c r="D400" s="5">
        <f t="shared" si="12"/>
        <v>6.9310713347967248</v>
      </c>
      <c r="E400" s="5">
        <f t="shared" si="12"/>
        <v>6.9902565004938806</v>
      </c>
      <c r="F400" s="5">
        <f t="shared" si="13"/>
        <v>8.5161172029888377E-3</v>
      </c>
      <c r="G400" s="5">
        <f t="shared" si="13"/>
        <v>1.0180559932117639E-2</v>
      </c>
    </row>
    <row r="401" spans="1:7" x14ac:dyDescent="0.25">
      <c r="A401" s="12">
        <v>45093</v>
      </c>
      <c r="B401" s="13">
        <v>1030.03</v>
      </c>
      <c r="C401" s="13">
        <v>1083.9000000000001</v>
      </c>
      <c r="D401" s="5">
        <f t="shared" si="12"/>
        <v>6.9373432070131136</v>
      </c>
      <c r="E401" s="5">
        <f t="shared" si="12"/>
        <v>6.9883209268217046</v>
      </c>
      <c r="F401" s="5">
        <f t="shared" si="13"/>
        <v>6.2718722163888074E-3</v>
      </c>
      <c r="G401" s="5">
        <f t="shared" si="13"/>
        <v>-1.9355736721760053E-3</v>
      </c>
    </row>
    <row r="402" spans="1:7" x14ac:dyDescent="0.25">
      <c r="A402" s="12">
        <v>45096</v>
      </c>
      <c r="B402" s="13">
        <v>1023.42</v>
      </c>
      <c r="C402" s="13">
        <v>1083.9000000000001</v>
      </c>
      <c r="D402" s="5">
        <f t="shared" si="12"/>
        <v>6.930905238880837</v>
      </c>
      <c r="E402" s="5">
        <f t="shared" si="12"/>
        <v>6.9883209268217046</v>
      </c>
      <c r="F402" s="5">
        <f t="shared" si="13"/>
        <v>-6.4379681322765947E-3</v>
      </c>
      <c r="G402" s="5">
        <f t="shared" si="13"/>
        <v>0</v>
      </c>
    </row>
    <row r="403" spans="1:7" x14ac:dyDescent="0.25">
      <c r="A403" s="12">
        <v>45097</v>
      </c>
      <c r="B403" s="13">
        <v>1013.24</v>
      </c>
      <c r="C403" s="13">
        <v>1059.9000000000001</v>
      </c>
      <c r="D403" s="5">
        <f t="shared" si="12"/>
        <v>6.9209083962270492</v>
      </c>
      <c r="E403" s="5">
        <f t="shared" si="12"/>
        <v>6.9659298430332095</v>
      </c>
      <c r="F403" s="5">
        <f t="shared" si="13"/>
        <v>-9.9968426537877519E-3</v>
      </c>
      <c r="G403" s="5">
        <f t="shared" si="13"/>
        <v>-2.2391083788495081E-2</v>
      </c>
    </row>
    <row r="404" spans="1:7" x14ac:dyDescent="0.25">
      <c r="A404" s="12">
        <v>45098</v>
      </c>
      <c r="B404" s="13">
        <v>1004.27</v>
      </c>
      <c r="C404" s="13">
        <v>1056.0999999999999</v>
      </c>
      <c r="D404" s="5">
        <f t="shared" si="12"/>
        <v>6.9120161884008047</v>
      </c>
      <c r="E404" s="5">
        <f t="shared" si="12"/>
        <v>6.9623381567524287</v>
      </c>
      <c r="F404" s="5">
        <f t="shared" si="13"/>
        <v>-8.8922078262445581E-3</v>
      </c>
      <c r="G404" s="5">
        <f t="shared" si="13"/>
        <v>-3.5916862807807703E-3</v>
      </c>
    </row>
    <row r="405" spans="1:7" x14ac:dyDescent="0.25">
      <c r="A405" s="12">
        <v>45099</v>
      </c>
      <c r="B405" s="13">
        <v>1001.14</v>
      </c>
      <c r="C405" s="13">
        <v>1053.2</v>
      </c>
      <c r="D405" s="5">
        <f t="shared" si="12"/>
        <v>6.9088946296755633</v>
      </c>
      <c r="E405" s="5">
        <f t="shared" si="12"/>
        <v>6.9595884276221547</v>
      </c>
      <c r="F405" s="5">
        <f t="shared" si="13"/>
        <v>-3.1215587252413357E-3</v>
      </c>
      <c r="G405" s="5">
        <f t="shared" si="13"/>
        <v>-2.7497291302740479E-3</v>
      </c>
    </row>
    <row r="406" spans="1:7" x14ac:dyDescent="0.25">
      <c r="A406" s="12">
        <v>45100</v>
      </c>
      <c r="B406" s="13">
        <v>991.91</v>
      </c>
      <c r="C406" s="13">
        <v>1039.0999999999999</v>
      </c>
      <c r="D406" s="5">
        <f t="shared" si="12"/>
        <v>6.8996323773625861</v>
      </c>
      <c r="E406" s="5">
        <f t="shared" si="12"/>
        <v>6.9461102328586009</v>
      </c>
      <c r="F406" s="5">
        <f t="shared" si="13"/>
        <v>-9.2622523129772816E-3</v>
      </c>
      <c r="G406" s="5">
        <f t="shared" si="13"/>
        <v>-1.347819476355383E-2</v>
      </c>
    </row>
    <row r="407" spans="1:7" x14ac:dyDescent="0.25">
      <c r="A407" s="12">
        <v>45103</v>
      </c>
      <c r="B407" s="13">
        <v>989.27</v>
      </c>
      <c r="C407" s="13">
        <v>1040.5</v>
      </c>
      <c r="D407" s="5">
        <f t="shared" si="12"/>
        <v>6.8969672973975316</v>
      </c>
      <c r="E407" s="5">
        <f t="shared" si="12"/>
        <v>6.9474566458336895</v>
      </c>
      <c r="F407" s="5">
        <f t="shared" si="13"/>
        <v>-2.6650799650544954E-3</v>
      </c>
      <c r="G407" s="5">
        <f t="shared" si="13"/>
        <v>1.34641297508864E-3</v>
      </c>
    </row>
    <row r="408" spans="1:7" x14ac:dyDescent="0.25">
      <c r="A408" s="12">
        <v>45104</v>
      </c>
      <c r="B408" s="13">
        <v>995.02</v>
      </c>
      <c r="C408" s="13">
        <v>1053.2</v>
      </c>
      <c r="D408" s="5">
        <f t="shared" si="12"/>
        <v>6.9027628374590932</v>
      </c>
      <c r="E408" s="5">
        <f t="shared" si="12"/>
        <v>6.9595884276221547</v>
      </c>
      <c r="F408" s="5">
        <f t="shared" si="13"/>
        <v>5.7955400615616881E-3</v>
      </c>
      <c r="G408" s="5">
        <f t="shared" si="13"/>
        <v>1.213178178846519E-2</v>
      </c>
    </row>
    <row r="409" spans="1:7" x14ac:dyDescent="0.25">
      <c r="A409" s="12">
        <v>45105</v>
      </c>
      <c r="B409" s="13">
        <v>992.06</v>
      </c>
      <c r="C409" s="13">
        <v>1045.5</v>
      </c>
      <c r="D409" s="5">
        <f t="shared" si="12"/>
        <v>6.8997835893267645</v>
      </c>
      <c r="E409" s="5">
        <f t="shared" si="12"/>
        <v>6.9522505188686878</v>
      </c>
      <c r="F409" s="5">
        <f t="shared" si="13"/>
        <v>-2.979248132328749E-3</v>
      </c>
      <c r="G409" s="5">
        <f t="shared" si="13"/>
        <v>-7.3379087534668486E-3</v>
      </c>
    </row>
    <row r="410" spans="1:7" x14ac:dyDescent="0.25">
      <c r="A410" s="12">
        <v>45106</v>
      </c>
      <c r="B410" s="13">
        <v>987.07</v>
      </c>
      <c r="C410" s="13">
        <v>1045.9000000000001</v>
      </c>
      <c r="D410" s="5">
        <f t="shared" si="12"/>
        <v>6.8947409589044524</v>
      </c>
      <c r="E410" s="5">
        <f t="shared" si="12"/>
        <v>6.952633037760223</v>
      </c>
      <c r="F410" s="5">
        <f t="shared" si="13"/>
        <v>-5.0426304223121221E-3</v>
      </c>
      <c r="G410" s="5">
        <f t="shared" si="13"/>
        <v>3.8251889153517737E-4</v>
      </c>
    </row>
    <row r="411" spans="1:7" x14ac:dyDescent="0.25">
      <c r="A411" s="12">
        <v>45107</v>
      </c>
      <c r="B411" s="13">
        <v>989.48</v>
      </c>
      <c r="C411" s="13">
        <v>1054.9000000000001</v>
      </c>
      <c r="D411" s="5">
        <f t="shared" si="12"/>
        <v>6.8971795526099529</v>
      </c>
      <c r="E411" s="5">
        <f t="shared" si="12"/>
        <v>6.9612012546877633</v>
      </c>
      <c r="F411" s="5">
        <f t="shared" si="13"/>
        <v>2.4385937055004803E-3</v>
      </c>
      <c r="G411" s="5">
        <f t="shared" si="13"/>
        <v>8.5682169275402842E-3</v>
      </c>
    </row>
    <row r="412" spans="1:7" x14ac:dyDescent="0.25">
      <c r="A412" s="12">
        <v>45110</v>
      </c>
      <c r="B412" s="13">
        <v>1005.11</v>
      </c>
      <c r="C412" s="13">
        <v>1066.8</v>
      </c>
      <c r="D412" s="5">
        <f t="shared" si="12"/>
        <v>6.9128522672399813</v>
      </c>
      <c r="E412" s="5">
        <f t="shared" si="12"/>
        <v>6.9724187923078595</v>
      </c>
      <c r="F412" s="5">
        <f t="shared" si="13"/>
        <v>1.5672714630028395E-2</v>
      </c>
      <c r="G412" s="5">
        <f t="shared" si="13"/>
        <v>1.1217537620096252E-2</v>
      </c>
    </row>
    <row r="413" spans="1:7" x14ac:dyDescent="0.25">
      <c r="A413" s="12">
        <v>45111</v>
      </c>
      <c r="B413" s="13">
        <v>1008.05</v>
      </c>
      <c r="C413" s="13">
        <v>1066.8</v>
      </c>
      <c r="D413" s="5">
        <f t="shared" si="12"/>
        <v>6.9157730505757202</v>
      </c>
      <c r="E413" s="5">
        <f t="shared" si="12"/>
        <v>6.9724187923078595</v>
      </c>
      <c r="F413" s="5">
        <f t="shared" si="13"/>
        <v>2.9207833357389745E-3</v>
      </c>
      <c r="G413" s="5">
        <f t="shared" si="13"/>
        <v>0</v>
      </c>
    </row>
    <row r="414" spans="1:7" x14ac:dyDescent="0.25">
      <c r="A414" s="12">
        <v>45112</v>
      </c>
      <c r="B414" s="13">
        <v>1001.12</v>
      </c>
      <c r="C414" s="13">
        <v>1060</v>
      </c>
      <c r="D414" s="5">
        <f t="shared" si="12"/>
        <v>6.908874652250053</v>
      </c>
      <c r="E414" s="5">
        <f t="shared" si="12"/>
        <v>6.9660241871061128</v>
      </c>
      <c r="F414" s="5">
        <f t="shared" si="13"/>
        <v>-6.8983983256671877E-3</v>
      </c>
      <c r="G414" s="5">
        <f t="shared" si="13"/>
        <v>-6.3946052017467281E-3</v>
      </c>
    </row>
    <row r="415" spans="1:7" x14ac:dyDescent="0.25">
      <c r="A415" s="12">
        <v>45113</v>
      </c>
      <c r="B415" s="13">
        <v>984.69</v>
      </c>
      <c r="C415" s="13">
        <v>1043.2</v>
      </c>
      <c r="D415" s="5">
        <f t="shared" si="12"/>
        <v>6.8923268708249177</v>
      </c>
      <c r="E415" s="5">
        <f t="shared" si="12"/>
        <v>6.9500481911723888</v>
      </c>
      <c r="F415" s="5">
        <f t="shared" si="13"/>
        <v>-1.6547781425135355E-2</v>
      </c>
      <c r="G415" s="5">
        <f t="shared" si="13"/>
        <v>-1.5975995933724008E-2</v>
      </c>
    </row>
    <row r="416" spans="1:7" x14ac:dyDescent="0.25">
      <c r="A416" s="12">
        <v>45114</v>
      </c>
      <c r="B416" s="13">
        <v>980.66</v>
      </c>
      <c r="C416" s="13">
        <v>1050.4000000000001</v>
      </c>
      <c r="D416" s="5">
        <f t="shared" si="12"/>
        <v>6.8882258143736328</v>
      </c>
      <c r="E416" s="5">
        <f t="shared" si="12"/>
        <v>6.9569263229885863</v>
      </c>
      <c r="F416" s="5">
        <f t="shared" si="13"/>
        <v>-4.1010564512848902E-3</v>
      </c>
      <c r="G416" s="5">
        <f t="shared" si="13"/>
        <v>6.8781318161974525E-3</v>
      </c>
    </row>
    <row r="417" spans="1:7" x14ac:dyDescent="0.25">
      <c r="A417" s="12">
        <v>45117</v>
      </c>
      <c r="B417" s="13">
        <v>981.88</v>
      </c>
      <c r="C417" s="13">
        <v>1047.7</v>
      </c>
      <c r="D417" s="5">
        <f t="shared" si="12"/>
        <v>6.8894691012948197</v>
      </c>
      <c r="E417" s="5">
        <f t="shared" si="12"/>
        <v>6.9543525643589197</v>
      </c>
      <c r="F417" s="5">
        <f t="shared" si="13"/>
        <v>1.2432869211869146E-3</v>
      </c>
      <c r="G417" s="5">
        <f t="shared" si="13"/>
        <v>-2.5737586296665782E-3</v>
      </c>
    </row>
    <row r="418" spans="1:7" x14ac:dyDescent="0.25">
      <c r="A418" s="12">
        <v>45118</v>
      </c>
      <c r="B418" s="13">
        <v>994.89</v>
      </c>
      <c r="C418" s="13">
        <v>1058.2</v>
      </c>
      <c r="D418" s="5">
        <f t="shared" si="12"/>
        <v>6.9026321782833664</v>
      </c>
      <c r="E418" s="5">
        <f t="shared" si="12"/>
        <v>6.9643246304700313</v>
      </c>
      <c r="F418" s="5">
        <f t="shared" si="13"/>
        <v>1.3163076988546685E-2</v>
      </c>
      <c r="G418" s="5">
        <f t="shared" si="13"/>
        <v>9.972066111111566E-3</v>
      </c>
    </row>
    <row r="419" spans="1:7" x14ac:dyDescent="0.25">
      <c r="A419" s="12">
        <v>45119</v>
      </c>
      <c r="B419" s="13">
        <v>1005.55</v>
      </c>
      <c r="C419" s="13">
        <v>1076.5999999999999</v>
      </c>
      <c r="D419" s="5">
        <f t="shared" si="12"/>
        <v>6.9132899344806118</v>
      </c>
      <c r="E419" s="5">
        <f t="shared" si="12"/>
        <v>6.9815632061268564</v>
      </c>
      <c r="F419" s="5">
        <f t="shared" si="13"/>
        <v>1.0657756197245405E-2</v>
      </c>
      <c r="G419" s="5">
        <f t="shared" si="13"/>
        <v>1.7238575656825184E-2</v>
      </c>
    </row>
    <row r="420" spans="1:7" x14ac:dyDescent="0.25">
      <c r="A420" s="12">
        <v>45120</v>
      </c>
      <c r="B420" s="13">
        <v>1020.53</v>
      </c>
      <c r="C420" s="13">
        <v>1088.7</v>
      </c>
      <c r="D420" s="5">
        <f t="shared" si="12"/>
        <v>6.928077379172044</v>
      </c>
      <c r="E420" s="5">
        <f t="shared" si="12"/>
        <v>6.9927396028871343</v>
      </c>
      <c r="F420" s="5">
        <f t="shared" si="13"/>
        <v>1.4787444691432228E-2</v>
      </c>
      <c r="G420" s="5">
        <f t="shared" si="13"/>
        <v>1.1176396760277818E-2</v>
      </c>
    </row>
    <row r="421" spans="1:7" x14ac:dyDescent="0.25">
      <c r="A421" s="12">
        <v>45121</v>
      </c>
      <c r="B421" s="13">
        <v>1028.49</v>
      </c>
      <c r="C421" s="13">
        <v>1083.5</v>
      </c>
      <c r="D421" s="5">
        <f t="shared" si="12"/>
        <v>6.935846986148321</v>
      </c>
      <c r="E421" s="5">
        <f t="shared" si="12"/>
        <v>6.9879518209764138</v>
      </c>
      <c r="F421" s="5">
        <f t="shared" si="13"/>
        <v>7.7696069762769326E-3</v>
      </c>
      <c r="G421" s="5">
        <f t="shared" si="13"/>
        <v>-4.78778191072049E-3</v>
      </c>
    </row>
    <row r="422" spans="1:7" x14ac:dyDescent="0.25">
      <c r="A422" s="12">
        <v>45124</v>
      </c>
      <c r="B422" s="13">
        <v>1027.76</v>
      </c>
      <c r="C422" s="13">
        <v>1085.2</v>
      </c>
      <c r="D422" s="5">
        <f t="shared" si="12"/>
        <v>6.9351369557233546</v>
      </c>
      <c r="E422" s="5">
        <f t="shared" si="12"/>
        <v>6.9895195807847763</v>
      </c>
      <c r="F422" s="5">
        <f t="shared" si="13"/>
        <v>-7.1003042496631252E-4</v>
      </c>
      <c r="G422" s="5">
        <f t="shared" si="13"/>
        <v>1.5677598083625455E-3</v>
      </c>
    </row>
    <row r="423" spans="1:7" x14ac:dyDescent="0.25">
      <c r="A423" s="12">
        <v>45125</v>
      </c>
      <c r="B423" s="13">
        <v>1022.12</v>
      </c>
      <c r="C423" s="13">
        <v>1075.3</v>
      </c>
      <c r="D423" s="5">
        <f t="shared" si="12"/>
        <v>6.929634180700579</v>
      </c>
      <c r="E423" s="5">
        <f t="shared" si="12"/>
        <v>6.9803549713964808</v>
      </c>
      <c r="F423" s="5">
        <f t="shared" si="13"/>
        <v>-5.50277502277563E-3</v>
      </c>
      <c r="G423" s="5">
        <f t="shared" si="13"/>
        <v>-9.1646093882955526E-3</v>
      </c>
    </row>
    <row r="424" spans="1:7" x14ac:dyDescent="0.25">
      <c r="A424" s="12">
        <v>45126</v>
      </c>
      <c r="B424" s="13">
        <v>1019.59</v>
      </c>
      <c r="C424" s="13">
        <v>1074.8</v>
      </c>
      <c r="D424" s="5">
        <f t="shared" si="12"/>
        <v>6.927155864686112</v>
      </c>
      <c r="E424" s="5">
        <f t="shared" si="12"/>
        <v>6.9798898767413364</v>
      </c>
      <c r="F424" s="5">
        <f t="shared" si="13"/>
        <v>-2.4783160144670191E-3</v>
      </c>
      <c r="G424" s="5">
        <f t="shared" si="13"/>
        <v>-4.6509465514432691E-4</v>
      </c>
    </row>
    <row r="425" spans="1:7" x14ac:dyDescent="0.25">
      <c r="A425" s="12">
        <v>45127</v>
      </c>
      <c r="B425" s="13">
        <v>1018.06</v>
      </c>
      <c r="C425" s="13">
        <v>1070.3</v>
      </c>
      <c r="D425" s="5">
        <f t="shared" si="12"/>
        <v>6.9256541344698945</v>
      </c>
      <c r="E425" s="5">
        <f t="shared" si="12"/>
        <v>6.9756942619903297</v>
      </c>
      <c r="F425" s="5">
        <f t="shared" si="13"/>
        <v>-1.5017302162174673E-3</v>
      </c>
      <c r="G425" s="5">
        <f t="shared" si="13"/>
        <v>-4.1956147510067154E-3</v>
      </c>
    </row>
    <row r="426" spans="1:7" x14ac:dyDescent="0.25">
      <c r="A426" s="12">
        <v>45128</v>
      </c>
      <c r="B426" s="13">
        <v>1014.58</v>
      </c>
      <c r="C426" s="13">
        <v>1067.0999999999999</v>
      </c>
      <c r="D426" s="5">
        <f t="shared" si="12"/>
        <v>6.9222300127364491</v>
      </c>
      <c r="E426" s="5">
        <f t="shared" si="12"/>
        <v>6.9726999676225194</v>
      </c>
      <c r="F426" s="5">
        <f t="shared" si="13"/>
        <v>-3.4241217334454177E-3</v>
      </c>
      <c r="G426" s="5">
        <f t="shared" si="13"/>
        <v>-2.9942943678102907E-3</v>
      </c>
    </row>
    <row r="427" spans="1:7" x14ac:dyDescent="0.25">
      <c r="A427" s="12">
        <v>45131</v>
      </c>
      <c r="B427" s="13">
        <v>1013.45</v>
      </c>
      <c r="C427" s="13">
        <v>1081.7</v>
      </c>
      <c r="D427" s="5">
        <f t="shared" si="12"/>
        <v>6.9211156306839738</v>
      </c>
      <c r="E427" s="5">
        <f t="shared" si="12"/>
        <v>6.9862891566362437</v>
      </c>
      <c r="F427" s="5">
        <f t="shared" si="13"/>
        <v>-1.1143820524752712E-3</v>
      </c>
      <c r="G427" s="5">
        <f t="shared" si="13"/>
        <v>1.3589189013724301E-2</v>
      </c>
    </row>
    <row r="428" spans="1:7" x14ac:dyDescent="0.25">
      <c r="A428" s="12">
        <v>45132</v>
      </c>
      <c r="B428" s="13">
        <v>1032.26</v>
      </c>
      <c r="C428" s="13">
        <v>1093.9000000000001</v>
      </c>
      <c r="D428" s="5">
        <f t="shared" si="12"/>
        <v>6.9395058522949595</v>
      </c>
      <c r="E428" s="5">
        <f t="shared" si="12"/>
        <v>6.9975045711257451</v>
      </c>
      <c r="F428" s="5">
        <f t="shared" si="13"/>
        <v>1.8390221610985691E-2</v>
      </c>
      <c r="G428" s="5">
        <f t="shared" si="13"/>
        <v>1.1215414489501363E-2</v>
      </c>
    </row>
    <row r="429" spans="1:7" x14ac:dyDescent="0.25">
      <c r="A429" s="12">
        <v>45133</v>
      </c>
      <c r="B429" s="13">
        <v>1031.8800000000001</v>
      </c>
      <c r="C429" s="13">
        <v>1100.0999999999999</v>
      </c>
      <c r="D429" s="5">
        <f t="shared" si="12"/>
        <v>6.9391376602108057</v>
      </c>
      <c r="E429" s="5">
        <f t="shared" si="12"/>
        <v>7.00315636374539</v>
      </c>
      <c r="F429" s="5">
        <f t="shared" si="13"/>
        <v>-3.6819208415383997E-4</v>
      </c>
      <c r="G429" s="5">
        <f t="shared" si="13"/>
        <v>5.6517926196448798E-3</v>
      </c>
    </row>
    <row r="430" spans="1:7" x14ac:dyDescent="0.25">
      <c r="A430" s="12">
        <v>45134</v>
      </c>
      <c r="B430" s="13">
        <v>1035.1500000000001</v>
      </c>
      <c r="C430" s="13">
        <v>1088.4000000000001</v>
      </c>
      <c r="D430" s="5">
        <f t="shared" si="12"/>
        <v>6.9423016227347203</v>
      </c>
      <c r="E430" s="5">
        <f t="shared" si="12"/>
        <v>6.9924640069090911</v>
      </c>
      <c r="F430" s="5">
        <f t="shared" si="13"/>
        <v>3.1639625239145985E-3</v>
      </c>
      <c r="G430" s="5">
        <f t="shared" si="13"/>
        <v>-1.0692356836298877E-2</v>
      </c>
    </row>
    <row r="431" spans="1:7" x14ac:dyDescent="0.25">
      <c r="A431" s="12">
        <v>45135</v>
      </c>
      <c r="B431" s="13">
        <v>1043.2</v>
      </c>
      <c r="C431" s="13">
        <v>1112</v>
      </c>
      <c r="D431" s="5">
        <f t="shared" si="12"/>
        <v>6.9500481911723888</v>
      </c>
      <c r="E431" s="5">
        <f t="shared" si="12"/>
        <v>7.0139154748105277</v>
      </c>
      <c r="F431" s="5">
        <f t="shared" si="13"/>
        <v>7.7465684376685218E-3</v>
      </c>
      <c r="G431" s="5">
        <f t="shared" si="13"/>
        <v>2.1451467901436594E-2</v>
      </c>
    </row>
    <row r="432" spans="1:7" x14ac:dyDescent="0.25">
      <c r="A432" s="12">
        <v>45138</v>
      </c>
      <c r="B432" s="13">
        <v>1046.9100000000001</v>
      </c>
      <c r="C432" s="13">
        <v>1111.9000000000001</v>
      </c>
      <c r="D432" s="5">
        <f t="shared" si="12"/>
        <v>6.9535982472903877</v>
      </c>
      <c r="E432" s="5">
        <f t="shared" si="12"/>
        <v>7.0138255427092036</v>
      </c>
      <c r="F432" s="5">
        <f t="shared" si="13"/>
        <v>3.5500561179988566E-3</v>
      </c>
      <c r="G432" s="5">
        <f t="shared" si="13"/>
        <v>-8.9932101324130542E-5</v>
      </c>
    </row>
    <row r="433" spans="1:7" x14ac:dyDescent="0.25">
      <c r="A433" s="12">
        <v>45139</v>
      </c>
      <c r="B433" s="13">
        <v>1043.0899999999999</v>
      </c>
      <c r="C433" s="13">
        <v>1099.2</v>
      </c>
      <c r="D433" s="5">
        <f t="shared" si="12"/>
        <v>6.9499427408274199</v>
      </c>
      <c r="E433" s="5">
        <f t="shared" si="12"/>
        <v>7.0023379214680848</v>
      </c>
      <c r="F433" s="5">
        <f t="shared" si="13"/>
        <v>-3.6555064629677503E-3</v>
      </c>
      <c r="G433" s="5">
        <f t="shared" si="13"/>
        <v>-1.1487621241118795E-2</v>
      </c>
    </row>
    <row r="434" spans="1:7" x14ac:dyDescent="0.25">
      <c r="A434" s="12">
        <v>45140</v>
      </c>
      <c r="B434" s="13">
        <v>1019.99</v>
      </c>
      <c r="C434" s="13">
        <v>1073.0999999999999</v>
      </c>
      <c r="D434" s="5">
        <f t="shared" si="12"/>
        <v>6.9275481023086893</v>
      </c>
      <c r="E434" s="5">
        <f t="shared" si="12"/>
        <v>6.978306934933082</v>
      </c>
      <c r="F434" s="5">
        <f t="shared" si="13"/>
        <v>-2.2394638518730581E-2</v>
      </c>
      <c r="G434" s="5">
        <f t="shared" si="13"/>
        <v>-2.4030986535002796E-2</v>
      </c>
    </row>
    <row r="435" spans="1:7" x14ac:dyDescent="0.25">
      <c r="A435" s="12">
        <v>45141</v>
      </c>
      <c r="B435" s="13">
        <v>1015.81</v>
      </c>
      <c r="C435" s="13">
        <v>1074.8</v>
      </c>
      <c r="D435" s="5">
        <f t="shared" si="12"/>
        <v>6.9234416027762586</v>
      </c>
      <c r="E435" s="5">
        <f t="shared" si="12"/>
        <v>6.9798898767413364</v>
      </c>
      <c r="F435" s="5">
        <f t="shared" si="13"/>
        <v>-4.1064995324306963E-3</v>
      </c>
      <c r="G435" s="5">
        <f t="shared" si="13"/>
        <v>1.5829418082544677E-3</v>
      </c>
    </row>
    <row r="436" spans="1:7" x14ac:dyDescent="0.25">
      <c r="A436" s="12">
        <v>45142</v>
      </c>
      <c r="B436" s="13">
        <v>1018.02</v>
      </c>
      <c r="C436" s="13">
        <v>1072.5</v>
      </c>
      <c r="D436" s="5">
        <f t="shared" si="12"/>
        <v>6.9256148432829034</v>
      </c>
      <c r="E436" s="5">
        <f t="shared" si="12"/>
        <v>6.9777476508021721</v>
      </c>
      <c r="F436" s="5">
        <f t="shared" si="13"/>
        <v>2.1732405066448024E-3</v>
      </c>
      <c r="G436" s="5">
        <f t="shared" si="13"/>
        <v>-2.142225939164355E-3</v>
      </c>
    </row>
    <row r="437" spans="1:7" x14ac:dyDescent="0.25">
      <c r="A437" s="12">
        <v>45145</v>
      </c>
      <c r="B437" s="13">
        <v>1016.31</v>
      </c>
      <c r="C437" s="13">
        <v>1068.9000000000001</v>
      </c>
      <c r="D437" s="5">
        <f t="shared" si="12"/>
        <v>6.9239336997095995</v>
      </c>
      <c r="E437" s="5">
        <f t="shared" si="12"/>
        <v>6.9743853612799001</v>
      </c>
      <c r="F437" s="5">
        <f t="shared" si="13"/>
        <v>-1.6811435733039559E-3</v>
      </c>
      <c r="G437" s="5">
        <f t="shared" si="13"/>
        <v>-3.3622895222720217E-3</v>
      </c>
    </row>
    <row r="438" spans="1:7" x14ac:dyDescent="0.25">
      <c r="A438" s="12">
        <v>45146</v>
      </c>
      <c r="B438" s="13">
        <v>1003.71</v>
      </c>
      <c r="C438" s="13">
        <v>1055.2</v>
      </c>
      <c r="D438" s="5">
        <f t="shared" si="12"/>
        <v>6.9114584139065185</v>
      </c>
      <c r="E438" s="5">
        <f t="shared" si="12"/>
        <v>6.9614856014031048</v>
      </c>
      <c r="F438" s="5">
        <f t="shared" si="13"/>
        <v>-1.2475285803080993E-2</v>
      </c>
      <c r="G438" s="5">
        <f t="shared" si="13"/>
        <v>-1.2899759876795258E-2</v>
      </c>
    </row>
    <row r="439" spans="1:7" x14ac:dyDescent="0.25">
      <c r="A439" s="12">
        <v>45147</v>
      </c>
      <c r="B439" s="13">
        <v>1008.42</v>
      </c>
      <c r="C439" s="13">
        <v>1058.2</v>
      </c>
      <c r="D439" s="5">
        <f t="shared" si="12"/>
        <v>6.91614002851653</v>
      </c>
      <c r="E439" s="5">
        <f t="shared" si="12"/>
        <v>6.9643246304700313</v>
      </c>
      <c r="F439" s="5">
        <f t="shared" si="13"/>
        <v>4.6816146100114864E-3</v>
      </c>
      <c r="G439" s="5">
        <f t="shared" si="13"/>
        <v>2.8390290669264573E-3</v>
      </c>
    </row>
    <row r="440" spans="1:7" x14ac:dyDescent="0.25">
      <c r="A440" s="12">
        <v>45148</v>
      </c>
      <c r="B440" s="13">
        <v>1008.34</v>
      </c>
      <c r="C440" s="13">
        <v>1061.5999999999999</v>
      </c>
      <c r="D440" s="5">
        <f t="shared" si="12"/>
        <v>6.9160606933452238</v>
      </c>
      <c r="E440" s="5">
        <f t="shared" si="12"/>
        <v>6.9675324830179974</v>
      </c>
      <c r="F440" s="5">
        <f t="shared" si="13"/>
        <v>-7.9335171306205154E-5</v>
      </c>
      <c r="G440" s="5">
        <f t="shared" si="13"/>
        <v>3.2078525479661835E-3</v>
      </c>
    </row>
    <row r="441" spans="1:7" x14ac:dyDescent="0.25">
      <c r="A441" s="12">
        <v>45149</v>
      </c>
      <c r="B441" s="13">
        <v>997.72</v>
      </c>
      <c r="C441" s="13">
        <v>1050.4000000000001</v>
      </c>
      <c r="D441" s="5">
        <f t="shared" si="12"/>
        <v>6.9054726758245852</v>
      </c>
      <c r="E441" s="5">
        <f t="shared" si="12"/>
        <v>6.9569263229885863</v>
      </c>
      <c r="F441" s="5">
        <f t="shared" si="13"/>
        <v>-1.0588017520638537E-2</v>
      </c>
      <c r="G441" s="5">
        <f t="shared" si="13"/>
        <v>-1.0606160029411171E-2</v>
      </c>
    </row>
    <row r="442" spans="1:7" x14ac:dyDescent="0.25">
      <c r="A442" s="12">
        <v>45152</v>
      </c>
      <c r="B442" s="13">
        <v>986.28</v>
      </c>
      <c r="C442" s="13">
        <v>1046</v>
      </c>
      <c r="D442" s="5">
        <f t="shared" si="12"/>
        <v>6.893940289948409</v>
      </c>
      <c r="E442" s="5">
        <f t="shared" si="12"/>
        <v>6.9527286446248686</v>
      </c>
      <c r="F442" s="5">
        <f t="shared" si="13"/>
        <v>-1.1532385876176221E-2</v>
      </c>
      <c r="G442" s="5">
        <f t="shared" si="13"/>
        <v>-4.1976783637176496E-3</v>
      </c>
    </row>
    <row r="443" spans="1:7" x14ac:dyDescent="0.25">
      <c r="A443" s="12">
        <v>45153</v>
      </c>
      <c r="B443" s="13">
        <v>981.8</v>
      </c>
      <c r="C443" s="13">
        <v>1033.7</v>
      </c>
      <c r="D443" s="5">
        <f t="shared" si="12"/>
        <v>6.8893876216239525</v>
      </c>
      <c r="E443" s="5">
        <f t="shared" si="12"/>
        <v>6.9408998775744388</v>
      </c>
      <c r="F443" s="5">
        <f t="shared" si="13"/>
        <v>-4.5526683244565547E-3</v>
      </c>
      <c r="G443" s="5">
        <f t="shared" si="13"/>
        <v>-1.1828767050429789E-2</v>
      </c>
    </row>
    <row r="444" spans="1:7" x14ac:dyDescent="0.25">
      <c r="A444" s="12">
        <v>45154</v>
      </c>
      <c r="B444" s="13">
        <v>975.77</v>
      </c>
      <c r="C444" s="13">
        <v>1024.7</v>
      </c>
      <c r="D444" s="5">
        <f t="shared" si="12"/>
        <v>6.8832269029042115</v>
      </c>
      <c r="E444" s="5">
        <f t="shared" si="12"/>
        <v>6.9321551658056721</v>
      </c>
      <c r="F444" s="5">
        <f t="shared" si="13"/>
        <v>-6.1607187197409985E-3</v>
      </c>
      <c r="G444" s="5">
        <f t="shared" si="13"/>
        <v>-8.7447117687666776E-3</v>
      </c>
    </row>
    <row r="445" spans="1:7" x14ac:dyDescent="0.25">
      <c r="A445" s="12">
        <v>45155</v>
      </c>
      <c r="B445" s="13">
        <v>973.86</v>
      </c>
      <c r="C445" s="13">
        <v>1028.0999999999999</v>
      </c>
      <c r="D445" s="5">
        <f t="shared" si="12"/>
        <v>6.8812675561450343</v>
      </c>
      <c r="E445" s="5">
        <f t="shared" si="12"/>
        <v>6.935467717548673</v>
      </c>
      <c r="F445" s="5">
        <f t="shared" si="13"/>
        <v>-1.959346759177194E-3</v>
      </c>
      <c r="G445" s="5">
        <f t="shared" si="13"/>
        <v>3.3125517430008244E-3</v>
      </c>
    </row>
    <row r="446" spans="1:7" x14ac:dyDescent="0.25">
      <c r="A446" s="12">
        <v>45156</v>
      </c>
      <c r="B446" s="13">
        <v>964.44</v>
      </c>
      <c r="C446" s="13">
        <v>1020</v>
      </c>
      <c r="D446" s="5">
        <f t="shared" si="12"/>
        <v>6.8715476220126277</v>
      </c>
      <c r="E446" s="5">
        <f t="shared" si="12"/>
        <v>6.9275579062783166</v>
      </c>
      <c r="F446" s="5">
        <f t="shared" si="13"/>
        <v>-9.7199341324065713E-3</v>
      </c>
      <c r="G446" s="5">
        <f t="shared" si="13"/>
        <v>-7.9098112703563928E-3</v>
      </c>
    </row>
    <row r="447" spans="1:7" x14ac:dyDescent="0.25">
      <c r="A447" s="12">
        <v>45159</v>
      </c>
      <c r="B447" s="13">
        <v>959.79</v>
      </c>
      <c r="C447" s="13">
        <v>1023.8</v>
      </c>
      <c r="D447" s="5">
        <f t="shared" si="12"/>
        <v>6.8667145105326108</v>
      </c>
      <c r="E447" s="5">
        <f t="shared" si="12"/>
        <v>6.9312764740234831</v>
      </c>
      <c r="F447" s="5">
        <f t="shared" si="13"/>
        <v>-4.8331114800168606E-3</v>
      </c>
      <c r="G447" s="5">
        <f t="shared" si="13"/>
        <v>3.7185677451665455E-3</v>
      </c>
    </row>
    <row r="448" spans="1:7" x14ac:dyDescent="0.25">
      <c r="A448" s="12">
        <v>45160</v>
      </c>
      <c r="B448" s="13">
        <v>966.69</v>
      </c>
      <c r="C448" s="13">
        <v>1022.5</v>
      </c>
      <c r="D448" s="5">
        <f t="shared" si="12"/>
        <v>6.8738778649461754</v>
      </c>
      <c r="E448" s="5">
        <f t="shared" si="12"/>
        <v>6.9300058879169564</v>
      </c>
      <c r="F448" s="5">
        <f t="shared" si="13"/>
        <v>7.1633544135645266E-3</v>
      </c>
      <c r="G448" s="5">
        <f t="shared" si="13"/>
        <v>-1.2705861065267499E-3</v>
      </c>
    </row>
    <row r="449" spans="1:7" x14ac:dyDescent="0.25">
      <c r="A449" s="12">
        <v>45161</v>
      </c>
      <c r="B449" s="13">
        <v>970.2</v>
      </c>
      <c r="C449" s="13">
        <v>1035.3</v>
      </c>
      <c r="D449" s="5">
        <f t="shared" si="12"/>
        <v>6.8775022358111162</v>
      </c>
      <c r="E449" s="5">
        <f t="shared" si="12"/>
        <v>6.9424465187720674</v>
      </c>
      <c r="F449" s="5">
        <f t="shared" si="13"/>
        <v>3.6243708649408291E-3</v>
      </c>
      <c r="G449" s="5">
        <f t="shared" si="13"/>
        <v>1.2440630855111046E-2</v>
      </c>
    </row>
    <row r="450" spans="1:7" x14ac:dyDescent="0.25">
      <c r="A450" s="12">
        <v>45162</v>
      </c>
      <c r="B450" s="13">
        <v>982.31</v>
      </c>
      <c r="C450" s="13">
        <v>1033.4000000000001</v>
      </c>
      <c r="D450" s="5">
        <f t="shared" si="12"/>
        <v>6.8899069408183573</v>
      </c>
      <c r="E450" s="5">
        <f t="shared" si="12"/>
        <v>6.9406096158530843</v>
      </c>
      <c r="F450" s="5">
        <f t="shared" si="13"/>
        <v>1.2404705007241112E-2</v>
      </c>
      <c r="G450" s="5">
        <f t="shared" si="13"/>
        <v>-1.8369029189830854E-3</v>
      </c>
    </row>
    <row r="451" spans="1:7" x14ac:dyDescent="0.25">
      <c r="A451" s="12">
        <v>45163</v>
      </c>
      <c r="B451" s="13">
        <v>971.04</v>
      </c>
      <c r="C451" s="13">
        <v>1035.5</v>
      </c>
      <c r="D451" s="5">
        <f t="shared" si="12"/>
        <v>6.8783676620875447</v>
      </c>
      <c r="E451" s="5">
        <f t="shared" si="12"/>
        <v>6.9426396808356392</v>
      </c>
      <c r="F451" s="5">
        <f t="shared" si="13"/>
        <v>-1.1539278730812619E-2</v>
      </c>
      <c r="G451" s="5">
        <f t="shared" si="13"/>
        <v>2.0300649825548689E-3</v>
      </c>
    </row>
    <row r="452" spans="1:7" x14ac:dyDescent="0.25">
      <c r="A452" s="12">
        <v>45166</v>
      </c>
      <c r="B452" s="13">
        <v>978.09</v>
      </c>
      <c r="C452" s="13">
        <v>1045.0999999999999</v>
      </c>
      <c r="D452" s="5">
        <f t="shared" ref="D452:E515" si="14">LN(B452)</f>
        <v>6.885601690340696</v>
      </c>
      <c r="E452" s="5">
        <f t="shared" si="14"/>
        <v>6.9518678536004579</v>
      </c>
      <c r="F452" s="5">
        <f t="shared" ref="F452:G515" si="15">D452-D451</f>
        <v>7.2340282531513367E-3</v>
      </c>
      <c r="G452" s="5">
        <f t="shared" si="15"/>
        <v>9.2281727648186873E-3</v>
      </c>
    </row>
    <row r="453" spans="1:7" x14ac:dyDescent="0.25">
      <c r="A453" s="12">
        <v>45167</v>
      </c>
      <c r="B453" s="13">
        <v>987.58</v>
      </c>
      <c r="C453" s="13">
        <v>1055.0999999999999</v>
      </c>
      <c r="D453" s="5">
        <f t="shared" si="14"/>
        <v>6.8952575061521566</v>
      </c>
      <c r="E453" s="5">
        <f t="shared" si="14"/>
        <v>6.9613908281480468</v>
      </c>
      <c r="F453" s="5">
        <f t="shared" si="15"/>
        <v>9.6558158114605774E-3</v>
      </c>
      <c r="G453" s="5">
        <f t="shared" si="15"/>
        <v>9.5229745475888805E-3</v>
      </c>
    </row>
    <row r="454" spans="1:7" x14ac:dyDescent="0.25">
      <c r="A454" s="12">
        <v>45168</v>
      </c>
      <c r="B454" s="13">
        <v>988.3</v>
      </c>
      <c r="C454" s="13">
        <v>1050.0999999999999</v>
      </c>
      <c r="D454" s="5">
        <f t="shared" si="14"/>
        <v>6.895986295382138</v>
      </c>
      <c r="E454" s="5">
        <f t="shared" si="14"/>
        <v>6.956640676711948</v>
      </c>
      <c r="F454" s="5">
        <f t="shared" si="15"/>
        <v>7.2878922998143025E-4</v>
      </c>
      <c r="G454" s="5">
        <f t="shared" si="15"/>
        <v>-4.750151436098804E-3</v>
      </c>
    </row>
    <row r="455" spans="1:7" x14ac:dyDescent="0.25">
      <c r="A455" s="12">
        <v>45169</v>
      </c>
      <c r="B455" s="13">
        <v>980.33</v>
      </c>
      <c r="C455" s="13">
        <v>1036.8</v>
      </c>
      <c r="D455" s="5">
        <f t="shared" si="14"/>
        <v>6.8878892496760926</v>
      </c>
      <c r="E455" s="5">
        <f t="shared" si="14"/>
        <v>6.9438943255980101</v>
      </c>
      <c r="F455" s="5">
        <f t="shared" si="15"/>
        <v>-8.0970457060454137E-3</v>
      </c>
      <c r="G455" s="5">
        <f t="shared" si="15"/>
        <v>-1.2746351113937848E-2</v>
      </c>
    </row>
    <row r="456" spans="1:7" x14ac:dyDescent="0.25">
      <c r="A456" s="12">
        <v>45170</v>
      </c>
      <c r="B456" s="13">
        <v>985.68</v>
      </c>
      <c r="C456" s="13">
        <v>1049.8</v>
      </c>
      <c r="D456" s="5">
        <f t="shared" si="14"/>
        <v>6.8933317583164131</v>
      </c>
      <c r="E456" s="5">
        <f t="shared" si="14"/>
        <v>6.9563549488181993</v>
      </c>
      <c r="F456" s="5">
        <f t="shared" si="15"/>
        <v>5.4425086403204759E-3</v>
      </c>
      <c r="G456" s="5">
        <f t="shared" si="15"/>
        <v>1.2460623220189149E-2</v>
      </c>
    </row>
    <row r="457" spans="1:7" x14ac:dyDescent="0.25">
      <c r="A457" s="12">
        <v>45173</v>
      </c>
      <c r="B457" s="13">
        <v>995.5</v>
      </c>
      <c r="C457" s="13">
        <v>1049.8</v>
      </c>
      <c r="D457" s="5">
        <f t="shared" si="14"/>
        <v>6.9032451235042513</v>
      </c>
      <c r="E457" s="5">
        <f t="shared" si="14"/>
        <v>6.9563549488181993</v>
      </c>
      <c r="F457" s="5">
        <f t="shared" si="15"/>
        <v>9.9133651878382523E-3</v>
      </c>
      <c r="G457" s="5">
        <f t="shared" si="15"/>
        <v>0</v>
      </c>
    </row>
    <row r="458" spans="1:7" x14ac:dyDescent="0.25">
      <c r="A458" s="12">
        <v>45174</v>
      </c>
      <c r="B458" s="13">
        <v>985.84</v>
      </c>
      <c r="C458" s="13">
        <v>1043.4000000000001</v>
      </c>
      <c r="D458" s="5">
        <f t="shared" si="14"/>
        <v>6.8934940696298677</v>
      </c>
      <c r="E458" s="5">
        <f t="shared" si="14"/>
        <v>6.9502398905882927</v>
      </c>
      <c r="F458" s="5">
        <f t="shared" si="15"/>
        <v>-9.7510538743836861E-3</v>
      </c>
      <c r="G458" s="5">
        <f t="shared" si="15"/>
        <v>-6.1150582299065448E-3</v>
      </c>
    </row>
    <row r="459" spans="1:7" x14ac:dyDescent="0.25">
      <c r="A459" s="12">
        <v>45175</v>
      </c>
      <c r="B459" s="13">
        <v>981.42</v>
      </c>
      <c r="C459" s="13">
        <v>1040.3</v>
      </c>
      <c r="D459" s="5">
        <f t="shared" si="14"/>
        <v>6.8890005024984893</v>
      </c>
      <c r="E459" s="5">
        <f t="shared" si="14"/>
        <v>6.9472644120768496</v>
      </c>
      <c r="F459" s="5">
        <f t="shared" si="15"/>
        <v>-4.4935671313783843E-3</v>
      </c>
      <c r="G459" s="5">
        <f t="shared" si="15"/>
        <v>-2.9754785114430859E-3</v>
      </c>
    </row>
    <row r="460" spans="1:7" x14ac:dyDescent="0.25">
      <c r="A460" s="12">
        <v>45176</v>
      </c>
      <c r="B460" s="13">
        <v>973.59</v>
      </c>
      <c r="C460" s="13">
        <v>1027.8</v>
      </c>
      <c r="D460" s="5">
        <f t="shared" si="14"/>
        <v>6.8809902704619823</v>
      </c>
      <c r="E460" s="5">
        <f t="shared" si="14"/>
        <v>6.9351758745581291</v>
      </c>
      <c r="F460" s="5">
        <f t="shared" si="15"/>
        <v>-8.0102320365069701E-3</v>
      </c>
      <c r="G460" s="5">
        <f t="shared" si="15"/>
        <v>-1.2088537518720521E-2</v>
      </c>
    </row>
    <row r="461" spans="1:7" x14ac:dyDescent="0.25">
      <c r="A461" s="12">
        <v>45177</v>
      </c>
      <c r="B461" s="13">
        <v>973.86</v>
      </c>
      <c r="C461" s="13">
        <v>1028.8</v>
      </c>
      <c r="D461" s="5">
        <f t="shared" si="14"/>
        <v>6.8812675561450343</v>
      </c>
      <c r="E461" s="5">
        <f t="shared" si="14"/>
        <v>6.9361483534833548</v>
      </c>
      <c r="F461" s="5">
        <f t="shared" si="15"/>
        <v>2.7728568305196433E-4</v>
      </c>
      <c r="G461" s="5">
        <f t="shared" si="15"/>
        <v>9.724789252256727E-4</v>
      </c>
    </row>
    <row r="462" spans="1:7" x14ac:dyDescent="0.25">
      <c r="A462" s="12">
        <v>45180</v>
      </c>
      <c r="B462" s="13">
        <v>977.5</v>
      </c>
      <c r="C462" s="13">
        <v>1042.3</v>
      </c>
      <c r="D462" s="5">
        <f t="shared" si="14"/>
        <v>6.8849982918595209</v>
      </c>
      <c r="E462" s="5">
        <f t="shared" si="14"/>
        <v>6.9491850887452769</v>
      </c>
      <c r="F462" s="5">
        <f t="shared" si="15"/>
        <v>3.7307357144866771E-3</v>
      </c>
      <c r="G462" s="5">
        <f t="shared" si="15"/>
        <v>1.3036735261922061E-2</v>
      </c>
    </row>
    <row r="463" spans="1:7" x14ac:dyDescent="0.25">
      <c r="A463" s="12">
        <v>45181</v>
      </c>
      <c r="B463" s="13">
        <v>975.72</v>
      </c>
      <c r="C463" s="13">
        <v>1039.3</v>
      </c>
      <c r="D463" s="5">
        <f t="shared" si="14"/>
        <v>6.8831756600077467</v>
      </c>
      <c r="E463" s="5">
        <f t="shared" si="14"/>
        <v>6.9463026885943755</v>
      </c>
      <c r="F463" s="5">
        <f t="shared" si="15"/>
        <v>-1.8226318517742257E-3</v>
      </c>
      <c r="G463" s="5">
        <f t="shared" si="15"/>
        <v>-2.8824001509013542E-3</v>
      </c>
    </row>
    <row r="464" spans="1:7" x14ac:dyDescent="0.25">
      <c r="A464" s="12">
        <v>45182</v>
      </c>
      <c r="B464" s="13">
        <v>974.56</v>
      </c>
      <c r="C464" s="13">
        <v>1038.0999999999999</v>
      </c>
      <c r="D464" s="5">
        <f t="shared" si="14"/>
        <v>6.8819860870881744</v>
      </c>
      <c r="E464" s="5">
        <f t="shared" si="14"/>
        <v>6.9451473981991994</v>
      </c>
      <c r="F464" s="5">
        <f t="shared" si="15"/>
        <v>-1.1895729195723348E-3</v>
      </c>
      <c r="G464" s="5">
        <f t="shared" si="15"/>
        <v>-1.1552903951761451E-3</v>
      </c>
    </row>
    <row r="465" spans="1:7" x14ac:dyDescent="0.25">
      <c r="A465" s="12">
        <v>45183</v>
      </c>
      <c r="B465" s="13">
        <v>982.11</v>
      </c>
      <c r="C465" s="13">
        <v>1043.0999999999999</v>
      </c>
      <c r="D465" s="5">
        <f t="shared" si="14"/>
        <v>6.8897033183743881</v>
      </c>
      <c r="E465" s="5">
        <f t="shared" si="14"/>
        <v>6.9499523276819257</v>
      </c>
      <c r="F465" s="5">
        <f t="shared" si="15"/>
        <v>7.7172312862137105E-3</v>
      </c>
      <c r="G465" s="5">
        <f t="shared" si="15"/>
        <v>4.8049294827263722E-3</v>
      </c>
    </row>
    <row r="466" spans="1:7" x14ac:dyDescent="0.25">
      <c r="A466" s="12">
        <v>45184</v>
      </c>
      <c r="B466" s="13">
        <v>984.99</v>
      </c>
      <c r="C466" s="13">
        <v>1040.3</v>
      </c>
      <c r="D466" s="5">
        <f t="shared" si="14"/>
        <v>6.8926314888362903</v>
      </c>
      <c r="E466" s="5">
        <f t="shared" si="14"/>
        <v>6.9472644120768496</v>
      </c>
      <c r="F466" s="5">
        <f t="shared" si="15"/>
        <v>2.9281704619021909E-3</v>
      </c>
      <c r="G466" s="5">
        <f t="shared" si="15"/>
        <v>-2.6879156050760855E-3</v>
      </c>
    </row>
    <row r="467" spans="1:7" x14ac:dyDescent="0.25">
      <c r="A467" s="12">
        <v>45187</v>
      </c>
      <c r="B467" s="13">
        <v>976.17</v>
      </c>
      <c r="C467" s="13">
        <v>1039.2</v>
      </c>
      <c r="D467" s="5">
        <f t="shared" si="14"/>
        <v>6.883636751573329</v>
      </c>
      <c r="E467" s="5">
        <f t="shared" si="14"/>
        <v>6.94620646535639</v>
      </c>
      <c r="F467" s="5">
        <f t="shared" si="15"/>
        <v>-8.9947372629612943E-3</v>
      </c>
      <c r="G467" s="5">
        <f t="shared" si="15"/>
        <v>-1.0579467204596682E-3</v>
      </c>
    </row>
    <row r="468" spans="1:7" x14ac:dyDescent="0.25">
      <c r="A468" s="12">
        <v>45188</v>
      </c>
      <c r="B468" s="13">
        <v>974.5</v>
      </c>
      <c r="C468" s="13">
        <v>1032.8</v>
      </c>
      <c r="D468" s="5">
        <f t="shared" si="14"/>
        <v>6.8819245189476153</v>
      </c>
      <c r="E468" s="5">
        <f t="shared" si="14"/>
        <v>6.9400288395324328</v>
      </c>
      <c r="F468" s="5">
        <f t="shared" si="15"/>
        <v>-1.7122326257137388E-3</v>
      </c>
      <c r="G468" s="5">
        <f t="shared" si="15"/>
        <v>-6.1776258239572002E-3</v>
      </c>
    </row>
    <row r="469" spans="1:7" x14ac:dyDescent="0.25">
      <c r="A469" s="12">
        <v>45189</v>
      </c>
      <c r="B469" s="13">
        <v>970.87</v>
      </c>
      <c r="C469" s="13">
        <v>1028.5999999999999</v>
      </c>
      <c r="D469" s="5">
        <f t="shared" si="14"/>
        <v>6.8781925767329879</v>
      </c>
      <c r="E469" s="5">
        <f t="shared" si="14"/>
        <v>6.9359539333408158</v>
      </c>
      <c r="F469" s="5">
        <f t="shared" si="15"/>
        <v>-3.7319422146273595E-3</v>
      </c>
      <c r="G469" s="5">
        <f t="shared" si="15"/>
        <v>-4.0749061916169893E-3</v>
      </c>
    </row>
    <row r="470" spans="1:7" x14ac:dyDescent="0.25">
      <c r="A470" s="12">
        <v>45190</v>
      </c>
      <c r="B470" s="13">
        <v>956.25</v>
      </c>
      <c r="C470" s="13">
        <v>1012.1</v>
      </c>
      <c r="D470" s="5">
        <f t="shared" si="14"/>
        <v>6.8630193851407455</v>
      </c>
      <c r="E470" s="5">
        <f t="shared" si="14"/>
        <v>6.9197826591948557</v>
      </c>
      <c r="F470" s="5">
        <f t="shared" si="15"/>
        <v>-1.5173191592242397E-2</v>
      </c>
      <c r="G470" s="5">
        <f t="shared" si="15"/>
        <v>-1.6171274145960091E-2</v>
      </c>
    </row>
    <row r="471" spans="1:7" x14ac:dyDescent="0.25">
      <c r="A471" s="12">
        <v>45191</v>
      </c>
      <c r="B471" s="13">
        <v>964.24</v>
      </c>
      <c r="C471" s="13">
        <v>1023.5</v>
      </c>
      <c r="D471" s="5">
        <f t="shared" si="14"/>
        <v>6.871340226280088</v>
      </c>
      <c r="E471" s="5">
        <f t="shared" si="14"/>
        <v>6.9309834051013439</v>
      </c>
      <c r="F471" s="5">
        <f t="shared" si="15"/>
        <v>8.3208411393425052E-3</v>
      </c>
      <c r="G471" s="5">
        <f t="shared" si="15"/>
        <v>1.120074590648823E-2</v>
      </c>
    </row>
    <row r="472" spans="1:7" x14ac:dyDescent="0.25">
      <c r="A472" s="12">
        <v>45194</v>
      </c>
      <c r="B472" s="13">
        <v>957.41</v>
      </c>
      <c r="C472" s="13">
        <v>1018.5</v>
      </c>
      <c r="D472" s="5">
        <f t="shared" si="14"/>
        <v>6.864231721858947</v>
      </c>
      <c r="E472" s="5">
        <f t="shared" si="14"/>
        <v>6.9260862356668609</v>
      </c>
      <c r="F472" s="5">
        <f t="shared" si="15"/>
        <v>-7.1085044211409709E-3</v>
      </c>
      <c r="G472" s="5">
        <f t="shared" si="15"/>
        <v>-4.8971694344830397E-3</v>
      </c>
    </row>
    <row r="473" spans="1:7" x14ac:dyDescent="0.25">
      <c r="A473" s="12">
        <v>45195</v>
      </c>
      <c r="B473" s="13">
        <v>947.18</v>
      </c>
      <c r="C473" s="13">
        <v>1004.5</v>
      </c>
      <c r="D473" s="5">
        <f t="shared" si="14"/>
        <v>6.8534891490419545</v>
      </c>
      <c r="E473" s="5">
        <f t="shared" si="14"/>
        <v>6.9122451842549895</v>
      </c>
      <c r="F473" s="5">
        <f t="shared" si="15"/>
        <v>-1.0742572816992535E-2</v>
      </c>
      <c r="G473" s="5">
        <f t="shared" si="15"/>
        <v>-1.3841051411871419E-2</v>
      </c>
    </row>
    <row r="474" spans="1:7" x14ac:dyDescent="0.25">
      <c r="A474" s="12">
        <v>45196</v>
      </c>
      <c r="B474" s="13">
        <v>948.25</v>
      </c>
      <c r="C474" s="13">
        <v>1005.4</v>
      </c>
      <c r="D474" s="5">
        <f t="shared" si="14"/>
        <v>6.8546181805690081</v>
      </c>
      <c r="E474" s="5">
        <f t="shared" si="14"/>
        <v>6.9131407512584753</v>
      </c>
      <c r="F474" s="5">
        <f t="shared" si="15"/>
        <v>1.12903152705357E-3</v>
      </c>
      <c r="G474" s="5">
        <f t="shared" si="15"/>
        <v>8.9556700348580875E-4</v>
      </c>
    </row>
    <row r="475" spans="1:7" x14ac:dyDescent="0.25">
      <c r="A475" s="12">
        <v>45197</v>
      </c>
      <c r="B475" s="13">
        <v>944.08</v>
      </c>
      <c r="C475" s="13">
        <v>1008.2</v>
      </c>
      <c r="D475" s="5">
        <f t="shared" si="14"/>
        <v>6.8502109083174929</v>
      </c>
      <c r="E475" s="5">
        <f t="shared" si="14"/>
        <v>6.9159218416485304</v>
      </c>
      <c r="F475" s="5">
        <f t="shared" si="15"/>
        <v>-4.4072722515151597E-3</v>
      </c>
      <c r="G475" s="5">
        <f t="shared" si="15"/>
        <v>2.7810903900551409E-3</v>
      </c>
    </row>
    <row r="476" spans="1:7" x14ac:dyDescent="0.25">
      <c r="A476" s="12">
        <v>45198</v>
      </c>
      <c r="B476" s="13">
        <v>952.78</v>
      </c>
      <c r="C476" s="13">
        <v>1006.6</v>
      </c>
      <c r="D476" s="5">
        <f t="shared" si="14"/>
        <v>6.8593840270567172</v>
      </c>
      <c r="E476" s="5">
        <f t="shared" si="14"/>
        <v>6.9143335943422599</v>
      </c>
      <c r="F476" s="5">
        <f t="shared" si="15"/>
        <v>9.1731187392243285E-3</v>
      </c>
      <c r="G476" s="5">
        <f t="shared" si="15"/>
        <v>-1.588247306270496E-3</v>
      </c>
    </row>
    <row r="477" spans="1:7" x14ac:dyDescent="0.25">
      <c r="A477" s="12">
        <v>45201</v>
      </c>
      <c r="B477" s="13">
        <v>951.49</v>
      </c>
      <c r="C477" s="13">
        <v>1003.2</v>
      </c>
      <c r="D477" s="5">
        <f t="shared" si="14"/>
        <v>6.8580291769594846</v>
      </c>
      <c r="E477" s="5">
        <f t="shared" si="14"/>
        <v>6.9109501698786566</v>
      </c>
      <c r="F477" s="5">
        <f t="shared" si="15"/>
        <v>-1.3548500972326849E-3</v>
      </c>
      <c r="G477" s="5">
        <f t="shared" si="15"/>
        <v>-3.3834244636032906E-3</v>
      </c>
    </row>
    <row r="478" spans="1:7" x14ac:dyDescent="0.25">
      <c r="A478" s="12">
        <v>45202</v>
      </c>
      <c r="B478" s="13">
        <v>939.16</v>
      </c>
      <c r="C478" s="13">
        <v>990.9</v>
      </c>
      <c r="D478" s="5">
        <f t="shared" si="14"/>
        <v>6.8449858587290571</v>
      </c>
      <c r="E478" s="5">
        <f t="shared" si="14"/>
        <v>6.8986136210648539</v>
      </c>
      <c r="F478" s="5">
        <f t="shared" si="15"/>
        <v>-1.3043318230427481E-2</v>
      </c>
      <c r="G478" s="5">
        <f t="shared" si="15"/>
        <v>-1.233654881380275E-2</v>
      </c>
    </row>
    <row r="479" spans="1:7" x14ac:dyDescent="0.25">
      <c r="A479" s="12">
        <v>45203</v>
      </c>
      <c r="B479" s="13">
        <v>927.86</v>
      </c>
      <c r="C479" s="13">
        <v>985.4</v>
      </c>
      <c r="D479" s="5">
        <f t="shared" si="14"/>
        <v>6.8328808593364085</v>
      </c>
      <c r="E479" s="5">
        <f t="shared" si="14"/>
        <v>6.893047650109863</v>
      </c>
      <c r="F479" s="5">
        <f t="shared" si="15"/>
        <v>-1.210499939264853E-2</v>
      </c>
      <c r="G479" s="5">
        <f t="shared" si="15"/>
        <v>-5.5659709549908953E-3</v>
      </c>
    </row>
    <row r="480" spans="1:7" x14ac:dyDescent="0.25">
      <c r="A480" s="12">
        <v>45204</v>
      </c>
      <c r="B480" s="13">
        <v>930.23</v>
      </c>
      <c r="C480" s="13">
        <v>987.4</v>
      </c>
      <c r="D480" s="5">
        <f t="shared" si="14"/>
        <v>6.8354318673987295</v>
      </c>
      <c r="E480" s="5">
        <f t="shared" si="14"/>
        <v>6.8950752258247627</v>
      </c>
      <c r="F480" s="5">
        <f t="shared" si="15"/>
        <v>2.551008062321003E-3</v>
      </c>
      <c r="G480" s="5">
        <f t="shared" si="15"/>
        <v>2.0275757148997542E-3</v>
      </c>
    </row>
    <row r="481" spans="1:7" x14ac:dyDescent="0.25">
      <c r="A481" s="12">
        <v>45205</v>
      </c>
      <c r="B481" s="13">
        <v>937.34</v>
      </c>
      <c r="C481" s="13">
        <v>1003.3</v>
      </c>
      <c r="D481" s="5">
        <f t="shared" si="14"/>
        <v>6.8430460766126862</v>
      </c>
      <c r="E481" s="5">
        <f t="shared" si="14"/>
        <v>6.9110498459315668</v>
      </c>
      <c r="F481" s="5">
        <f t="shared" si="15"/>
        <v>7.6142092139566131E-3</v>
      </c>
      <c r="G481" s="5">
        <f t="shared" si="15"/>
        <v>1.5974620106804061E-2</v>
      </c>
    </row>
    <row r="482" spans="1:7" x14ac:dyDescent="0.25">
      <c r="A482" s="12">
        <v>45208</v>
      </c>
      <c r="B482" s="13">
        <v>935.42</v>
      </c>
      <c r="C482" s="13">
        <v>998.1</v>
      </c>
      <c r="D482" s="5">
        <f t="shared" si="14"/>
        <v>6.8409956262904927</v>
      </c>
      <c r="E482" s="5">
        <f t="shared" si="14"/>
        <v>6.9058534716925406</v>
      </c>
      <c r="F482" s="5">
        <f t="shared" si="15"/>
        <v>-2.05045032219342E-3</v>
      </c>
      <c r="G482" s="5">
        <f t="shared" si="15"/>
        <v>-5.1963742390261913E-3</v>
      </c>
    </row>
    <row r="483" spans="1:7" x14ac:dyDescent="0.25">
      <c r="A483" s="12">
        <v>45209</v>
      </c>
      <c r="B483" s="13">
        <v>944.55</v>
      </c>
      <c r="C483" s="13">
        <v>1009.1</v>
      </c>
      <c r="D483" s="5">
        <f t="shared" si="14"/>
        <v>6.8507086236028609</v>
      </c>
      <c r="E483" s="5">
        <f t="shared" si="14"/>
        <v>6.9168141234704832</v>
      </c>
      <c r="F483" s="5">
        <f t="shared" si="15"/>
        <v>9.7129973123681879E-3</v>
      </c>
      <c r="G483" s="5">
        <f t="shared" si="15"/>
        <v>1.0960651777942587E-2</v>
      </c>
    </row>
    <row r="484" spans="1:7" x14ac:dyDescent="0.25">
      <c r="A484" s="12">
        <v>45210</v>
      </c>
      <c r="B484" s="13">
        <v>956.84</v>
      </c>
      <c r="C484" s="13">
        <v>1016.4</v>
      </c>
      <c r="D484" s="5">
        <f t="shared" si="14"/>
        <v>6.8636361883425865</v>
      </c>
      <c r="E484" s="5">
        <f t="shared" si="14"/>
        <v>6.9240222514460088</v>
      </c>
      <c r="F484" s="5">
        <f t="shared" si="15"/>
        <v>1.2927564739725561E-2</v>
      </c>
      <c r="G484" s="5">
        <f t="shared" si="15"/>
        <v>7.2081279755256134E-3</v>
      </c>
    </row>
    <row r="485" spans="1:7" x14ac:dyDescent="0.25">
      <c r="A485" s="12">
        <v>45211</v>
      </c>
      <c r="B485" s="13">
        <v>962.69</v>
      </c>
      <c r="C485" s="13">
        <v>1007.4</v>
      </c>
      <c r="D485" s="5">
        <f t="shared" si="14"/>
        <v>6.8697314492780128</v>
      </c>
      <c r="E485" s="5">
        <f t="shared" si="14"/>
        <v>6.9151280333115501</v>
      </c>
      <c r="F485" s="5">
        <f t="shared" si="15"/>
        <v>6.0952609354263387E-3</v>
      </c>
      <c r="G485" s="5">
        <f t="shared" si="15"/>
        <v>-8.8942181344586757E-3</v>
      </c>
    </row>
    <row r="486" spans="1:7" x14ac:dyDescent="0.25">
      <c r="A486" s="12">
        <v>45212</v>
      </c>
      <c r="B486" s="13">
        <v>951.31</v>
      </c>
      <c r="C486" s="13">
        <v>1002.5</v>
      </c>
      <c r="D486" s="5">
        <f t="shared" si="14"/>
        <v>6.857839982088203</v>
      </c>
      <c r="E486" s="5">
        <f t="shared" si="14"/>
        <v>6.9102521591807244</v>
      </c>
      <c r="F486" s="5">
        <f t="shared" si="15"/>
        <v>-1.1891467189809823E-2</v>
      </c>
      <c r="G486" s="5">
        <f t="shared" si="15"/>
        <v>-4.8758741308256859E-3</v>
      </c>
    </row>
    <row r="487" spans="1:7" x14ac:dyDescent="0.25">
      <c r="A487" s="12">
        <v>45215</v>
      </c>
      <c r="B487" s="13">
        <v>946.21</v>
      </c>
      <c r="C487" s="13">
        <v>1010</v>
      </c>
      <c r="D487" s="5">
        <f t="shared" si="14"/>
        <v>6.8524645317313508</v>
      </c>
      <c r="E487" s="5">
        <f t="shared" si="14"/>
        <v>6.9177056098353047</v>
      </c>
      <c r="F487" s="5">
        <f t="shared" si="15"/>
        <v>-5.3754503568521628E-3</v>
      </c>
      <c r="G487" s="5">
        <f t="shared" si="15"/>
        <v>7.4534506545802515E-3</v>
      </c>
    </row>
    <row r="488" spans="1:7" x14ac:dyDescent="0.25">
      <c r="A488" s="12">
        <v>45216</v>
      </c>
      <c r="B488" s="13">
        <v>951.21</v>
      </c>
      <c r="C488" s="13">
        <v>1010.3</v>
      </c>
      <c r="D488" s="5">
        <f t="shared" si="14"/>
        <v>6.8577348583574755</v>
      </c>
      <c r="E488" s="5">
        <f t="shared" si="14"/>
        <v>6.9180025954336868</v>
      </c>
      <c r="F488" s="5">
        <f t="shared" si="15"/>
        <v>5.2703266261246995E-3</v>
      </c>
      <c r="G488" s="5">
        <f t="shared" si="15"/>
        <v>2.9698559838209349E-4</v>
      </c>
    </row>
    <row r="489" spans="1:7" x14ac:dyDescent="0.25">
      <c r="A489" s="12">
        <v>45217</v>
      </c>
      <c r="B489" s="13">
        <v>943.12</v>
      </c>
      <c r="C489" s="13">
        <v>996.1</v>
      </c>
      <c r="D489" s="5">
        <f t="shared" si="14"/>
        <v>6.8491935279838723</v>
      </c>
      <c r="E489" s="5">
        <f t="shared" si="14"/>
        <v>6.9038476541511198</v>
      </c>
      <c r="F489" s="5">
        <f t="shared" si="15"/>
        <v>-8.5413303736032731E-3</v>
      </c>
      <c r="G489" s="5">
        <f t="shared" si="15"/>
        <v>-1.4154941282567002E-2</v>
      </c>
    </row>
    <row r="490" spans="1:7" x14ac:dyDescent="0.25">
      <c r="A490" s="12">
        <v>45218</v>
      </c>
      <c r="B490" s="13">
        <v>930.8</v>
      </c>
      <c r="C490" s="13">
        <v>990.1</v>
      </c>
      <c r="D490" s="5">
        <f t="shared" si="14"/>
        <v>6.836044431428137</v>
      </c>
      <c r="E490" s="5">
        <f t="shared" si="14"/>
        <v>6.897805948128469</v>
      </c>
      <c r="F490" s="5">
        <f t="shared" si="15"/>
        <v>-1.3149096555735262E-2</v>
      </c>
      <c r="G490" s="5">
        <f t="shared" si="15"/>
        <v>-6.0417060226507502E-3</v>
      </c>
    </row>
    <row r="491" spans="1:7" x14ac:dyDescent="0.25">
      <c r="A491" s="12">
        <v>45219</v>
      </c>
      <c r="B491" s="13">
        <v>925.58</v>
      </c>
      <c r="C491" s="13">
        <v>973.3</v>
      </c>
      <c r="D491" s="5">
        <f t="shared" si="14"/>
        <v>6.8304205680401422</v>
      </c>
      <c r="E491" s="5">
        <f t="shared" si="14"/>
        <v>6.8806923594324481</v>
      </c>
      <c r="F491" s="5">
        <f t="shared" si="15"/>
        <v>-5.6238633879948097E-3</v>
      </c>
      <c r="G491" s="5">
        <f t="shared" si="15"/>
        <v>-1.7113588696020976E-2</v>
      </c>
    </row>
    <row r="492" spans="1:7" x14ac:dyDescent="0.25">
      <c r="A492" s="12">
        <v>45222</v>
      </c>
      <c r="B492" s="13">
        <v>917.69</v>
      </c>
      <c r="C492" s="13">
        <v>973.2</v>
      </c>
      <c r="D492" s="5">
        <f t="shared" si="14"/>
        <v>6.8218596429583611</v>
      </c>
      <c r="E492" s="5">
        <f t="shared" si="14"/>
        <v>6.8805896109093672</v>
      </c>
      <c r="F492" s="5">
        <f t="shared" si="15"/>
        <v>-8.5609250817810789E-3</v>
      </c>
      <c r="G492" s="5">
        <f t="shared" si="15"/>
        <v>-1.0274852308089777E-4</v>
      </c>
    </row>
    <row r="493" spans="1:7" x14ac:dyDescent="0.25">
      <c r="A493" s="12">
        <v>45223</v>
      </c>
      <c r="B493" s="13">
        <v>920.57</v>
      </c>
      <c r="C493" s="13">
        <v>985.3</v>
      </c>
      <c r="D493" s="5">
        <f t="shared" si="14"/>
        <v>6.8249930434091866</v>
      </c>
      <c r="E493" s="5">
        <f t="shared" si="14"/>
        <v>6.8929461633284292</v>
      </c>
      <c r="F493" s="5">
        <f t="shared" si="15"/>
        <v>3.1334004508254409E-3</v>
      </c>
      <c r="G493" s="5">
        <f t="shared" si="15"/>
        <v>1.2356552419062083E-2</v>
      </c>
    </row>
    <row r="494" spans="1:7" x14ac:dyDescent="0.25">
      <c r="A494" s="12">
        <v>45224</v>
      </c>
      <c r="B494" s="13">
        <v>920.78</v>
      </c>
      <c r="C494" s="13">
        <v>973.7</v>
      </c>
      <c r="D494" s="5">
        <f t="shared" si="14"/>
        <v>6.8252211369285183</v>
      </c>
      <c r="E494" s="5">
        <f t="shared" si="14"/>
        <v>6.8811032479847105</v>
      </c>
      <c r="F494" s="5">
        <f t="shared" si="15"/>
        <v>2.2809351933172906E-4</v>
      </c>
      <c r="G494" s="5">
        <f t="shared" si="15"/>
        <v>-1.184291534371873E-2</v>
      </c>
    </row>
    <row r="495" spans="1:7" x14ac:dyDescent="0.25">
      <c r="A495" s="12">
        <v>45225</v>
      </c>
      <c r="B495" s="13">
        <v>910.91</v>
      </c>
      <c r="C495" s="13">
        <v>965.9</v>
      </c>
      <c r="D495" s="5">
        <f t="shared" si="14"/>
        <v>6.8144440998439793</v>
      </c>
      <c r="E495" s="5">
        <f t="shared" si="14"/>
        <v>6.8730603091852505</v>
      </c>
      <c r="F495" s="5">
        <f t="shared" si="15"/>
        <v>-1.0777037084539032E-2</v>
      </c>
      <c r="G495" s="5">
        <f t="shared" si="15"/>
        <v>-8.0429387994600532E-3</v>
      </c>
    </row>
    <row r="496" spans="1:7" x14ac:dyDescent="0.25">
      <c r="A496" s="12">
        <v>45226</v>
      </c>
      <c r="B496" s="13">
        <v>919.78</v>
      </c>
      <c r="C496" s="13">
        <v>964.6</v>
      </c>
      <c r="D496" s="5">
        <f t="shared" si="14"/>
        <v>6.8241345110120619</v>
      </c>
      <c r="E496" s="5">
        <f t="shared" si="14"/>
        <v>6.8717135076348717</v>
      </c>
      <c r="F496" s="5">
        <f t="shared" si="15"/>
        <v>9.6904111680826688E-3</v>
      </c>
      <c r="G496" s="5">
        <f t="shared" si="15"/>
        <v>-1.3468015503788067E-3</v>
      </c>
    </row>
    <row r="497" spans="1:7" x14ac:dyDescent="0.25">
      <c r="A497" s="12">
        <v>45229</v>
      </c>
      <c r="B497" s="13">
        <v>921.9</v>
      </c>
      <c r="C497" s="13">
        <v>975</v>
      </c>
      <c r="D497" s="5">
        <f t="shared" si="14"/>
        <v>6.8264367578045491</v>
      </c>
      <c r="E497" s="5">
        <f t="shared" si="14"/>
        <v>6.8824374709978473</v>
      </c>
      <c r="F497" s="5">
        <f t="shared" si="15"/>
        <v>2.3022467924871393E-3</v>
      </c>
      <c r="G497" s="5">
        <f t="shared" si="15"/>
        <v>1.0723963362975653E-2</v>
      </c>
    </row>
    <row r="498" spans="1:7" x14ac:dyDescent="0.25">
      <c r="A498" s="12">
        <v>45230</v>
      </c>
      <c r="B498" s="13">
        <v>915.2</v>
      </c>
      <c r="C498" s="13">
        <v>969.4</v>
      </c>
      <c r="D498" s="5">
        <f t="shared" si="14"/>
        <v>6.8191426206255334</v>
      </c>
      <c r="E498" s="5">
        <f t="shared" si="14"/>
        <v>6.8766773234112755</v>
      </c>
      <c r="F498" s="5">
        <f t="shared" si="15"/>
        <v>-7.294137179015614E-3</v>
      </c>
      <c r="G498" s="5">
        <f t="shared" si="15"/>
        <v>-5.7601475865718399E-3</v>
      </c>
    </row>
    <row r="499" spans="1:7" x14ac:dyDescent="0.25">
      <c r="A499" s="12">
        <v>45231</v>
      </c>
      <c r="B499" s="13">
        <v>915.97</v>
      </c>
      <c r="C499" s="13">
        <v>976.8</v>
      </c>
      <c r="D499" s="5">
        <f t="shared" si="14"/>
        <v>6.8199836130460989</v>
      </c>
      <c r="E499" s="5">
        <f t="shared" si="14"/>
        <v>6.8842819227964949</v>
      </c>
      <c r="F499" s="5">
        <f t="shared" si="15"/>
        <v>8.409924205654562E-4</v>
      </c>
      <c r="G499" s="5">
        <f t="shared" si="15"/>
        <v>7.6045993852194016E-3</v>
      </c>
    </row>
    <row r="500" spans="1:7" x14ac:dyDescent="0.25">
      <c r="A500" s="12">
        <v>45232</v>
      </c>
      <c r="B500" s="13">
        <v>930.62</v>
      </c>
      <c r="C500" s="13">
        <v>992.7</v>
      </c>
      <c r="D500" s="5">
        <f t="shared" si="14"/>
        <v>6.8358510306904625</v>
      </c>
      <c r="E500" s="5">
        <f t="shared" si="14"/>
        <v>6.9004285035956761</v>
      </c>
      <c r="F500" s="5">
        <f t="shared" si="15"/>
        <v>1.5867417644363613E-2</v>
      </c>
      <c r="G500" s="5">
        <f t="shared" si="15"/>
        <v>1.6146580799181187E-2</v>
      </c>
    </row>
    <row r="501" spans="1:7" x14ac:dyDescent="0.25">
      <c r="A501" s="12">
        <v>45233</v>
      </c>
      <c r="B501" s="13">
        <v>948.26</v>
      </c>
      <c r="C501" s="13">
        <v>1009.7</v>
      </c>
      <c r="D501" s="5">
        <f t="shared" si="14"/>
        <v>6.8546287262555587</v>
      </c>
      <c r="E501" s="5">
        <f t="shared" si="14"/>
        <v>6.9174085360102753</v>
      </c>
      <c r="F501" s="5">
        <f t="shared" si="15"/>
        <v>1.8777695565096231E-2</v>
      </c>
      <c r="G501" s="5">
        <f t="shared" si="15"/>
        <v>1.6980032414599222E-2</v>
      </c>
    </row>
    <row r="502" spans="1:7" x14ac:dyDescent="0.25">
      <c r="A502" s="12">
        <v>45236</v>
      </c>
      <c r="B502" s="13">
        <v>968.91</v>
      </c>
      <c r="C502" s="13">
        <v>1019.7</v>
      </c>
      <c r="D502" s="5">
        <f t="shared" si="14"/>
        <v>6.876171728320255</v>
      </c>
      <c r="E502" s="5">
        <f t="shared" si="14"/>
        <v>6.9272637453701797</v>
      </c>
      <c r="F502" s="5">
        <f t="shared" si="15"/>
        <v>2.1543002064696282E-2</v>
      </c>
      <c r="G502" s="5">
        <f t="shared" si="15"/>
        <v>9.855209359904471E-3</v>
      </c>
    </row>
    <row r="503" spans="1:7" x14ac:dyDescent="0.25">
      <c r="A503" s="12">
        <v>45237</v>
      </c>
      <c r="B503" s="13">
        <v>960.66</v>
      </c>
      <c r="C503" s="13">
        <v>1017.3</v>
      </c>
      <c r="D503" s="5">
        <f t="shared" si="14"/>
        <v>6.8676205482420185</v>
      </c>
      <c r="E503" s="5">
        <f t="shared" si="14"/>
        <v>6.9249073377997021</v>
      </c>
      <c r="F503" s="5">
        <f t="shared" si="15"/>
        <v>-8.5511800782365199E-3</v>
      </c>
      <c r="G503" s="5">
        <f t="shared" si="15"/>
        <v>-2.3564075704776144E-3</v>
      </c>
    </row>
    <row r="504" spans="1:7" x14ac:dyDescent="0.25">
      <c r="A504" s="12">
        <v>45238</v>
      </c>
      <c r="B504" s="13">
        <v>957.91</v>
      </c>
      <c r="C504" s="13">
        <v>1010.3</v>
      </c>
      <c r="D504" s="5">
        <f t="shared" si="14"/>
        <v>6.8647538278374345</v>
      </c>
      <c r="E504" s="5">
        <f t="shared" si="14"/>
        <v>6.9180025954336868</v>
      </c>
      <c r="F504" s="5">
        <f t="shared" si="15"/>
        <v>-2.8667204045840222E-3</v>
      </c>
      <c r="G504" s="5">
        <f t="shared" si="15"/>
        <v>-6.9047423660153484E-3</v>
      </c>
    </row>
    <row r="505" spans="1:7" x14ac:dyDescent="0.25">
      <c r="A505" s="12">
        <v>45239</v>
      </c>
      <c r="B505" s="13">
        <v>956.25</v>
      </c>
      <c r="C505" s="13">
        <v>1001.6</v>
      </c>
      <c r="D505" s="5">
        <f t="shared" si="14"/>
        <v>6.8630193851407455</v>
      </c>
      <c r="E505" s="5">
        <f t="shared" si="14"/>
        <v>6.909354000345834</v>
      </c>
      <c r="F505" s="5">
        <f t="shared" si="15"/>
        <v>-1.734442696688987E-3</v>
      </c>
      <c r="G505" s="5">
        <f t="shared" si="15"/>
        <v>-8.6485950878527618E-3</v>
      </c>
    </row>
    <row r="506" spans="1:7" x14ac:dyDescent="0.25">
      <c r="A506" s="12">
        <v>45240</v>
      </c>
      <c r="B506" s="13">
        <v>948.32</v>
      </c>
      <c r="C506" s="13">
        <v>1009.1</v>
      </c>
      <c r="D506" s="5">
        <f t="shared" si="14"/>
        <v>6.8546919980395282</v>
      </c>
      <c r="E506" s="5">
        <f t="shared" si="14"/>
        <v>6.9168141234704832</v>
      </c>
      <c r="F506" s="5">
        <f t="shared" si="15"/>
        <v>-8.3273871012172762E-3</v>
      </c>
      <c r="G506" s="5">
        <f t="shared" si="15"/>
        <v>7.460123124649165E-3</v>
      </c>
    </row>
    <row r="507" spans="1:7" x14ac:dyDescent="0.25">
      <c r="A507" s="12">
        <v>45243</v>
      </c>
      <c r="B507" s="13">
        <v>952.27</v>
      </c>
      <c r="C507" s="13">
        <v>1009.6</v>
      </c>
      <c r="D507" s="5">
        <f t="shared" si="14"/>
        <v>6.8588486080260527</v>
      </c>
      <c r="E507" s="5">
        <f t="shared" si="14"/>
        <v>6.9173094917869484</v>
      </c>
      <c r="F507" s="5">
        <f t="shared" si="15"/>
        <v>4.156609986524451E-3</v>
      </c>
      <c r="G507" s="5">
        <f t="shared" si="15"/>
        <v>4.9536831646523893E-4</v>
      </c>
    </row>
    <row r="508" spans="1:7" x14ac:dyDescent="0.25">
      <c r="A508" s="12">
        <v>45244</v>
      </c>
      <c r="B508" s="13">
        <v>959.12</v>
      </c>
      <c r="C508" s="13">
        <v>1031</v>
      </c>
      <c r="D508" s="5">
        <f t="shared" si="14"/>
        <v>6.8660161973993983</v>
      </c>
      <c r="E508" s="5">
        <f t="shared" si="14"/>
        <v>6.9382844840169602</v>
      </c>
      <c r="F508" s="5">
        <f t="shared" si="15"/>
        <v>7.1675893733456064E-3</v>
      </c>
      <c r="G508" s="5">
        <f t="shared" si="15"/>
        <v>2.0974992230011757E-2</v>
      </c>
    </row>
    <row r="509" spans="1:7" x14ac:dyDescent="0.25">
      <c r="A509" s="12">
        <v>45245</v>
      </c>
      <c r="B509" s="13">
        <v>983.51</v>
      </c>
      <c r="C509" s="13">
        <v>1042</v>
      </c>
      <c r="D509" s="5">
        <f t="shared" si="14"/>
        <v>6.8911278055455973</v>
      </c>
      <c r="E509" s="5">
        <f t="shared" si="14"/>
        <v>6.9488972223133123</v>
      </c>
      <c r="F509" s="5">
        <f t="shared" si="15"/>
        <v>2.511160814619906E-2</v>
      </c>
      <c r="G509" s="5">
        <f t="shared" si="15"/>
        <v>1.061273829635212E-2</v>
      </c>
    </row>
    <row r="510" spans="1:7" x14ac:dyDescent="0.25">
      <c r="A510" s="12">
        <v>45246</v>
      </c>
      <c r="B510" s="13">
        <v>982.25</v>
      </c>
      <c r="C510" s="13">
        <v>1029.5</v>
      </c>
      <c r="D510" s="5">
        <f t="shared" si="14"/>
        <v>6.8898458584385693</v>
      </c>
      <c r="E510" s="5">
        <f t="shared" si="14"/>
        <v>6.9368285264678438</v>
      </c>
      <c r="F510" s="5">
        <f t="shared" si="15"/>
        <v>-1.2819471070280031E-3</v>
      </c>
      <c r="G510" s="5">
        <f t="shared" si="15"/>
        <v>-1.2068695845468547E-2</v>
      </c>
    </row>
    <row r="511" spans="1:7" x14ac:dyDescent="0.25">
      <c r="A511" s="12">
        <v>45247</v>
      </c>
      <c r="B511" s="13">
        <v>976.52</v>
      </c>
      <c r="C511" s="13">
        <v>1031.2</v>
      </c>
      <c r="D511" s="5">
        <f t="shared" si="14"/>
        <v>6.8839952314177983</v>
      </c>
      <c r="E511" s="5">
        <f t="shared" si="14"/>
        <v>6.9384784516249773</v>
      </c>
      <c r="F511" s="5">
        <f t="shared" si="15"/>
        <v>-5.8506270207709932E-3</v>
      </c>
      <c r="G511" s="5">
        <f t="shared" si="15"/>
        <v>1.6499251571335805E-3</v>
      </c>
    </row>
    <row r="512" spans="1:7" x14ac:dyDescent="0.25">
      <c r="A512" s="12">
        <v>45250</v>
      </c>
      <c r="B512" s="13">
        <v>985.41</v>
      </c>
      <c r="C512" s="13">
        <v>1043.9000000000001</v>
      </c>
      <c r="D512" s="5">
        <f t="shared" si="14"/>
        <v>6.8930577982215526</v>
      </c>
      <c r="E512" s="5">
        <f t="shared" si="14"/>
        <v>6.9507189784142529</v>
      </c>
      <c r="F512" s="5">
        <f t="shared" si="15"/>
        <v>9.0625668037542795E-3</v>
      </c>
      <c r="G512" s="5">
        <f t="shared" si="15"/>
        <v>1.2240526789275563E-2</v>
      </c>
    </row>
    <row r="513" spans="1:7" x14ac:dyDescent="0.25">
      <c r="A513" s="12">
        <v>45251</v>
      </c>
      <c r="B513" s="13">
        <v>988.47</v>
      </c>
      <c r="C513" s="13">
        <v>1035.9000000000001</v>
      </c>
      <c r="D513" s="5">
        <f t="shared" si="14"/>
        <v>6.896158293136474</v>
      </c>
      <c r="E513" s="5">
        <f t="shared" si="14"/>
        <v>6.943025893064056</v>
      </c>
      <c r="F513" s="5">
        <f t="shared" si="15"/>
        <v>3.1004949149213701E-3</v>
      </c>
      <c r="G513" s="5">
        <f t="shared" si="15"/>
        <v>-7.6930853501968599E-3</v>
      </c>
    </row>
    <row r="514" spans="1:7" x14ac:dyDescent="0.25">
      <c r="A514" s="12">
        <v>45252</v>
      </c>
      <c r="B514" s="13">
        <v>983.6</v>
      </c>
      <c r="C514" s="13">
        <v>1036.2</v>
      </c>
      <c r="D514" s="5">
        <f t="shared" si="14"/>
        <v>6.8912193103420378</v>
      </c>
      <c r="E514" s="5">
        <f t="shared" si="14"/>
        <v>6.9433154543806879</v>
      </c>
      <c r="F514" s="5">
        <f t="shared" si="15"/>
        <v>-4.9389827944361642E-3</v>
      </c>
      <c r="G514" s="5">
        <f t="shared" si="15"/>
        <v>2.895613166318256E-4</v>
      </c>
    </row>
    <row r="515" spans="1:7" x14ac:dyDescent="0.25">
      <c r="A515" s="12">
        <v>45253</v>
      </c>
      <c r="B515" s="13">
        <v>988.08</v>
      </c>
      <c r="C515" s="13">
        <v>1036.2</v>
      </c>
      <c r="D515" s="5">
        <f t="shared" si="14"/>
        <v>6.895763666129759</v>
      </c>
      <c r="E515" s="5">
        <f t="shared" si="14"/>
        <v>6.9433154543806879</v>
      </c>
      <c r="F515" s="5">
        <f t="shared" si="15"/>
        <v>4.544355787721166E-3</v>
      </c>
      <c r="G515" s="5">
        <f t="shared" si="15"/>
        <v>0</v>
      </c>
    </row>
    <row r="516" spans="1:7" x14ac:dyDescent="0.25">
      <c r="A516" s="12">
        <v>45254</v>
      </c>
      <c r="B516" s="13">
        <v>980.33</v>
      </c>
      <c r="C516" s="13">
        <v>1036.0999999999999</v>
      </c>
      <c r="D516" s="5">
        <f t="shared" ref="D516:E579" si="16">LN(B516)</f>
        <v>6.8878892496760926</v>
      </c>
      <c r="E516" s="5">
        <f t="shared" si="16"/>
        <v>6.9432189432577056</v>
      </c>
      <c r="F516" s="5">
        <f t="shared" ref="F516:G579" si="17">D516-D515</f>
        <v>-7.8744164536663774E-3</v>
      </c>
      <c r="G516" s="5">
        <f t="shared" si="17"/>
        <v>-9.6511122982256836E-5</v>
      </c>
    </row>
    <row r="517" spans="1:7" x14ac:dyDescent="0.25">
      <c r="A517" s="12">
        <v>45257</v>
      </c>
      <c r="B517" s="13">
        <v>977.54</v>
      </c>
      <c r="C517" s="13">
        <v>1031.0999999999999</v>
      </c>
      <c r="D517" s="5">
        <f t="shared" si="16"/>
        <v>6.8850392117384036</v>
      </c>
      <c r="E517" s="5">
        <f t="shared" si="16"/>
        <v>6.9383814725238979</v>
      </c>
      <c r="F517" s="5">
        <f t="shared" si="17"/>
        <v>-2.8500379376890095E-3</v>
      </c>
      <c r="G517" s="5">
        <f t="shared" si="17"/>
        <v>-4.8374707338076917E-3</v>
      </c>
    </row>
    <row r="518" spans="1:7" x14ac:dyDescent="0.25">
      <c r="A518" s="12">
        <v>45258</v>
      </c>
      <c r="B518" s="13">
        <v>985.47</v>
      </c>
      <c r="C518" s="13">
        <v>1038.9000000000001</v>
      </c>
      <c r="D518" s="5">
        <f t="shared" si="16"/>
        <v>6.8931186847291217</v>
      </c>
      <c r="E518" s="5">
        <f t="shared" si="16"/>
        <v>6.945917740076486</v>
      </c>
      <c r="F518" s="5">
        <f t="shared" si="17"/>
        <v>8.0794729907180951E-3</v>
      </c>
      <c r="G518" s="5">
        <f t="shared" si="17"/>
        <v>7.5362675525880718E-3</v>
      </c>
    </row>
    <row r="519" spans="1:7" x14ac:dyDescent="0.25">
      <c r="A519" s="12">
        <v>45259</v>
      </c>
      <c r="B519" s="13">
        <v>983.04</v>
      </c>
      <c r="C519" s="13">
        <v>1028.5999999999999</v>
      </c>
      <c r="D519" s="5">
        <f t="shared" si="16"/>
        <v>6.8906498110791983</v>
      </c>
      <c r="E519" s="5">
        <f t="shared" si="16"/>
        <v>6.9359539333408158</v>
      </c>
      <c r="F519" s="5">
        <f t="shared" si="17"/>
        <v>-2.4688736499234309E-3</v>
      </c>
      <c r="G519" s="5">
        <f t="shared" si="17"/>
        <v>-9.9638067356702109E-3</v>
      </c>
    </row>
    <row r="520" spans="1:7" x14ac:dyDescent="0.25">
      <c r="A520" s="12">
        <v>45260</v>
      </c>
      <c r="B520" s="13">
        <v>987.1</v>
      </c>
      <c r="C520" s="13">
        <v>1031</v>
      </c>
      <c r="D520" s="5">
        <f t="shared" si="16"/>
        <v>6.8947713514238425</v>
      </c>
      <c r="E520" s="5">
        <f t="shared" si="16"/>
        <v>6.9382844840169602</v>
      </c>
      <c r="F520" s="5">
        <f t="shared" si="17"/>
        <v>4.1215403446441812E-3</v>
      </c>
      <c r="G520" s="5">
        <f t="shared" si="17"/>
        <v>2.330550676144405E-3</v>
      </c>
    </row>
    <row r="521" spans="1:7" x14ac:dyDescent="0.25">
      <c r="A521" s="12">
        <v>45261</v>
      </c>
      <c r="B521" s="13">
        <v>982.14</v>
      </c>
      <c r="C521" s="13">
        <v>1033.5999999999999</v>
      </c>
      <c r="D521" s="5">
        <f t="shared" si="16"/>
        <v>6.8897338643843185</v>
      </c>
      <c r="E521" s="5">
        <f t="shared" si="16"/>
        <v>6.9408031330283375</v>
      </c>
      <c r="F521" s="5">
        <f t="shared" si="17"/>
        <v>-5.0374870395240023E-3</v>
      </c>
      <c r="G521" s="5">
        <f t="shared" si="17"/>
        <v>2.5186490113773274E-3</v>
      </c>
    </row>
    <row r="522" spans="1:7" x14ac:dyDescent="0.25">
      <c r="A522" s="12">
        <v>45264</v>
      </c>
      <c r="B522" s="13">
        <v>980.24</v>
      </c>
      <c r="C522" s="13">
        <v>1022.3</v>
      </c>
      <c r="D522" s="5">
        <f t="shared" si="16"/>
        <v>6.887797439641191</v>
      </c>
      <c r="E522" s="5">
        <f t="shared" si="16"/>
        <v>6.9298102697629682</v>
      </c>
      <c r="F522" s="5">
        <f t="shared" si="17"/>
        <v>-1.9364247431274961E-3</v>
      </c>
      <c r="G522" s="5">
        <f t="shared" si="17"/>
        <v>-1.0992863265369301E-2</v>
      </c>
    </row>
    <row r="523" spans="1:7" x14ac:dyDescent="0.25">
      <c r="A523" s="12">
        <v>45265</v>
      </c>
      <c r="B523" s="13">
        <v>972.03</v>
      </c>
      <c r="C523" s="13">
        <v>1015.5</v>
      </c>
      <c r="D523" s="5">
        <f t="shared" si="16"/>
        <v>6.87938666818168</v>
      </c>
      <c r="E523" s="5">
        <f t="shared" si="16"/>
        <v>6.9231363810204396</v>
      </c>
      <c r="F523" s="5">
        <f t="shared" si="17"/>
        <v>-8.4107714595109684E-3</v>
      </c>
      <c r="G523" s="5">
        <f t="shared" si="17"/>
        <v>-6.6738887425286109E-3</v>
      </c>
    </row>
    <row r="524" spans="1:7" x14ac:dyDescent="0.25">
      <c r="A524" s="12">
        <v>45266</v>
      </c>
      <c r="B524" s="13">
        <v>974.98</v>
      </c>
      <c r="C524" s="13">
        <v>1014.2</v>
      </c>
      <c r="D524" s="5">
        <f t="shared" si="16"/>
        <v>6.8824169579669432</v>
      </c>
      <c r="E524" s="5">
        <f t="shared" si="16"/>
        <v>6.9218554033609188</v>
      </c>
      <c r="F524" s="5">
        <f t="shared" si="17"/>
        <v>3.0302897852632071E-3</v>
      </c>
      <c r="G524" s="5">
        <f t="shared" si="17"/>
        <v>-1.2809776595208433E-3</v>
      </c>
    </row>
    <row r="525" spans="1:7" x14ac:dyDescent="0.25">
      <c r="A525" s="12">
        <v>45267</v>
      </c>
      <c r="B525" s="13">
        <v>970.12</v>
      </c>
      <c r="C525" s="13">
        <v>1018.5</v>
      </c>
      <c r="D525" s="5">
        <f t="shared" si="16"/>
        <v>6.8774197751860182</v>
      </c>
      <c r="E525" s="5">
        <f t="shared" si="16"/>
        <v>6.9260862356668609</v>
      </c>
      <c r="F525" s="5">
        <f t="shared" si="17"/>
        <v>-4.9971827809249802E-3</v>
      </c>
      <c r="G525" s="5">
        <f t="shared" si="17"/>
        <v>4.2308323059421227E-3</v>
      </c>
    </row>
    <row r="526" spans="1:7" x14ac:dyDescent="0.25">
      <c r="A526" s="12">
        <v>45268</v>
      </c>
      <c r="B526" s="13">
        <v>975.01</v>
      </c>
      <c r="C526" s="13">
        <v>1018.5</v>
      </c>
      <c r="D526" s="5">
        <f t="shared" si="16"/>
        <v>6.8824477273555074</v>
      </c>
      <c r="E526" s="5">
        <f t="shared" si="16"/>
        <v>6.9260862356668609</v>
      </c>
      <c r="F526" s="5">
        <f t="shared" si="17"/>
        <v>5.0279521694891471E-3</v>
      </c>
      <c r="G526" s="5">
        <f t="shared" si="17"/>
        <v>0</v>
      </c>
    </row>
    <row r="527" spans="1:7" x14ac:dyDescent="0.25">
      <c r="A527" s="12">
        <v>45271</v>
      </c>
      <c r="B527" s="13">
        <v>973.23</v>
      </c>
      <c r="C527" s="13">
        <v>1024.5999999999999</v>
      </c>
      <c r="D527" s="5">
        <f t="shared" si="16"/>
        <v>6.8806204365748194</v>
      </c>
      <c r="E527" s="5">
        <f t="shared" si="16"/>
        <v>6.9320575715051023</v>
      </c>
      <c r="F527" s="5">
        <f t="shared" si="17"/>
        <v>-1.8272907806879957E-3</v>
      </c>
      <c r="G527" s="5">
        <f t="shared" si="17"/>
        <v>5.9713358382413873E-3</v>
      </c>
    </row>
    <row r="528" spans="1:7" x14ac:dyDescent="0.25">
      <c r="A528" s="12">
        <v>45272</v>
      </c>
      <c r="B528" s="13">
        <v>976.58</v>
      </c>
      <c r="C528" s="13">
        <v>1024.2</v>
      </c>
      <c r="D528" s="5">
        <f t="shared" si="16"/>
        <v>6.8840566722042595</v>
      </c>
      <c r="E528" s="5">
        <f t="shared" si="16"/>
        <v>6.9316670990284504</v>
      </c>
      <c r="F528" s="5">
        <f t="shared" si="17"/>
        <v>3.4362356294401764E-3</v>
      </c>
      <c r="G528" s="5">
        <f t="shared" si="17"/>
        <v>-3.904724766519152E-4</v>
      </c>
    </row>
    <row r="529" spans="1:7" x14ac:dyDescent="0.25">
      <c r="A529" s="12">
        <v>45273</v>
      </c>
      <c r="B529" s="13">
        <v>973.47</v>
      </c>
      <c r="C529" s="13">
        <v>1033.0999999999999</v>
      </c>
      <c r="D529" s="5">
        <f t="shared" si="16"/>
        <v>6.880867007696426</v>
      </c>
      <c r="E529" s="5">
        <f t="shared" si="16"/>
        <v>6.9403192698553999</v>
      </c>
      <c r="F529" s="5">
        <f t="shared" si="17"/>
        <v>-3.1896645078335339E-3</v>
      </c>
      <c r="G529" s="5">
        <f t="shared" si="17"/>
        <v>8.652170826949579E-3</v>
      </c>
    </row>
    <row r="530" spans="1:7" x14ac:dyDescent="0.25">
      <c r="A530" s="12">
        <v>45274</v>
      </c>
      <c r="B530" s="13">
        <v>992.51</v>
      </c>
      <c r="C530" s="13">
        <v>1042</v>
      </c>
      <c r="D530" s="5">
        <f t="shared" si="16"/>
        <v>6.900237088077338</v>
      </c>
      <c r="E530" s="5">
        <f t="shared" si="16"/>
        <v>6.9488972223133123</v>
      </c>
      <c r="F530" s="5">
        <f t="shared" si="17"/>
        <v>1.9370080380912036E-2</v>
      </c>
      <c r="G530" s="5">
        <f t="shared" si="17"/>
        <v>8.5779524579123745E-3</v>
      </c>
    </row>
    <row r="531" spans="1:7" x14ac:dyDescent="0.25">
      <c r="A531" s="12">
        <v>45275</v>
      </c>
      <c r="B531" s="13">
        <v>1000.89</v>
      </c>
      <c r="C531" s="13">
        <v>1037</v>
      </c>
      <c r="D531" s="5">
        <f t="shared" si="16"/>
        <v>6.9086448831669696</v>
      </c>
      <c r="E531" s="5">
        <f t="shared" si="16"/>
        <v>6.9440872082295275</v>
      </c>
      <c r="F531" s="5">
        <f t="shared" si="17"/>
        <v>8.4077950896315201E-3</v>
      </c>
      <c r="G531" s="5">
        <f t="shared" si="17"/>
        <v>-4.810014083784786E-3</v>
      </c>
    </row>
    <row r="532" spans="1:7" x14ac:dyDescent="0.25">
      <c r="A532" s="12">
        <v>45278</v>
      </c>
      <c r="B532" s="13">
        <v>997.91</v>
      </c>
      <c r="C532" s="13">
        <v>1037.0999999999999</v>
      </c>
      <c r="D532" s="5">
        <f t="shared" si="16"/>
        <v>6.9056630918842492</v>
      </c>
      <c r="E532" s="5">
        <f t="shared" si="16"/>
        <v>6.9441836355956887</v>
      </c>
      <c r="F532" s="5">
        <f t="shared" si="17"/>
        <v>-2.9817912827203585E-3</v>
      </c>
      <c r="G532" s="5">
        <f t="shared" si="17"/>
        <v>9.6427366161222494E-5</v>
      </c>
    </row>
    <row r="533" spans="1:7" x14ac:dyDescent="0.25">
      <c r="A533" s="12">
        <v>45279</v>
      </c>
      <c r="B533" s="13">
        <v>998.6</v>
      </c>
      <c r="C533" s="13">
        <v>1045.7</v>
      </c>
      <c r="D533" s="5">
        <f t="shared" si="16"/>
        <v>6.9063542980665087</v>
      </c>
      <c r="E533" s="5">
        <f t="shared" si="16"/>
        <v>6.9524417966045435</v>
      </c>
      <c r="F533" s="5">
        <f t="shared" si="17"/>
        <v>6.9120618225948505E-4</v>
      </c>
      <c r="G533" s="5">
        <f t="shared" si="17"/>
        <v>8.2581610088547919E-3</v>
      </c>
    </row>
    <row r="534" spans="1:7" x14ac:dyDescent="0.25">
      <c r="A534" s="12">
        <v>45280</v>
      </c>
      <c r="B534" s="13">
        <v>997.46</v>
      </c>
      <c r="C534" s="13">
        <v>1025.5</v>
      </c>
      <c r="D534" s="5">
        <f t="shared" si="16"/>
        <v>6.9052120477093553</v>
      </c>
      <c r="E534" s="5">
        <f t="shared" si="16"/>
        <v>6.9329355775124357</v>
      </c>
      <c r="F534" s="5">
        <f t="shared" si="17"/>
        <v>-1.1422503571534293E-3</v>
      </c>
      <c r="G534" s="5">
        <f t="shared" si="17"/>
        <v>-1.9506219092107813E-2</v>
      </c>
    </row>
    <row r="535" spans="1:7" x14ac:dyDescent="0.25">
      <c r="A535" s="12">
        <v>45281</v>
      </c>
      <c r="B535" s="13">
        <v>998.32</v>
      </c>
      <c r="C535" s="13">
        <v>1042.7</v>
      </c>
      <c r="D535" s="5">
        <f t="shared" si="16"/>
        <v>6.9060738661995993</v>
      </c>
      <c r="E535" s="5">
        <f t="shared" si="16"/>
        <v>6.9495687817955476</v>
      </c>
      <c r="F535" s="5">
        <f t="shared" si="17"/>
        <v>8.6181849024402624E-4</v>
      </c>
      <c r="G535" s="5">
        <f t="shared" si="17"/>
        <v>1.663320428311188E-2</v>
      </c>
    </row>
    <row r="536" spans="1:7" x14ac:dyDescent="0.25">
      <c r="A536" s="12">
        <v>45282</v>
      </c>
      <c r="B536" s="13">
        <v>992.28</v>
      </c>
      <c r="C536" s="13">
        <v>1037</v>
      </c>
      <c r="D536" s="5">
        <f t="shared" si="16"/>
        <v>6.9000053255220752</v>
      </c>
      <c r="E536" s="5">
        <f t="shared" si="16"/>
        <v>6.9440872082295275</v>
      </c>
      <c r="F536" s="5">
        <f t="shared" si="17"/>
        <v>-6.068540677524048E-3</v>
      </c>
      <c r="G536" s="5">
        <f t="shared" si="17"/>
        <v>-5.4815735660200815E-3</v>
      </c>
    </row>
    <row r="537" spans="1:7" x14ac:dyDescent="0.25">
      <c r="A537" s="12">
        <v>45285</v>
      </c>
      <c r="B537" s="13">
        <v>993.25</v>
      </c>
      <c r="C537" s="17">
        <f>C536</f>
        <v>1037</v>
      </c>
      <c r="D537" s="5">
        <f t="shared" si="16"/>
        <v>6.900982394694708</v>
      </c>
      <c r="E537" s="5">
        <f t="shared" si="16"/>
        <v>6.9440872082295275</v>
      </c>
      <c r="F537" s="5">
        <f t="shared" si="17"/>
        <v>9.7706917263273851E-4</v>
      </c>
      <c r="G537" s="5">
        <f t="shared" si="17"/>
        <v>0</v>
      </c>
    </row>
    <row r="538" spans="1:7" x14ac:dyDescent="0.25">
      <c r="A538" s="12">
        <v>45286</v>
      </c>
      <c r="B538" s="13">
        <v>998.53</v>
      </c>
      <c r="C538" s="13">
        <v>1045.2</v>
      </c>
      <c r="D538" s="5">
        <f t="shared" si="16"/>
        <v>6.906284197472127</v>
      </c>
      <c r="E538" s="5">
        <f t="shared" si="16"/>
        <v>6.9519635336464578</v>
      </c>
      <c r="F538" s="5">
        <f t="shared" si="17"/>
        <v>5.3018027774189846E-3</v>
      </c>
      <c r="G538" s="5">
        <f t="shared" si="17"/>
        <v>7.8763254169302854E-3</v>
      </c>
    </row>
    <row r="539" spans="1:7" x14ac:dyDescent="0.25">
      <c r="A539" s="12">
        <v>45287</v>
      </c>
      <c r="B539" s="13">
        <v>1009.84</v>
      </c>
      <c r="C539" s="13">
        <v>1050.3</v>
      </c>
      <c r="D539" s="5">
        <f t="shared" si="16"/>
        <v>6.9175471814446059</v>
      </c>
      <c r="E539" s="5">
        <f t="shared" si="16"/>
        <v>6.95683111662873</v>
      </c>
      <c r="F539" s="5">
        <f t="shared" si="17"/>
        <v>1.1262983972478935E-2</v>
      </c>
      <c r="G539" s="5">
        <f t="shared" si="17"/>
        <v>4.8675829822721894E-3</v>
      </c>
    </row>
    <row r="540" spans="1:7" x14ac:dyDescent="0.25">
      <c r="A540" s="12">
        <v>45288</v>
      </c>
      <c r="B540" s="13">
        <v>1022.89</v>
      </c>
      <c r="C540" s="13">
        <v>1058.7</v>
      </c>
      <c r="D540" s="5">
        <f t="shared" si="16"/>
        <v>6.9303872332884762</v>
      </c>
      <c r="E540" s="5">
        <f t="shared" si="16"/>
        <v>6.9647970193493345</v>
      </c>
      <c r="F540" s="5">
        <f t="shared" si="17"/>
        <v>1.284005184387027E-2</v>
      </c>
      <c r="G540" s="5">
        <f t="shared" si="17"/>
        <v>7.9659027206044897E-3</v>
      </c>
    </row>
    <row r="541" spans="1:7" x14ac:dyDescent="0.25">
      <c r="A541" s="12">
        <v>45289</v>
      </c>
      <c r="B541" s="13">
        <v>1023.74</v>
      </c>
      <c r="C541" s="13">
        <v>1059.8</v>
      </c>
      <c r="D541" s="5">
        <f t="shared" si="16"/>
        <v>6.9312178671098037</v>
      </c>
      <c r="E541" s="5">
        <f t="shared" si="16"/>
        <v>6.9658354900586614</v>
      </c>
      <c r="F541" s="5">
        <f t="shared" si="17"/>
        <v>8.3063382132753105E-4</v>
      </c>
      <c r="G541" s="5">
        <f t="shared" si="17"/>
        <v>1.0384707093269441E-3</v>
      </c>
    </row>
    <row r="542" spans="1:7" x14ac:dyDescent="0.25">
      <c r="A542" s="12">
        <v>45292</v>
      </c>
      <c r="B542" s="13">
        <v>1024.67</v>
      </c>
      <c r="C542" s="17">
        <f>C541</f>
        <v>1059.8</v>
      </c>
      <c r="D542" s="5">
        <f t="shared" si="16"/>
        <v>6.9321258885155759</v>
      </c>
      <c r="E542" s="5">
        <f t="shared" si="16"/>
        <v>6.9658354900586614</v>
      </c>
      <c r="F542" s="5">
        <f t="shared" si="17"/>
        <v>9.0802140577217472E-4</v>
      </c>
      <c r="G542" s="5">
        <f t="shared" si="17"/>
        <v>0</v>
      </c>
    </row>
    <row r="543" spans="1:7" x14ac:dyDescent="0.25">
      <c r="A543" s="12">
        <v>45293</v>
      </c>
      <c r="B543" s="13">
        <v>1016.38</v>
      </c>
      <c r="C543" s="13">
        <v>1046.2</v>
      </c>
      <c r="D543" s="5">
        <f t="shared" si="16"/>
        <v>6.9240025739600037</v>
      </c>
      <c r="E543" s="5">
        <f t="shared" si="16"/>
        <v>6.9529198309365103</v>
      </c>
      <c r="F543" s="5">
        <f t="shared" si="17"/>
        <v>-8.1233145555721364E-3</v>
      </c>
      <c r="G543" s="5">
        <f t="shared" si="17"/>
        <v>-1.2915659122151091E-2</v>
      </c>
    </row>
    <row r="544" spans="1:7" x14ac:dyDescent="0.25">
      <c r="A544" s="12">
        <v>45294</v>
      </c>
      <c r="B544" s="13">
        <v>1003.13</v>
      </c>
      <c r="C544" s="13">
        <v>1042.2</v>
      </c>
      <c r="D544" s="5">
        <f t="shared" si="16"/>
        <v>6.9108803907296341</v>
      </c>
      <c r="E544" s="5">
        <f t="shared" si="16"/>
        <v>6.9490891424751142</v>
      </c>
      <c r="F544" s="5">
        <f t="shared" si="17"/>
        <v>-1.3122183230369622E-2</v>
      </c>
      <c r="G544" s="5">
        <f t="shared" si="17"/>
        <v>-3.8306884613961145E-3</v>
      </c>
    </row>
    <row r="545" spans="1:7" x14ac:dyDescent="0.25">
      <c r="A545" s="12">
        <v>45295</v>
      </c>
      <c r="B545" s="13">
        <v>1004.26</v>
      </c>
      <c r="C545" s="13">
        <v>1038.8</v>
      </c>
      <c r="D545" s="5">
        <f t="shared" si="16"/>
        <v>6.9120062308696744</v>
      </c>
      <c r="E545" s="5">
        <f t="shared" si="16"/>
        <v>6.9458214797885933</v>
      </c>
      <c r="F545" s="5">
        <f t="shared" si="17"/>
        <v>1.1258401400402462E-3</v>
      </c>
      <c r="G545" s="5">
        <f t="shared" si="17"/>
        <v>-3.2676626865209002E-3</v>
      </c>
    </row>
    <row r="546" spans="1:7" x14ac:dyDescent="0.25">
      <c r="A546" s="12">
        <v>45296</v>
      </c>
      <c r="B546" s="13">
        <v>1002.08</v>
      </c>
      <c r="C546" s="13">
        <v>1039.4000000000001</v>
      </c>
      <c r="D546" s="5">
        <f t="shared" si="16"/>
        <v>6.9098331187771027</v>
      </c>
      <c r="E546" s="5">
        <f t="shared" si="16"/>
        <v>6.9463989025743418</v>
      </c>
      <c r="F546" s="5">
        <f t="shared" si="17"/>
        <v>-2.1731120925716496E-3</v>
      </c>
      <c r="G546" s="5">
        <f t="shared" si="17"/>
        <v>5.774227857484604E-4</v>
      </c>
    </row>
    <row r="547" spans="1:7" x14ac:dyDescent="0.25">
      <c r="A547" s="12">
        <v>45299</v>
      </c>
      <c r="B547" s="13">
        <v>996.76</v>
      </c>
      <c r="C547" s="13">
        <v>1041.2</v>
      </c>
      <c r="D547" s="5">
        <f t="shared" si="16"/>
        <v>6.9045100188171071</v>
      </c>
      <c r="E547" s="5">
        <f t="shared" si="16"/>
        <v>6.9481291731204102</v>
      </c>
      <c r="F547" s="5">
        <f t="shared" si="17"/>
        <v>-5.3230999599955808E-3</v>
      </c>
      <c r="G547" s="5">
        <f t="shared" si="17"/>
        <v>1.7302705460684464E-3</v>
      </c>
    </row>
    <row r="548" spans="1:7" x14ac:dyDescent="0.25">
      <c r="A548" s="12">
        <v>45300</v>
      </c>
      <c r="B548" s="13">
        <v>993</v>
      </c>
      <c r="C548" s="13">
        <v>1027.5</v>
      </c>
      <c r="D548" s="5">
        <f t="shared" si="16"/>
        <v>6.9007306640451729</v>
      </c>
      <c r="E548" s="5">
        <f t="shared" si="16"/>
        <v>6.9348839463703893</v>
      </c>
      <c r="F548" s="5">
        <f t="shared" si="17"/>
        <v>-3.7793547719342513E-3</v>
      </c>
      <c r="G548" s="5">
        <f t="shared" si="17"/>
        <v>-1.3245226750020933E-2</v>
      </c>
    </row>
    <row r="549" spans="1:7" x14ac:dyDescent="0.25">
      <c r="A549" s="12">
        <v>45301</v>
      </c>
      <c r="B549" s="13">
        <v>988.97</v>
      </c>
      <c r="C549" s="13">
        <v>1024.5</v>
      </c>
      <c r="D549" s="5">
        <f t="shared" si="16"/>
        <v>6.8966639974922632</v>
      </c>
      <c r="E549" s="5">
        <f t="shared" si="16"/>
        <v>6.9319599676789547</v>
      </c>
      <c r="F549" s="5">
        <f t="shared" si="17"/>
        <v>-4.0666665529096591E-3</v>
      </c>
      <c r="G549" s="5">
        <f t="shared" si="17"/>
        <v>-2.92397869143457E-3</v>
      </c>
    </row>
    <row r="550" spans="1:7" x14ac:dyDescent="0.25">
      <c r="A550" s="12">
        <v>45302</v>
      </c>
      <c r="B550" s="13">
        <v>994.75</v>
      </c>
      <c r="C550" s="13">
        <v>1028.4000000000001</v>
      </c>
      <c r="D550" s="5">
        <f t="shared" si="16"/>
        <v>6.9024914493070382</v>
      </c>
      <c r="E550" s="5">
        <f t="shared" si="16"/>
        <v>6.9357594753917349</v>
      </c>
      <c r="F550" s="5">
        <f t="shared" si="17"/>
        <v>5.8274518147749532E-3</v>
      </c>
      <c r="G550" s="5">
        <f t="shared" si="17"/>
        <v>3.799507712780148E-3</v>
      </c>
    </row>
    <row r="551" spans="1:7" x14ac:dyDescent="0.25">
      <c r="A551" s="12">
        <v>45303</v>
      </c>
      <c r="B551" s="13">
        <v>996.3</v>
      </c>
      <c r="C551" s="13">
        <v>1028.5999999999999</v>
      </c>
      <c r="D551" s="5">
        <f t="shared" si="16"/>
        <v>6.9040484170508103</v>
      </c>
      <c r="E551" s="5">
        <f t="shared" si="16"/>
        <v>6.9359539333408158</v>
      </c>
      <c r="F551" s="5">
        <f t="shared" si="17"/>
        <v>1.5569677437721197E-3</v>
      </c>
      <c r="G551" s="5">
        <f t="shared" si="17"/>
        <v>1.9445794908090619E-4</v>
      </c>
    </row>
    <row r="552" spans="1:7" x14ac:dyDescent="0.25">
      <c r="A552" s="12">
        <v>45306</v>
      </c>
      <c r="B552" s="13">
        <v>995.16</v>
      </c>
      <c r="C552" s="13">
        <v>1028.5999999999999</v>
      </c>
      <c r="D552" s="5">
        <f t="shared" si="16"/>
        <v>6.9029035282511124</v>
      </c>
      <c r="E552" s="5">
        <f t="shared" si="16"/>
        <v>6.9359539333408158</v>
      </c>
      <c r="F552" s="5">
        <f t="shared" si="17"/>
        <v>-1.144888799697874E-3</v>
      </c>
      <c r="G552" s="5">
        <f t="shared" si="17"/>
        <v>0</v>
      </c>
    </row>
    <row r="553" spans="1:7" x14ac:dyDescent="0.25">
      <c r="A553" s="12">
        <v>45307</v>
      </c>
      <c r="B553" s="13">
        <v>979.72</v>
      </c>
      <c r="C553" s="13">
        <v>1004.2</v>
      </c>
      <c r="D553" s="5">
        <f t="shared" si="16"/>
        <v>6.887266816554801</v>
      </c>
      <c r="E553" s="5">
        <f t="shared" si="16"/>
        <v>6.9119464836006053</v>
      </c>
      <c r="F553" s="5">
        <f t="shared" si="17"/>
        <v>-1.5636711696311423E-2</v>
      </c>
      <c r="G553" s="5">
        <f t="shared" si="17"/>
        <v>-2.4007449740210518E-2</v>
      </c>
    </row>
    <row r="554" spans="1:7" x14ac:dyDescent="0.25">
      <c r="A554" s="12">
        <v>45308</v>
      </c>
      <c r="B554" s="13">
        <v>958.39</v>
      </c>
      <c r="C554" s="13">
        <v>992.4</v>
      </c>
      <c r="D554" s="5">
        <f t="shared" si="16"/>
        <v>6.8652547932499886</v>
      </c>
      <c r="E554" s="5">
        <f t="shared" si="16"/>
        <v>6.9001262518176461</v>
      </c>
      <c r="F554" s="5">
        <f t="shared" si="17"/>
        <v>-2.2012023304812445E-2</v>
      </c>
      <c r="G554" s="5">
        <f t="shared" si="17"/>
        <v>-1.1820231782959212E-2</v>
      </c>
    </row>
    <row r="555" spans="1:7" x14ac:dyDescent="0.25">
      <c r="A555" s="12">
        <v>45309</v>
      </c>
      <c r="B555" s="13">
        <v>961.34</v>
      </c>
      <c r="C555" s="13">
        <v>1000.1</v>
      </c>
      <c r="D555" s="5">
        <f t="shared" si="16"/>
        <v>6.868328144525444</v>
      </c>
      <c r="E555" s="5">
        <f t="shared" si="16"/>
        <v>6.9078552739824701</v>
      </c>
      <c r="F555" s="5">
        <f t="shared" si="17"/>
        <v>3.0733512754554937E-3</v>
      </c>
      <c r="G555" s="5">
        <f t="shared" si="17"/>
        <v>7.7290221648240731E-3</v>
      </c>
    </row>
    <row r="556" spans="1:7" x14ac:dyDescent="0.25">
      <c r="A556" s="12">
        <v>45310</v>
      </c>
      <c r="B556" s="13">
        <v>970.91</v>
      </c>
      <c r="C556" s="13">
        <v>1011.2</v>
      </c>
      <c r="D556" s="5">
        <f t="shared" si="16"/>
        <v>6.878233776044965</v>
      </c>
      <c r="E556" s="5">
        <f t="shared" si="16"/>
        <v>6.9188930233925934</v>
      </c>
      <c r="F556" s="5">
        <f t="shared" si="17"/>
        <v>9.9056315195209521E-3</v>
      </c>
      <c r="G556" s="5">
        <f t="shared" si="17"/>
        <v>1.1037749410123254E-2</v>
      </c>
    </row>
    <row r="557" spans="1:7" x14ac:dyDescent="0.25">
      <c r="A557" s="12">
        <v>45313</v>
      </c>
      <c r="B557" s="13">
        <v>964.15</v>
      </c>
      <c r="C557" s="13">
        <v>1002.4</v>
      </c>
      <c r="D557" s="5">
        <f t="shared" si="16"/>
        <v>6.8712468841656138</v>
      </c>
      <c r="E557" s="5">
        <f t="shared" si="16"/>
        <v>6.9101524035818587</v>
      </c>
      <c r="F557" s="5">
        <f t="shared" si="17"/>
        <v>-6.986891879351198E-3</v>
      </c>
      <c r="G557" s="5">
        <f t="shared" si="17"/>
        <v>-8.7406198107347066E-3</v>
      </c>
    </row>
    <row r="558" spans="1:7" x14ac:dyDescent="0.25">
      <c r="A558" s="12">
        <v>45314</v>
      </c>
      <c r="B558" s="13">
        <v>969.97</v>
      </c>
      <c r="C558" s="13">
        <v>1011.6</v>
      </c>
      <c r="D558" s="5">
        <f t="shared" si="16"/>
        <v>6.8772651431841014</v>
      </c>
      <c r="E558" s="5">
        <f t="shared" si="16"/>
        <v>6.9192885147958103</v>
      </c>
      <c r="F558" s="5">
        <f t="shared" si="17"/>
        <v>6.0182590184876261E-3</v>
      </c>
      <c r="G558" s="5">
        <f t="shared" si="17"/>
        <v>9.1361112139516365E-3</v>
      </c>
    </row>
    <row r="559" spans="1:7" x14ac:dyDescent="0.25">
      <c r="A559" s="12">
        <v>45315</v>
      </c>
      <c r="B559" s="13">
        <v>982.34</v>
      </c>
      <c r="C559" s="13">
        <v>1022</v>
      </c>
      <c r="D559" s="5">
        <f t="shared" si="16"/>
        <v>6.8899374806091629</v>
      </c>
      <c r="E559" s="5">
        <f t="shared" si="16"/>
        <v>6.9295167707636498</v>
      </c>
      <c r="F559" s="5">
        <f t="shared" si="17"/>
        <v>1.2672337425061464E-2</v>
      </c>
      <c r="G559" s="5">
        <f t="shared" si="17"/>
        <v>1.0228255967839495E-2</v>
      </c>
    </row>
    <row r="560" spans="1:7" x14ac:dyDescent="0.25">
      <c r="A560" s="12">
        <v>45316</v>
      </c>
      <c r="B560" s="13">
        <v>988.3</v>
      </c>
      <c r="C560" s="13">
        <v>1022.3</v>
      </c>
      <c r="D560" s="5">
        <f t="shared" si="16"/>
        <v>6.895986295382138</v>
      </c>
      <c r="E560" s="5">
        <f t="shared" si="16"/>
        <v>6.9298102697629682</v>
      </c>
      <c r="F560" s="5">
        <f t="shared" si="17"/>
        <v>6.0488147729751418E-3</v>
      </c>
      <c r="G560" s="5">
        <f t="shared" si="17"/>
        <v>2.9349899931840895E-4</v>
      </c>
    </row>
    <row r="561" spans="1:7" x14ac:dyDescent="0.25">
      <c r="A561" s="12">
        <v>45317</v>
      </c>
      <c r="B561" s="13">
        <v>985.1</v>
      </c>
      <c r="C561" s="13">
        <v>1023.6</v>
      </c>
      <c r="D561" s="5">
        <f t="shared" si="16"/>
        <v>6.8927431588616335</v>
      </c>
      <c r="E561" s="5">
        <f t="shared" si="16"/>
        <v>6.9310811042856342</v>
      </c>
      <c r="F561" s="5">
        <f t="shared" si="17"/>
        <v>-3.2431365205045637E-3</v>
      </c>
      <c r="G561" s="5">
        <f t="shared" si="17"/>
        <v>1.2708345226659645E-3</v>
      </c>
    </row>
    <row r="562" spans="1:7" x14ac:dyDescent="0.25">
      <c r="A562" s="12">
        <v>45320</v>
      </c>
      <c r="B562" s="13">
        <v>990.18</v>
      </c>
      <c r="C562" s="13">
        <v>1024</v>
      </c>
      <c r="D562" s="5">
        <f t="shared" si="16"/>
        <v>6.8978867447835315</v>
      </c>
      <c r="E562" s="5">
        <f t="shared" si="16"/>
        <v>6.9314718055994531</v>
      </c>
      <c r="F562" s="5">
        <f t="shared" si="17"/>
        <v>5.1435859218980085E-3</v>
      </c>
      <c r="G562" s="5">
        <f t="shared" si="17"/>
        <v>3.907013138189086E-4</v>
      </c>
    </row>
    <row r="563" spans="1:7" x14ac:dyDescent="0.25">
      <c r="A563" s="12">
        <v>45321</v>
      </c>
      <c r="B563" s="13">
        <v>980.59</v>
      </c>
      <c r="C563" s="13">
        <v>1016.5</v>
      </c>
      <c r="D563" s="5">
        <f t="shared" si="16"/>
        <v>6.8881544313270764</v>
      </c>
      <c r="E563" s="5">
        <f t="shared" si="16"/>
        <v>6.9241206330684015</v>
      </c>
      <c r="F563" s="5">
        <f t="shared" si="17"/>
        <v>-9.7323134564550884E-3</v>
      </c>
      <c r="G563" s="5">
        <f t="shared" si="17"/>
        <v>-7.351172531051553E-3</v>
      </c>
    </row>
    <row r="564" spans="1:7" x14ac:dyDescent="0.25">
      <c r="A564" s="12">
        <v>45322</v>
      </c>
      <c r="B564" s="13">
        <v>975.8</v>
      </c>
      <c r="C564" s="13">
        <v>1006.9</v>
      </c>
      <c r="D564" s="5">
        <f t="shared" si="16"/>
        <v>6.8832576473817371</v>
      </c>
      <c r="E564" s="5">
        <f t="shared" si="16"/>
        <v>6.9146315829215688</v>
      </c>
      <c r="F564" s="5">
        <f t="shared" si="17"/>
        <v>-4.8967839453393225E-3</v>
      </c>
      <c r="G564" s="5">
        <f t="shared" si="17"/>
        <v>-9.489050146832767E-3</v>
      </c>
    </row>
    <row r="565" spans="1:7" x14ac:dyDescent="0.25">
      <c r="A565" s="12">
        <v>45323</v>
      </c>
      <c r="B565" s="13">
        <v>982.12</v>
      </c>
      <c r="C565" s="13">
        <v>1014.4</v>
      </c>
      <c r="D565" s="5">
        <f t="shared" si="16"/>
        <v>6.8897135004813723</v>
      </c>
      <c r="E565" s="5">
        <f t="shared" si="16"/>
        <v>6.9220525836829614</v>
      </c>
      <c r="F565" s="5">
        <f t="shared" si="17"/>
        <v>6.4558530996352559E-3</v>
      </c>
      <c r="G565" s="5">
        <f t="shared" si="17"/>
        <v>7.4210007613926265E-3</v>
      </c>
    </row>
    <row r="566" spans="1:7" x14ac:dyDescent="0.25">
      <c r="A566" s="12">
        <v>45324</v>
      </c>
      <c r="B566" s="13">
        <v>988.21</v>
      </c>
      <c r="C566" s="13">
        <v>1017.8</v>
      </c>
      <c r="D566" s="5">
        <f t="shared" si="16"/>
        <v>6.8958952257694754</v>
      </c>
      <c r="E566" s="5">
        <f t="shared" si="16"/>
        <v>6.9253987141547322</v>
      </c>
      <c r="F566" s="5">
        <f t="shared" si="17"/>
        <v>6.1817252881031237E-3</v>
      </c>
      <c r="G566" s="5">
        <f t="shared" si="17"/>
        <v>3.3461304717707918E-3</v>
      </c>
    </row>
    <row r="567" spans="1:7" x14ac:dyDescent="0.25">
      <c r="A567" s="12">
        <v>45327</v>
      </c>
      <c r="B567" s="13">
        <v>983.32</v>
      </c>
      <c r="C567" s="13">
        <v>1020.6</v>
      </c>
      <c r="D567" s="5">
        <f t="shared" si="16"/>
        <v>6.8909346012517938</v>
      </c>
      <c r="E567" s="5">
        <f t="shared" si="16"/>
        <v>6.9281459686298712</v>
      </c>
      <c r="F567" s="5">
        <f t="shared" si="17"/>
        <v>-4.9606245176816444E-3</v>
      </c>
      <c r="G567" s="5">
        <f t="shared" si="17"/>
        <v>2.747254475139016E-3</v>
      </c>
    </row>
    <row r="568" spans="1:7" x14ac:dyDescent="0.25">
      <c r="A568" s="12">
        <v>45328</v>
      </c>
      <c r="B568" s="13">
        <v>999.86</v>
      </c>
      <c r="C568" s="13">
        <v>1042.7</v>
      </c>
      <c r="D568" s="5">
        <f t="shared" si="16"/>
        <v>6.907615269181222</v>
      </c>
      <c r="E568" s="5">
        <f t="shared" si="16"/>
        <v>6.9495687817955476</v>
      </c>
      <c r="F568" s="5">
        <f t="shared" si="17"/>
        <v>1.6680667929428239E-2</v>
      </c>
      <c r="G568" s="5">
        <f t="shared" si="17"/>
        <v>2.1422813165676402E-2</v>
      </c>
    </row>
    <row r="569" spans="1:7" x14ac:dyDescent="0.25">
      <c r="A569" s="12">
        <v>45329</v>
      </c>
      <c r="B569" s="13">
        <v>1002.55</v>
      </c>
      <c r="C569" s="13">
        <v>1042.2</v>
      </c>
      <c r="D569" s="5">
        <f t="shared" si="16"/>
        <v>6.9103020332487128</v>
      </c>
      <c r="E569" s="5">
        <f t="shared" si="16"/>
        <v>6.9490891424751142</v>
      </c>
      <c r="F569" s="5">
        <f t="shared" si="17"/>
        <v>2.6867640674907989E-3</v>
      </c>
      <c r="G569" s="5">
        <f t="shared" si="17"/>
        <v>-4.796393204333782E-4</v>
      </c>
    </row>
    <row r="570" spans="1:7" x14ac:dyDescent="0.25">
      <c r="A570" s="12">
        <v>45330</v>
      </c>
      <c r="B570" s="13">
        <v>997.54</v>
      </c>
      <c r="C570" s="13">
        <v>1036.8</v>
      </c>
      <c r="D570" s="5">
        <f t="shared" si="16"/>
        <v>6.9052922482106514</v>
      </c>
      <c r="E570" s="5">
        <f t="shared" si="16"/>
        <v>6.9438943255980101</v>
      </c>
      <c r="F570" s="5">
        <f t="shared" si="17"/>
        <v>-5.0097850380614872E-3</v>
      </c>
      <c r="G570" s="5">
        <f t="shared" si="17"/>
        <v>-5.1948168771041026E-3</v>
      </c>
    </row>
    <row r="571" spans="1:7" x14ac:dyDescent="0.25">
      <c r="A571" s="12">
        <v>45331</v>
      </c>
      <c r="B571" s="13">
        <v>995.53</v>
      </c>
      <c r="C571" s="13">
        <v>1042.5999999999999</v>
      </c>
      <c r="D571" s="5">
        <f t="shared" si="16"/>
        <v>6.9032752586604289</v>
      </c>
      <c r="E571" s="5">
        <f t="shared" si="16"/>
        <v>6.9494728723340051</v>
      </c>
      <c r="F571" s="5">
        <f t="shared" si="17"/>
        <v>-2.0169895502224477E-3</v>
      </c>
      <c r="G571" s="5">
        <f t="shared" si="17"/>
        <v>5.5785467359950047E-3</v>
      </c>
    </row>
    <row r="572" spans="1:7" x14ac:dyDescent="0.25">
      <c r="A572" s="12">
        <v>45334</v>
      </c>
      <c r="B572" s="13">
        <v>996.06</v>
      </c>
      <c r="C572" s="13">
        <v>1050.5</v>
      </c>
      <c r="D572" s="5">
        <f t="shared" si="16"/>
        <v>6.9038074967340393</v>
      </c>
      <c r="E572" s="5">
        <f t="shared" si="16"/>
        <v>6.9570215202850552</v>
      </c>
      <c r="F572" s="5">
        <f t="shared" si="17"/>
        <v>5.3223807361035824E-4</v>
      </c>
      <c r="G572" s="5">
        <f t="shared" si="17"/>
        <v>7.5486479510500359E-3</v>
      </c>
    </row>
    <row r="573" spans="1:7" x14ac:dyDescent="0.25">
      <c r="A573" s="12">
        <v>45335</v>
      </c>
      <c r="B573" s="13">
        <v>996.78</v>
      </c>
      <c r="C573" s="13">
        <v>1033.3</v>
      </c>
      <c r="D573" s="5">
        <f t="shared" si="16"/>
        <v>6.904530083626442</v>
      </c>
      <c r="E573" s="5">
        <f t="shared" si="16"/>
        <v>6.9405128432203096</v>
      </c>
      <c r="F573" s="5">
        <f t="shared" si="17"/>
        <v>7.2258689240278784E-4</v>
      </c>
      <c r="G573" s="5">
        <f t="shared" si="17"/>
        <v>-1.6508677064745569E-2</v>
      </c>
    </row>
    <row r="574" spans="1:7" x14ac:dyDescent="0.25">
      <c r="A574" s="12">
        <v>45336</v>
      </c>
      <c r="B574" s="13">
        <v>998.86</v>
      </c>
      <c r="C574" s="13">
        <v>1048.3</v>
      </c>
      <c r="D574" s="5">
        <f t="shared" si="16"/>
        <v>6.9066146286878665</v>
      </c>
      <c r="E574" s="5">
        <f t="shared" si="16"/>
        <v>6.9549250834585266</v>
      </c>
      <c r="F574" s="5">
        <f t="shared" si="17"/>
        <v>2.0845450614244143E-3</v>
      </c>
      <c r="G574" s="5">
        <f t="shared" si="17"/>
        <v>1.4412240238216967E-2</v>
      </c>
    </row>
    <row r="575" spans="1:7" x14ac:dyDescent="0.25">
      <c r="A575" s="12">
        <v>45337</v>
      </c>
      <c r="B575" s="13">
        <v>1007.7</v>
      </c>
      <c r="C575" s="13">
        <v>1053.2</v>
      </c>
      <c r="D575" s="5">
        <f t="shared" si="16"/>
        <v>6.9154257852863568</v>
      </c>
      <c r="E575" s="5">
        <f t="shared" si="16"/>
        <v>6.9595884276221547</v>
      </c>
      <c r="F575" s="5">
        <f t="shared" si="17"/>
        <v>8.8111565984902995E-3</v>
      </c>
      <c r="G575" s="5">
        <f t="shared" si="17"/>
        <v>4.6633441636281248E-3</v>
      </c>
    </row>
    <row r="576" spans="1:7" x14ac:dyDescent="0.25">
      <c r="A576" s="12">
        <v>45338</v>
      </c>
      <c r="B576" s="13">
        <v>1016.23</v>
      </c>
      <c r="C576" s="13">
        <v>1059.5999999999999</v>
      </c>
      <c r="D576" s="5">
        <f t="shared" si="16"/>
        <v>6.9238549804715612</v>
      </c>
      <c r="E576" s="5">
        <f t="shared" si="16"/>
        <v>6.9656467573979146</v>
      </c>
      <c r="F576" s="5">
        <f t="shared" si="17"/>
        <v>8.4291951852044633E-3</v>
      </c>
      <c r="G576" s="5">
        <f t="shared" si="17"/>
        <v>6.0583297757599297E-3</v>
      </c>
    </row>
    <row r="577" spans="1:7" x14ac:dyDescent="0.25">
      <c r="A577" s="12">
        <v>45341</v>
      </c>
      <c r="B577" s="13">
        <v>1016.38</v>
      </c>
      <c r="C577" s="13">
        <v>1057.5999999999999</v>
      </c>
      <c r="D577" s="5">
        <f t="shared" si="16"/>
        <v>6.9240025739600037</v>
      </c>
      <c r="E577" s="5">
        <f t="shared" si="16"/>
        <v>6.9637574690974215</v>
      </c>
      <c r="F577" s="5">
        <f t="shared" si="17"/>
        <v>1.4759348844251008E-4</v>
      </c>
      <c r="G577" s="5">
        <f t="shared" si="17"/>
        <v>-1.8892883004930638E-3</v>
      </c>
    </row>
    <row r="578" spans="1:7" x14ac:dyDescent="0.25">
      <c r="A578" s="12">
        <v>45342</v>
      </c>
      <c r="B578" s="13">
        <v>1018.99</v>
      </c>
      <c r="C578" s="13">
        <v>1059.9000000000001</v>
      </c>
      <c r="D578" s="5">
        <f t="shared" si="16"/>
        <v>6.9265672196318828</v>
      </c>
      <c r="E578" s="5">
        <f t="shared" si="16"/>
        <v>6.9659298430332095</v>
      </c>
      <c r="F578" s="5">
        <f t="shared" si="17"/>
        <v>2.5646456718790844E-3</v>
      </c>
      <c r="G578" s="5">
        <f t="shared" si="17"/>
        <v>2.1723739357879523E-3</v>
      </c>
    </row>
    <row r="579" spans="1:7" x14ac:dyDescent="0.25">
      <c r="A579" s="12">
        <v>45343</v>
      </c>
      <c r="B579" s="13">
        <v>1020.62</v>
      </c>
      <c r="C579" s="13">
        <v>1062.3</v>
      </c>
      <c r="D579" s="5">
        <f t="shared" si="16"/>
        <v>6.9281655647537583</v>
      </c>
      <c r="E579" s="5">
        <f t="shared" si="16"/>
        <v>6.968191647785968</v>
      </c>
      <c r="F579" s="5">
        <f t="shared" si="17"/>
        <v>1.5983451218755107E-3</v>
      </c>
      <c r="G579" s="5">
        <f t="shared" si="17"/>
        <v>2.2618047527585006E-3</v>
      </c>
    </row>
    <row r="580" spans="1:7" x14ac:dyDescent="0.25">
      <c r="A580" s="12">
        <v>45344</v>
      </c>
      <c r="B580" s="13">
        <v>1029.44</v>
      </c>
      <c r="C580" s="13">
        <v>1074.0999999999999</v>
      </c>
      <c r="D580" s="5">
        <f t="shared" ref="D580:E643" si="18">LN(B580)</f>
        <v>6.9367702440506616</v>
      </c>
      <c r="E580" s="5">
        <f t="shared" si="18"/>
        <v>6.9792383806040013</v>
      </c>
      <c r="F580" s="5">
        <f t="shared" ref="F580:G643" si="19">D580-D579</f>
        <v>8.6046792969032282E-3</v>
      </c>
      <c r="G580" s="5">
        <f t="shared" si="19"/>
        <v>1.1046732818033256E-2</v>
      </c>
    </row>
    <row r="581" spans="1:7" x14ac:dyDescent="0.25">
      <c r="A581" s="12">
        <v>45345</v>
      </c>
      <c r="B581" s="13">
        <v>1028.31</v>
      </c>
      <c r="C581" s="13">
        <v>1073</v>
      </c>
      <c r="D581" s="5">
        <f t="shared" si="18"/>
        <v>6.9356719569763454</v>
      </c>
      <c r="E581" s="5">
        <f t="shared" si="18"/>
        <v>6.9782137426306985</v>
      </c>
      <c r="F581" s="5">
        <f t="shared" si="19"/>
        <v>-1.0982870743161399E-3</v>
      </c>
      <c r="G581" s="5">
        <f t="shared" si="19"/>
        <v>-1.0246379733027666E-3</v>
      </c>
    </row>
    <row r="582" spans="1:7" x14ac:dyDescent="0.25">
      <c r="A582" s="12">
        <v>45348</v>
      </c>
      <c r="B582" s="13">
        <v>1024.1099999999999</v>
      </c>
      <c r="C582" s="13">
        <v>1069.2</v>
      </c>
      <c r="D582" s="5">
        <f t="shared" si="18"/>
        <v>6.9315792217051362</v>
      </c>
      <c r="E582" s="5">
        <f t="shared" si="18"/>
        <v>6.9746659842647638</v>
      </c>
      <c r="F582" s="5">
        <f t="shared" si="19"/>
        <v>-4.0927352712092357E-3</v>
      </c>
      <c r="G582" s="5">
        <f t="shared" si="19"/>
        <v>-3.5477583659346834E-3</v>
      </c>
    </row>
    <row r="583" spans="1:7" x14ac:dyDescent="0.25">
      <c r="A583" s="12">
        <v>45349</v>
      </c>
      <c r="B583" s="13">
        <v>1027.75</v>
      </c>
      <c r="C583" s="13">
        <v>1070.4000000000001</v>
      </c>
      <c r="D583" s="5">
        <f t="shared" si="18"/>
        <v>6.9351272257779879</v>
      </c>
      <c r="E583" s="5">
        <f t="shared" si="18"/>
        <v>6.9757876893739637</v>
      </c>
      <c r="F583" s="5">
        <f t="shared" si="19"/>
        <v>3.5480040728517181E-3</v>
      </c>
      <c r="G583" s="5">
        <f t="shared" si="19"/>
        <v>1.1217051091998442E-3</v>
      </c>
    </row>
    <row r="584" spans="1:7" x14ac:dyDescent="0.25">
      <c r="A584" s="12">
        <v>45350</v>
      </c>
      <c r="B584" s="13">
        <v>1018.72</v>
      </c>
      <c r="C584" s="13">
        <v>1056.5999999999999</v>
      </c>
      <c r="D584" s="5">
        <f t="shared" si="18"/>
        <v>6.9263022162687156</v>
      </c>
      <c r="E584" s="5">
        <f t="shared" si="18"/>
        <v>6.9628114847302154</v>
      </c>
      <c r="F584" s="5">
        <f t="shared" si="19"/>
        <v>-8.8250095092723413E-3</v>
      </c>
      <c r="G584" s="5">
        <f t="shared" si="19"/>
        <v>-1.2976204643748268E-2</v>
      </c>
    </row>
    <row r="585" spans="1:7" x14ac:dyDescent="0.25">
      <c r="A585" s="12">
        <v>45351</v>
      </c>
      <c r="B585" s="13">
        <v>1020.94</v>
      </c>
      <c r="C585" s="13">
        <v>1055.7</v>
      </c>
      <c r="D585" s="5">
        <f t="shared" si="18"/>
        <v>6.928479050522113</v>
      </c>
      <c r="E585" s="5">
        <f t="shared" si="18"/>
        <v>6.9619593329956491</v>
      </c>
      <c r="F585" s="5">
        <f t="shared" si="19"/>
        <v>2.1768342533974305E-3</v>
      </c>
      <c r="G585" s="5">
        <f t="shared" si="19"/>
        <v>-8.5215173456631987E-4</v>
      </c>
    </row>
    <row r="586" spans="1:7" x14ac:dyDescent="0.25">
      <c r="A586" s="12">
        <v>45352</v>
      </c>
      <c r="B586" s="13">
        <v>1024.68</v>
      </c>
      <c r="C586" s="13">
        <v>1067.8</v>
      </c>
      <c r="D586" s="5">
        <f t="shared" si="18"/>
        <v>6.9321356477075149</v>
      </c>
      <c r="E586" s="5">
        <f t="shared" si="18"/>
        <v>6.9733557360660861</v>
      </c>
      <c r="F586" s="5">
        <f t="shared" si="19"/>
        <v>3.6565971854018997E-3</v>
      </c>
      <c r="G586" s="5">
        <f t="shared" si="19"/>
        <v>1.1396403070436989E-2</v>
      </c>
    </row>
    <row r="587" spans="1:7" x14ac:dyDescent="0.25">
      <c r="A587" s="12">
        <v>45355</v>
      </c>
      <c r="B587" s="13">
        <v>1030.3900000000001</v>
      </c>
      <c r="C587" s="13">
        <v>1066.8</v>
      </c>
      <c r="D587" s="5">
        <f t="shared" si="18"/>
        <v>6.9376926503340517</v>
      </c>
      <c r="E587" s="5">
        <f t="shared" si="18"/>
        <v>6.9724187923078595</v>
      </c>
      <c r="F587" s="5">
        <f t="shared" si="19"/>
        <v>5.5570026265368E-3</v>
      </c>
      <c r="G587" s="5">
        <f t="shared" si="19"/>
        <v>-9.36943758226505E-4</v>
      </c>
    </row>
    <row r="588" spans="1:7" x14ac:dyDescent="0.25">
      <c r="A588" s="12">
        <v>45356</v>
      </c>
      <c r="B588" s="13">
        <v>1021.74</v>
      </c>
      <c r="C588" s="13">
        <v>1056.3</v>
      </c>
      <c r="D588" s="5">
        <f t="shared" si="18"/>
        <v>6.9292623352665679</v>
      </c>
      <c r="E588" s="5">
        <f t="shared" si="18"/>
        <v>6.9625275148291168</v>
      </c>
      <c r="F588" s="5">
        <f t="shared" si="19"/>
        <v>-8.4303150674838179E-3</v>
      </c>
      <c r="G588" s="5">
        <f t="shared" si="19"/>
        <v>-9.8912774787427438E-3</v>
      </c>
    </row>
    <row r="589" spans="1:7" x14ac:dyDescent="0.25">
      <c r="A589" s="12">
        <v>45357</v>
      </c>
      <c r="B589" s="13">
        <v>1027.95</v>
      </c>
      <c r="C589" s="13">
        <v>1071.5999999999999</v>
      </c>
      <c r="D589" s="5">
        <f t="shared" si="18"/>
        <v>6.9353218066999425</v>
      </c>
      <c r="E589" s="5">
        <f t="shared" si="18"/>
        <v>6.9769081376704536</v>
      </c>
      <c r="F589" s="5">
        <f t="shared" si="19"/>
        <v>6.0594714333745969E-3</v>
      </c>
      <c r="G589" s="5">
        <f t="shared" si="19"/>
        <v>1.4380622841336788E-2</v>
      </c>
    </row>
    <row r="590" spans="1:7" x14ac:dyDescent="0.25">
      <c r="A590" s="12">
        <v>45358</v>
      </c>
      <c r="B590" s="13">
        <v>1030.27</v>
      </c>
      <c r="C590" s="13">
        <v>1078.3</v>
      </c>
      <c r="D590" s="5">
        <f t="shared" si="18"/>
        <v>6.9375761827943938</v>
      </c>
      <c r="E590" s="5">
        <f t="shared" si="18"/>
        <v>6.9831410058880268</v>
      </c>
      <c r="F590" s="5">
        <f t="shared" si="19"/>
        <v>2.254376094451338E-3</v>
      </c>
      <c r="G590" s="5">
        <f t="shared" si="19"/>
        <v>6.2328682175731842E-3</v>
      </c>
    </row>
    <row r="591" spans="1:7" x14ac:dyDescent="0.25">
      <c r="A591" s="12">
        <v>45359</v>
      </c>
      <c r="B591" s="13">
        <v>1037.0899999999999</v>
      </c>
      <c r="C591" s="13">
        <v>1076</v>
      </c>
      <c r="D591" s="5">
        <f t="shared" si="18"/>
        <v>6.9441739932774826</v>
      </c>
      <c r="E591" s="5">
        <f t="shared" si="18"/>
        <v>6.9810057407217299</v>
      </c>
      <c r="F591" s="5">
        <f t="shared" si="19"/>
        <v>6.5978104830888284E-3</v>
      </c>
      <c r="G591" s="5">
        <f t="shared" si="19"/>
        <v>-2.135265166296918E-3</v>
      </c>
    </row>
    <row r="592" spans="1:7" x14ac:dyDescent="0.25">
      <c r="A592" s="12">
        <v>45362</v>
      </c>
      <c r="B592" s="13">
        <v>1039.07</v>
      </c>
      <c r="C592" s="13">
        <v>1080</v>
      </c>
      <c r="D592" s="5">
        <f t="shared" si="18"/>
        <v>6.9460813613033361</v>
      </c>
      <c r="E592" s="5">
        <f t="shared" si="18"/>
        <v>6.9847163201182658</v>
      </c>
      <c r="F592" s="5">
        <f t="shared" si="19"/>
        <v>1.9073680258534509E-3</v>
      </c>
      <c r="G592" s="5">
        <f t="shared" si="19"/>
        <v>3.7105793965359624E-3</v>
      </c>
    </row>
    <row r="593" spans="1:7" x14ac:dyDescent="0.25">
      <c r="A593" s="12">
        <v>45363</v>
      </c>
      <c r="B593" s="13">
        <v>1049.07</v>
      </c>
      <c r="C593" s="13">
        <v>1093.5999999999999</v>
      </c>
      <c r="D593" s="5">
        <f t="shared" si="18"/>
        <v>6.9556593363891919</v>
      </c>
      <c r="E593" s="5">
        <f t="shared" si="18"/>
        <v>6.9972302854097395</v>
      </c>
      <c r="F593" s="5">
        <f t="shared" si="19"/>
        <v>9.5779750858557833E-3</v>
      </c>
      <c r="G593" s="5">
        <f t="shared" si="19"/>
        <v>1.2513965291473639E-2</v>
      </c>
    </row>
    <row r="594" spans="1:7" x14ac:dyDescent="0.25">
      <c r="A594" s="12">
        <v>45364</v>
      </c>
      <c r="B594" s="13">
        <v>1046.51</v>
      </c>
      <c r="C594" s="13">
        <v>1089.7</v>
      </c>
      <c r="D594" s="5">
        <f t="shared" si="18"/>
        <v>6.9532160975021293</v>
      </c>
      <c r="E594" s="5">
        <f t="shared" si="18"/>
        <v>6.9936577079828401</v>
      </c>
      <c r="F594" s="5">
        <f t="shared" si="19"/>
        <v>-2.4432388870625488E-3</v>
      </c>
      <c r="G594" s="5">
        <f t="shared" si="19"/>
        <v>-3.5725774268993149E-3</v>
      </c>
    </row>
    <row r="595" spans="1:7" x14ac:dyDescent="0.25">
      <c r="A595" s="12">
        <v>45365</v>
      </c>
      <c r="B595" s="13">
        <v>1048.68</v>
      </c>
      <c r="C595" s="13">
        <v>1085.7</v>
      </c>
      <c r="D595" s="5">
        <f t="shared" si="18"/>
        <v>6.9552875094274533</v>
      </c>
      <c r="E595" s="5">
        <f t="shared" si="18"/>
        <v>6.9899802192378067</v>
      </c>
      <c r="F595" s="5">
        <f t="shared" si="19"/>
        <v>2.0714119253240071E-3</v>
      </c>
      <c r="G595" s="5">
        <f t="shared" si="19"/>
        <v>-3.6774887450334859E-3</v>
      </c>
    </row>
    <row r="596" spans="1:7" x14ac:dyDescent="0.25">
      <c r="A596" s="12">
        <v>45366</v>
      </c>
      <c r="B596" s="13">
        <v>1034.74</v>
      </c>
      <c r="C596" s="13">
        <v>1078.9000000000001</v>
      </c>
      <c r="D596" s="5">
        <f t="shared" si="18"/>
        <v>6.9419054664120541</v>
      </c>
      <c r="E596" s="5">
        <f t="shared" si="18"/>
        <v>6.9836972825572943</v>
      </c>
      <c r="F596" s="5">
        <f t="shared" si="19"/>
        <v>-1.3382043015399248E-2</v>
      </c>
      <c r="G596" s="5">
        <f t="shared" si="19"/>
        <v>-6.2829366805123854E-3</v>
      </c>
    </row>
    <row r="597" spans="1:7" x14ac:dyDescent="0.25">
      <c r="A597" s="12">
        <v>45369</v>
      </c>
      <c r="B597" s="13">
        <v>1038.07</v>
      </c>
      <c r="C597" s="13">
        <v>1080.8</v>
      </c>
      <c r="D597" s="5">
        <f t="shared" si="18"/>
        <v>6.9451184988316124</v>
      </c>
      <c r="E597" s="5">
        <f t="shared" si="18"/>
        <v>6.9854567866459893</v>
      </c>
      <c r="F597" s="5">
        <f t="shared" si="19"/>
        <v>3.2130324195582816E-3</v>
      </c>
      <c r="G597" s="5">
        <f t="shared" si="19"/>
        <v>1.7595040886950741E-3</v>
      </c>
    </row>
    <row r="598" spans="1:7" x14ac:dyDescent="0.25">
      <c r="A598" s="12">
        <v>45370</v>
      </c>
      <c r="B598" s="13">
        <v>1027.78</v>
      </c>
      <c r="C598" s="13">
        <v>1074.2</v>
      </c>
      <c r="D598" s="5">
        <f t="shared" si="18"/>
        <v>6.9351564153300762</v>
      </c>
      <c r="E598" s="5">
        <f t="shared" si="18"/>
        <v>6.9793314774713586</v>
      </c>
      <c r="F598" s="5">
        <f t="shared" si="19"/>
        <v>-9.9620835015361564E-3</v>
      </c>
      <c r="G598" s="5">
        <f t="shared" si="19"/>
        <v>-6.125309174630722E-3</v>
      </c>
    </row>
    <row r="599" spans="1:7" x14ac:dyDescent="0.25">
      <c r="A599" s="12">
        <v>45371</v>
      </c>
      <c r="B599" s="13">
        <v>1032.1199999999999</v>
      </c>
      <c r="C599" s="13">
        <v>1085</v>
      </c>
      <c r="D599" s="5">
        <f t="shared" si="18"/>
        <v>6.9393702183513888</v>
      </c>
      <c r="E599" s="5">
        <f t="shared" si="18"/>
        <v>6.9893352659745602</v>
      </c>
      <c r="F599" s="5">
        <f t="shared" si="19"/>
        <v>4.2138030213125788E-3</v>
      </c>
      <c r="G599" s="5">
        <f t="shared" si="19"/>
        <v>1.0003788503201605E-2</v>
      </c>
    </row>
    <row r="600" spans="1:7" x14ac:dyDescent="0.25">
      <c r="A600" s="12">
        <v>45372</v>
      </c>
      <c r="B600" s="13">
        <v>1048.3399999999999</v>
      </c>
      <c r="C600" s="13">
        <v>1085.2</v>
      </c>
      <c r="D600" s="5">
        <f t="shared" si="18"/>
        <v>6.9549632397466876</v>
      </c>
      <c r="E600" s="5">
        <f t="shared" si="18"/>
        <v>6.9895195807847763</v>
      </c>
      <c r="F600" s="5">
        <f t="shared" si="19"/>
        <v>1.5593021395298834E-2</v>
      </c>
      <c r="G600" s="5">
        <f t="shared" si="19"/>
        <v>1.8431481021607965E-4</v>
      </c>
    </row>
    <row r="601" spans="1:7" x14ac:dyDescent="0.25">
      <c r="A601" s="12">
        <v>45373</v>
      </c>
      <c r="B601" s="13">
        <v>1039.32</v>
      </c>
      <c r="C601" s="13">
        <v>1077</v>
      </c>
      <c r="D601" s="5">
        <f t="shared" si="18"/>
        <v>6.9463219321309539</v>
      </c>
      <c r="E601" s="5">
        <f t="shared" si="18"/>
        <v>6.9819346771563886</v>
      </c>
      <c r="F601" s="5">
        <f t="shared" si="19"/>
        <v>-8.6413076157336732E-3</v>
      </c>
      <c r="G601" s="5">
        <f t="shared" si="19"/>
        <v>-7.5849036283877069E-3</v>
      </c>
    </row>
    <row r="602" spans="1:7" x14ac:dyDescent="0.25">
      <c r="A602" s="12">
        <v>45376</v>
      </c>
      <c r="B602" s="13">
        <v>1036.1300000000001</v>
      </c>
      <c r="C602" s="13">
        <v>1078.5999999999999</v>
      </c>
      <c r="D602" s="5">
        <f t="shared" si="18"/>
        <v>6.9432478975726246</v>
      </c>
      <c r="E602" s="5">
        <f t="shared" si="18"/>
        <v>6.9834191829031269</v>
      </c>
      <c r="F602" s="5">
        <f t="shared" si="19"/>
        <v>-3.0740345583293305E-3</v>
      </c>
      <c r="G602" s="5">
        <f t="shared" si="19"/>
        <v>1.4845057467383072E-3</v>
      </c>
    </row>
    <row r="603" spans="1:7" x14ac:dyDescent="0.25">
      <c r="A603" s="12">
        <v>45377</v>
      </c>
      <c r="B603" s="13">
        <v>1040.07</v>
      </c>
      <c r="C603" s="13">
        <v>1077.4000000000001</v>
      </c>
      <c r="D603" s="5">
        <f t="shared" si="18"/>
        <v>6.947043297562665</v>
      </c>
      <c r="E603" s="5">
        <f t="shared" si="18"/>
        <v>6.9823060102464334</v>
      </c>
      <c r="F603" s="5">
        <f t="shared" si="19"/>
        <v>3.7953999900404156E-3</v>
      </c>
      <c r="G603" s="5">
        <f t="shared" si="19"/>
        <v>-1.1131726566935285E-3</v>
      </c>
    </row>
    <row r="604" spans="1:7" x14ac:dyDescent="0.25">
      <c r="A604" s="12">
        <v>45378</v>
      </c>
      <c r="B604" s="13">
        <v>1036.73</v>
      </c>
      <c r="C604" s="13">
        <v>1077.5999999999999</v>
      </c>
      <c r="D604" s="5">
        <f t="shared" si="18"/>
        <v>6.9438268078866425</v>
      </c>
      <c r="E604" s="5">
        <f t="shared" si="18"/>
        <v>6.982491625096154</v>
      </c>
      <c r="F604" s="5">
        <f t="shared" si="19"/>
        <v>-3.2164896760225048E-3</v>
      </c>
      <c r="G604" s="5">
        <f t="shared" si="19"/>
        <v>1.8561484972057229E-4</v>
      </c>
    </row>
    <row r="605" spans="1:7" x14ac:dyDescent="0.25">
      <c r="A605" s="12">
        <v>45379</v>
      </c>
      <c r="B605" s="13">
        <v>1040.3900000000001</v>
      </c>
      <c r="C605" s="13">
        <v>1083.0999999999999</v>
      </c>
      <c r="D605" s="5">
        <f t="shared" si="18"/>
        <v>6.9473509218404912</v>
      </c>
      <c r="E605" s="5">
        <f t="shared" si="18"/>
        <v>6.9875825788416916</v>
      </c>
      <c r="F605" s="5">
        <f t="shared" si="19"/>
        <v>3.5241139538486621E-3</v>
      </c>
      <c r="G605" s="5">
        <f t="shared" si="19"/>
        <v>5.0909537455376963E-3</v>
      </c>
    </row>
    <row r="606" spans="1:7" x14ac:dyDescent="0.25">
      <c r="A606" s="12">
        <v>45380</v>
      </c>
      <c r="B606" s="13">
        <v>1043.2</v>
      </c>
      <c r="C606" s="17">
        <f>C605</f>
        <v>1083.0999999999999</v>
      </c>
      <c r="D606" s="5">
        <f t="shared" si="18"/>
        <v>6.9500481911723888</v>
      </c>
      <c r="E606" s="5">
        <f t="shared" si="18"/>
        <v>6.9875825788416916</v>
      </c>
      <c r="F606" s="5">
        <f t="shared" si="19"/>
        <v>2.6972693318976226E-3</v>
      </c>
      <c r="G606" s="5">
        <f t="shared" si="19"/>
        <v>0</v>
      </c>
    </row>
    <row r="607" spans="1:7" x14ac:dyDescent="0.25">
      <c r="A607" s="12">
        <v>45383</v>
      </c>
      <c r="B607" s="13">
        <v>1042.07</v>
      </c>
      <c r="C607" s="13">
        <v>1087.4000000000001</v>
      </c>
      <c r="D607" s="5">
        <f t="shared" si="18"/>
        <v>6.9489643985598164</v>
      </c>
      <c r="E607" s="5">
        <f t="shared" si="18"/>
        <v>6.99154480471182</v>
      </c>
      <c r="F607" s="5">
        <f t="shared" si="19"/>
        <v>-1.0837926125724096E-3</v>
      </c>
      <c r="G607" s="5">
        <f t="shared" si="19"/>
        <v>3.9622258701283997E-3</v>
      </c>
    </row>
    <row r="608" spans="1:7" x14ac:dyDescent="0.25">
      <c r="A608" s="12">
        <v>45384</v>
      </c>
      <c r="B608" s="13">
        <v>1049.93</v>
      </c>
      <c r="C608" s="13">
        <v>1089.5999999999999</v>
      </c>
      <c r="D608" s="5">
        <f t="shared" si="18"/>
        <v>6.9564787742625818</v>
      </c>
      <c r="E608" s="5">
        <f t="shared" si="18"/>
        <v>6.9935659353952477</v>
      </c>
      <c r="F608" s="5">
        <f t="shared" si="19"/>
        <v>7.5143757027653635E-3</v>
      </c>
      <c r="G608" s="5">
        <f t="shared" si="19"/>
        <v>2.0211306834276854E-3</v>
      </c>
    </row>
    <row r="609" spans="1:7" x14ac:dyDescent="0.25">
      <c r="A609" s="12">
        <v>45385</v>
      </c>
      <c r="B609" s="13">
        <v>1043.23</v>
      </c>
      <c r="C609" s="13">
        <v>1090.5999999999999</v>
      </c>
      <c r="D609" s="5">
        <f t="shared" si="18"/>
        <v>6.9500769484276059</v>
      </c>
      <c r="E609" s="5">
        <f t="shared" si="18"/>
        <v>6.9944832824919612</v>
      </c>
      <c r="F609" s="5">
        <f t="shared" si="19"/>
        <v>-6.4018258349758383E-3</v>
      </c>
      <c r="G609" s="5">
        <f t="shared" si="19"/>
        <v>9.1734709671342785E-4</v>
      </c>
    </row>
    <row r="610" spans="1:7" x14ac:dyDescent="0.25">
      <c r="A610" s="12">
        <v>45386</v>
      </c>
      <c r="B610" s="13">
        <v>1048.76</v>
      </c>
      <c r="C610" s="13">
        <v>1086.3</v>
      </c>
      <c r="D610" s="5">
        <f t="shared" si="18"/>
        <v>6.9553637928968621</v>
      </c>
      <c r="E610" s="5">
        <f t="shared" si="18"/>
        <v>6.9905327054397048</v>
      </c>
      <c r="F610" s="5">
        <f t="shared" si="19"/>
        <v>5.2868444692562022E-3</v>
      </c>
      <c r="G610" s="5">
        <f t="shared" si="19"/>
        <v>-3.9505770522563211E-3</v>
      </c>
    </row>
    <row r="611" spans="1:7" x14ac:dyDescent="0.25">
      <c r="A611" s="12">
        <v>45387</v>
      </c>
      <c r="B611" s="13">
        <v>1045.71</v>
      </c>
      <c r="C611" s="13">
        <v>1089.7</v>
      </c>
      <c r="D611" s="5">
        <f t="shared" si="18"/>
        <v>6.9524513595309898</v>
      </c>
      <c r="E611" s="5">
        <f t="shared" si="18"/>
        <v>6.9936577079828401</v>
      </c>
      <c r="F611" s="5">
        <f t="shared" si="19"/>
        <v>-2.9124333658723245E-3</v>
      </c>
      <c r="G611" s="5">
        <f t="shared" si="19"/>
        <v>3.1250025431353023E-3</v>
      </c>
    </row>
    <row r="612" spans="1:7" x14ac:dyDescent="0.25">
      <c r="A612" s="12">
        <v>45390</v>
      </c>
      <c r="B612" s="13">
        <v>1049.1600000000001</v>
      </c>
      <c r="C612" s="13">
        <v>1097.7</v>
      </c>
      <c r="D612" s="5">
        <f t="shared" si="18"/>
        <v>6.9557451229808001</v>
      </c>
      <c r="E612" s="5">
        <f t="shared" si="18"/>
        <v>7.0009723606932708</v>
      </c>
      <c r="F612" s="5">
        <f t="shared" si="19"/>
        <v>3.2937634498102497E-3</v>
      </c>
      <c r="G612" s="5">
        <f t="shared" si="19"/>
        <v>7.3146527104306358E-3</v>
      </c>
    </row>
    <row r="613" spans="1:7" x14ac:dyDescent="0.25">
      <c r="A613" s="12">
        <v>45391</v>
      </c>
      <c r="B613" s="13">
        <v>1055.3699999999999</v>
      </c>
      <c r="C613" s="13">
        <v>1104.3</v>
      </c>
      <c r="D613" s="5">
        <f t="shared" si="18"/>
        <v>6.9616466953259479</v>
      </c>
      <c r="E613" s="5">
        <f t="shared" si="18"/>
        <v>7.0069669290530854</v>
      </c>
      <c r="F613" s="5">
        <f t="shared" si="19"/>
        <v>5.9015723451478763E-3</v>
      </c>
      <c r="G613" s="5">
        <f t="shared" si="19"/>
        <v>5.9945683598146005E-3</v>
      </c>
    </row>
    <row r="614" spans="1:7" x14ac:dyDescent="0.25">
      <c r="A614" s="12">
        <v>45392</v>
      </c>
      <c r="B614" s="13">
        <v>1057.8900000000001</v>
      </c>
      <c r="C614" s="13">
        <v>1093</v>
      </c>
      <c r="D614" s="5">
        <f t="shared" si="18"/>
        <v>6.9640316372587616</v>
      </c>
      <c r="E614" s="5">
        <f t="shared" si="18"/>
        <v>6.9966814881765389</v>
      </c>
      <c r="F614" s="5">
        <f t="shared" si="19"/>
        <v>2.3849419328136889E-3</v>
      </c>
      <c r="G614" s="5">
        <f t="shared" si="19"/>
        <v>-1.0285440876546481E-2</v>
      </c>
    </row>
    <row r="615" spans="1:7" x14ac:dyDescent="0.25">
      <c r="A615" s="12">
        <v>45393</v>
      </c>
      <c r="B615" s="13">
        <v>1055.0899999999999</v>
      </c>
      <c r="C615" s="13">
        <v>1099.7</v>
      </c>
      <c r="D615" s="5">
        <f t="shared" si="18"/>
        <v>6.9613813503285131</v>
      </c>
      <c r="E615" s="5">
        <f t="shared" si="18"/>
        <v>7.0027926943168888</v>
      </c>
      <c r="F615" s="5">
        <f t="shared" si="19"/>
        <v>-2.650286930248491E-3</v>
      </c>
      <c r="G615" s="5">
        <f t="shared" si="19"/>
        <v>6.1112061403498785E-3</v>
      </c>
    </row>
    <row r="616" spans="1:7" x14ac:dyDescent="0.25">
      <c r="A616" s="12">
        <v>45394</v>
      </c>
      <c r="B616" s="13">
        <v>1041.7</v>
      </c>
      <c r="C616" s="13">
        <v>1073</v>
      </c>
      <c r="D616" s="5">
        <f t="shared" si="18"/>
        <v>6.948609272990403</v>
      </c>
      <c r="E616" s="5">
        <f t="shared" si="18"/>
        <v>6.9782137426306985</v>
      </c>
      <c r="F616" s="5">
        <f t="shared" si="19"/>
        <v>-1.2772077338110144E-2</v>
      </c>
      <c r="G616" s="5">
        <f t="shared" si="19"/>
        <v>-2.4578951686190287E-2</v>
      </c>
    </row>
    <row r="617" spans="1:7" x14ac:dyDescent="0.25">
      <c r="A617" s="12">
        <v>45397</v>
      </c>
      <c r="B617" s="13">
        <v>1030.74</v>
      </c>
      <c r="C617" s="13">
        <v>1067.0999999999999</v>
      </c>
      <c r="D617" s="5">
        <f t="shared" si="18"/>
        <v>6.938032269866409</v>
      </c>
      <c r="E617" s="5">
        <f t="shared" si="18"/>
        <v>6.9726999676225194</v>
      </c>
      <c r="F617" s="5">
        <f t="shared" si="19"/>
        <v>-1.0577003123994011E-2</v>
      </c>
      <c r="G617" s="5">
        <f t="shared" si="19"/>
        <v>-5.5137750081790671E-3</v>
      </c>
    </row>
    <row r="618" spans="1:7" x14ac:dyDescent="0.25">
      <c r="A618" s="12">
        <v>45398</v>
      </c>
      <c r="B618" s="13">
        <v>1009.84</v>
      </c>
      <c r="C618" s="13">
        <v>1052.3</v>
      </c>
      <c r="D618" s="5">
        <f t="shared" si="18"/>
        <v>6.9175471814446059</v>
      </c>
      <c r="E618" s="5">
        <f t="shared" si="18"/>
        <v>6.9587335237467665</v>
      </c>
      <c r="F618" s="5">
        <f t="shared" si="19"/>
        <v>-2.0485088421803077E-2</v>
      </c>
      <c r="G618" s="5">
        <f t="shared" si="19"/>
        <v>-1.3966443875752965E-2</v>
      </c>
    </row>
    <row r="619" spans="1:7" x14ac:dyDescent="0.25">
      <c r="A619" s="12">
        <v>45399</v>
      </c>
      <c r="B619" s="13">
        <v>1012.46</v>
      </c>
      <c r="C619" s="13">
        <v>1050.5</v>
      </c>
      <c r="D619" s="5">
        <f t="shared" si="18"/>
        <v>6.920138292027465</v>
      </c>
      <c r="E619" s="5">
        <f t="shared" si="18"/>
        <v>6.9570215202850552</v>
      </c>
      <c r="F619" s="5">
        <f t="shared" si="19"/>
        <v>2.5911105828591019E-3</v>
      </c>
      <c r="G619" s="5">
        <f t="shared" si="19"/>
        <v>-1.7120034617112978E-3</v>
      </c>
    </row>
    <row r="620" spans="1:7" x14ac:dyDescent="0.25">
      <c r="A620" s="12">
        <v>45400</v>
      </c>
      <c r="B620" s="13">
        <v>1018.59</v>
      </c>
      <c r="C620" s="13">
        <v>1055.7</v>
      </c>
      <c r="D620" s="5">
        <f t="shared" si="18"/>
        <v>6.926174597005887</v>
      </c>
      <c r="E620" s="5">
        <f t="shared" si="18"/>
        <v>6.9619593329956491</v>
      </c>
      <c r="F620" s="5">
        <f t="shared" si="19"/>
        <v>6.0363049784220024E-3</v>
      </c>
      <c r="G620" s="5">
        <f t="shared" si="19"/>
        <v>4.9378127105939029E-3</v>
      </c>
    </row>
    <row r="621" spans="1:7" x14ac:dyDescent="0.25">
      <c r="A621" s="12">
        <v>45401</v>
      </c>
      <c r="B621" s="13">
        <v>1004.17</v>
      </c>
      <c r="C621" s="13">
        <v>1050.0999999999999</v>
      </c>
      <c r="D621" s="5">
        <f t="shared" si="18"/>
        <v>6.911916608627366</v>
      </c>
      <c r="E621" s="5">
        <f t="shared" si="18"/>
        <v>6.956640676711948</v>
      </c>
      <c r="F621" s="5">
        <f t="shared" si="19"/>
        <v>-1.4257988378520992E-2</v>
      </c>
      <c r="G621" s="5">
        <f t="shared" si="19"/>
        <v>-5.3186562837010953E-3</v>
      </c>
    </row>
    <row r="622" spans="1:7" x14ac:dyDescent="0.25">
      <c r="A622" s="12">
        <v>45404</v>
      </c>
      <c r="B622" s="13">
        <v>1011.84</v>
      </c>
      <c r="C622" s="13">
        <v>1061.4000000000001</v>
      </c>
      <c r="D622" s="5">
        <f t="shared" si="18"/>
        <v>6.9195257345810521</v>
      </c>
      <c r="E622" s="5">
        <f t="shared" si="18"/>
        <v>6.9673440703937946</v>
      </c>
      <c r="F622" s="5">
        <f t="shared" si="19"/>
        <v>7.6091259536861244E-3</v>
      </c>
      <c r="G622" s="5">
        <f t="shared" si="19"/>
        <v>1.0703393681846585E-2</v>
      </c>
    </row>
    <row r="623" spans="1:7" x14ac:dyDescent="0.25">
      <c r="A623" s="12">
        <v>45405</v>
      </c>
      <c r="B623" s="13">
        <v>1019.34</v>
      </c>
      <c r="C623" s="13">
        <v>1069.0999999999999</v>
      </c>
      <c r="D623" s="5">
        <f t="shared" si="18"/>
        <v>6.9269106380218783</v>
      </c>
      <c r="E623" s="5">
        <f t="shared" si="18"/>
        <v>6.9745724520194541</v>
      </c>
      <c r="F623" s="5">
        <f t="shared" si="19"/>
        <v>7.3849034408262071E-3</v>
      </c>
      <c r="G623" s="5">
        <f t="shared" si="19"/>
        <v>7.2283816256595301E-3</v>
      </c>
    </row>
    <row r="624" spans="1:7" x14ac:dyDescent="0.25">
      <c r="A624" s="12">
        <v>45406</v>
      </c>
      <c r="B624" s="13">
        <v>1034.69</v>
      </c>
      <c r="C624" s="13">
        <v>1073.8</v>
      </c>
      <c r="D624" s="5">
        <f t="shared" si="18"/>
        <v>6.9418571439271091</v>
      </c>
      <c r="E624" s="5">
        <f t="shared" si="18"/>
        <v>6.9789590379884689</v>
      </c>
      <c r="F624" s="5">
        <f t="shared" si="19"/>
        <v>1.4946505905230723E-2</v>
      </c>
      <c r="G624" s="5">
        <f t="shared" si="19"/>
        <v>4.3865859690148667E-3</v>
      </c>
    </row>
    <row r="625" spans="1:7" x14ac:dyDescent="0.25">
      <c r="A625" s="12">
        <v>45407</v>
      </c>
      <c r="B625" s="13">
        <v>1028.6099999999999</v>
      </c>
      <c r="C625" s="13">
        <v>1076.5999999999999</v>
      </c>
      <c r="D625" s="5">
        <f t="shared" si="18"/>
        <v>6.9359636552457262</v>
      </c>
      <c r="E625" s="5">
        <f t="shared" si="18"/>
        <v>6.9815632061268564</v>
      </c>
      <c r="F625" s="5">
        <f t="shared" si="19"/>
        <v>-5.8934886813828413E-3</v>
      </c>
      <c r="G625" s="5">
        <f t="shared" si="19"/>
        <v>2.604168138387486E-3</v>
      </c>
    </row>
    <row r="626" spans="1:7" x14ac:dyDescent="0.25">
      <c r="A626" s="12">
        <v>45408</v>
      </c>
      <c r="B626" s="13">
        <v>1041.52</v>
      </c>
      <c r="C626" s="13">
        <v>1089.2</v>
      </c>
      <c r="D626" s="5">
        <f t="shared" si="18"/>
        <v>6.9484364635891414</v>
      </c>
      <c r="E626" s="5">
        <f t="shared" si="18"/>
        <v>6.9931987607996042</v>
      </c>
      <c r="F626" s="5">
        <f t="shared" si="19"/>
        <v>1.2472808343415132E-2</v>
      </c>
      <c r="G626" s="5">
        <f t="shared" si="19"/>
        <v>1.1635554672747794E-2</v>
      </c>
    </row>
    <row r="627" spans="1:7" x14ac:dyDescent="0.25">
      <c r="A627" s="12">
        <v>45411</v>
      </c>
      <c r="B627" s="13">
        <v>1051.33</v>
      </c>
      <c r="C627" s="13">
        <v>1099.8</v>
      </c>
      <c r="D627" s="5">
        <f t="shared" si="18"/>
        <v>6.9578113082728024</v>
      </c>
      <c r="E627" s="5">
        <f t="shared" si="18"/>
        <v>7.0028836240737142</v>
      </c>
      <c r="F627" s="5">
        <f t="shared" si="19"/>
        <v>9.37484468366101E-3</v>
      </c>
      <c r="G627" s="5">
        <f t="shared" si="19"/>
        <v>9.6848632741100005E-3</v>
      </c>
    </row>
    <row r="628" spans="1:7" x14ac:dyDescent="0.25">
      <c r="A628" s="12">
        <v>45412</v>
      </c>
      <c r="B628" s="13">
        <v>1045.95</v>
      </c>
      <c r="C628" s="13">
        <v>1086.0999999999999</v>
      </c>
      <c r="D628" s="5">
        <f t="shared" si="18"/>
        <v>6.9526808423351296</v>
      </c>
      <c r="E628" s="5">
        <f t="shared" si="18"/>
        <v>6.9903485772859906</v>
      </c>
      <c r="F628" s="5">
        <f t="shared" si="19"/>
        <v>-5.1304659376727457E-3</v>
      </c>
      <c r="G628" s="5">
        <f t="shared" si="19"/>
        <v>-1.2535046787723658E-2</v>
      </c>
    </row>
    <row r="629" spans="1:7" x14ac:dyDescent="0.25">
      <c r="A629" s="12">
        <v>45413</v>
      </c>
      <c r="B629" s="13">
        <v>1045.52</v>
      </c>
      <c r="C629" s="13">
        <v>1086.5999999999999</v>
      </c>
      <c r="D629" s="5">
        <f t="shared" si="18"/>
        <v>6.9522696482887802</v>
      </c>
      <c r="E629" s="5">
        <f t="shared" si="18"/>
        <v>6.9908088341174226</v>
      </c>
      <c r="F629" s="5">
        <f t="shared" si="19"/>
        <v>-4.111940463493724E-4</v>
      </c>
      <c r="G629" s="5">
        <f t="shared" si="19"/>
        <v>4.6025683143202656E-4</v>
      </c>
    </row>
    <row r="630" spans="1:7" x14ac:dyDescent="0.25">
      <c r="A630" s="12">
        <v>45414</v>
      </c>
      <c r="B630" s="13">
        <v>1052.8599999999999</v>
      </c>
      <c r="C630" s="13">
        <v>1112.4000000000001</v>
      </c>
      <c r="D630" s="5">
        <f t="shared" si="18"/>
        <v>6.9592655498285927</v>
      </c>
      <c r="E630" s="5">
        <f t="shared" si="18"/>
        <v>7.0142751223598099</v>
      </c>
      <c r="F630" s="5">
        <f t="shared" si="19"/>
        <v>6.9959015398124436E-3</v>
      </c>
      <c r="G630" s="5">
        <f t="shared" si="19"/>
        <v>2.3466288242387279E-2</v>
      </c>
    </row>
    <row r="631" spans="1:7" x14ac:dyDescent="0.25">
      <c r="A631" s="12">
        <v>45415</v>
      </c>
      <c r="B631" s="13">
        <v>1061.45</v>
      </c>
      <c r="C631" s="13">
        <v>1120.3</v>
      </c>
      <c r="D631" s="5">
        <f t="shared" si="18"/>
        <v>6.967391176878011</v>
      </c>
      <c r="E631" s="5">
        <f t="shared" si="18"/>
        <v>7.0213517855646774</v>
      </c>
      <c r="F631" s="5">
        <f t="shared" si="19"/>
        <v>8.1256270494183269E-3</v>
      </c>
      <c r="G631" s="5">
        <f t="shared" si="19"/>
        <v>7.0766632048675504E-3</v>
      </c>
    </row>
    <row r="632" spans="1:7" x14ac:dyDescent="0.25">
      <c r="A632" s="12">
        <v>45418</v>
      </c>
      <c r="B632" s="13">
        <v>1066.73</v>
      </c>
      <c r="C632" s="13">
        <v>1120.7</v>
      </c>
      <c r="D632" s="5">
        <f t="shared" si="18"/>
        <v>6.9723531733570825</v>
      </c>
      <c r="E632" s="5">
        <f t="shared" si="18"/>
        <v>7.021708769057982</v>
      </c>
      <c r="F632" s="5">
        <f t="shared" si="19"/>
        <v>4.9619964790714732E-3</v>
      </c>
      <c r="G632" s="5">
        <f t="shared" si="19"/>
        <v>3.5698349330459678E-4</v>
      </c>
    </row>
    <row r="633" spans="1:7" x14ac:dyDescent="0.25">
      <c r="A633" s="12">
        <v>45419</v>
      </c>
      <c r="B633" s="13">
        <v>1068.26</v>
      </c>
      <c r="C633" s="13">
        <v>1113.3</v>
      </c>
      <c r="D633" s="5">
        <f t="shared" si="18"/>
        <v>6.9737864355849295</v>
      </c>
      <c r="E633" s="5">
        <f t="shared" si="18"/>
        <v>7.0150838567346616</v>
      </c>
      <c r="F633" s="5">
        <f t="shared" si="19"/>
        <v>1.4332622278470097E-3</v>
      </c>
      <c r="G633" s="5">
        <f t="shared" si="19"/>
        <v>-6.6249123233204088E-3</v>
      </c>
    </row>
    <row r="634" spans="1:7" x14ac:dyDescent="0.25">
      <c r="A634" s="12">
        <v>45420</v>
      </c>
      <c r="B634" s="13">
        <v>1066.6199999999999</v>
      </c>
      <c r="C634" s="13">
        <v>1112.7</v>
      </c>
      <c r="D634" s="5">
        <f t="shared" si="18"/>
        <v>6.9722500491626489</v>
      </c>
      <c r="E634" s="5">
        <f t="shared" si="18"/>
        <v>7.0145447731636548</v>
      </c>
      <c r="F634" s="5">
        <f t="shared" si="19"/>
        <v>-1.5363864222806001E-3</v>
      </c>
      <c r="G634" s="5">
        <f t="shared" si="19"/>
        <v>-5.3908357100684867E-4</v>
      </c>
    </row>
    <row r="635" spans="1:7" x14ac:dyDescent="0.25">
      <c r="A635" s="12">
        <v>45421</v>
      </c>
      <c r="B635" s="13">
        <v>1063.52</v>
      </c>
      <c r="C635" s="13">
        <v>1115.8</v>
      </c>
      <c r="D635" s="5">
        <f t="shared" si="18"/>
        <v>6.9693394402932718</v>
      </c>
      <c r="E635" s="5">
        <f t="shared" si="18"/>
        <v>7.0173269154114282</v>
      </c>
      <c r="F635" s="5">
        <f t="shared" si="19"/>
        <v>-2.9106088693771071E-3</v>
      </c>
      <c r="G635" s="5">
        <f t="shared" si="19"/>
        <v>2.7821422477734004E-3</v>
      </c>
    </row>
    <row r="636" spans="1:7" x14ac:dyDescent="0.25">
      <c r="A636" s="12">
        <v>45422</v>
      </c>
      <c r="B636" s="13">
        <v>1071.6400000000001</v>
      </c>
      <c r="C636" s="13">
        <v>1119.4000000000001</v>
      </c>
      <c r="D636" s="5">
        <f t="shared" si="18"/>
        <v>6.9769454643347606</v>
      </c>
      <c r="E636" s="5">
        <f t="shared" si="18"/>
        <v>7.0205481064572597</v>
      </c>
      <c r="F636" s="5">
        <f t="shared" si="19"/>
        <v>7.6060240414888014E-3</v>
      </c>
      <c r="G636" s="5">
        <f t="shared" si="19"/>
        <v>3.2211910458315174E-3</v>
      </c>
    </row>
    <row r="637" spans="1:7" x14ac:dyDescent="0.25">
      <c r="A637" s="12">
        <v>45425</v>
      </c>
      <c r="B637" s="13">
        <v>1078.72</v>
      </c>
      <c r="C637" s="13">
        <v>1127.3</v>
      </c>
      <c r="D637" s="5">
        <f t="shared" si="18"/>
        <v>6.9835304320456961</v>
      </c>
      <c r="E637" s="5">
        <f t="shared" si="18"/>
        <v>7.0275806720504859</v>
      </c>
      <c r="F637" s="5">
        <f t="shared" si="19"/>
        <v>6.5849677109355298E-3</v>
      </c>
      <c r="G637" s="5">
        <f t="shared" si="19"/>
        <v>7.032565593226181E-3</v>
      </c>
    </row>
    <row r="638" spans="1:7" x14ac:dyDescent="0.25">
      <c r="A638" s="12">
        <v>45426</v>
      </c>
      <c r="B638" s="13">
        <v>1080.96</v>
      </c>
      <c r="C638" s="13">
        <v>1133</v>
      </c>
      <c r="D638" s="5">
        <f t="shared" si="18"/>
        <v>6.9856048141793803</v>
      </c>
      <c r="E638" s="5">
        <f t="shared" si="18"/>
        <v>7.0326242610280065</v>
      </c>
      <c r="F638" s="5">
        <f t="shared" si="19"/>
        <v>2.0743821336841606E-3</v>
      </c>
      <c r="G638" s="5">
        <f t="shared" si="19"/>
        <v>5.0435889775206633E-3</v>
      </c>
    </row>
    <row r="639" spans="1:7" x14ac:dyDescent="0.25">
      <c r="A639" s="12">
        <v>45427</v>
      </c>
      <c r="B639" s="13">
        <v>1084.6500000000001</v>
      </c>
      <c r="C639" s="13">
        <v>1142.2</v>
      </c>
      <c r="D639" s="5">
        <f t="shared" si="18"/>
        <v>6.9890126332890707</v>
      </c>
      <c r="E639" s="5">
        <f t="shared" si="18"/>
        <v>7.0407115062307621</v>
      </c>
      <c r="F639" s="5">
        <f t="shared" si="19"/>
        <v>3.4078191096904575E-3</v>
      </c>
      <c r="G639" s="5">
        <f t="shared" si="19"/>
        <v>8.0872452027556108E-3</v>
      </c>
    </row>
    <row r="640" spans="1:7" x14ac:dyDescent="0.25">
      <c r="A640" s="12">
        <v>45428</v>
      </c>
      <c r="B640" s="13">
        <v>1098.56</v>
      </c>
      <c r="C640" s="13">
        <v>1145.8</v>
      </c>
      <c r="D640" s="5">
        <f t="shared" si="18"/>
        <v>7.0017555102693274</v>
      </c>
      <c r="E640" s="5">
        <f t="shared" si="18"/>
        <v>7.0438583619744772</v>
      </c>
      <c r="F640" s="5">
        <f t="shared" si="19"/>
        <v>1.2742876980256668E-2</v>
      </c>
      <c r="G640" s="5">
        <f t="shared" si="19"/>
        <v>3.1468557437150935E-3</v>
      </c>
    </row>
    <row r="641" spans="1:7" x14ac:dyDescent="0.25">
      <c r="A641" s="12">
        <v>45429</v>
      </c>
      <c r="B641" s="13">
        <v>1099.79</v>
      </c>
      <c r="C641" s="13">
        <v>1153.0999999999999</v>
      </c>
      <c r="D641" s="5">
        <f t="shared" si="18"/>
        <v>7.0028745314700931</v>
      </c>
      <c r="E641" s="5">
        <f t="shared" si="18"/>
        <v>7.0502092467770705</v>
      </c>
      <c r="F641" s="5">
        <f t="shared" si="19"/>
        <v>1.1190212007656797E-3</v>
      </c>
      <c r="G641" s="5">
        <f t="shared" si="19"/>
        <v>6.3508848025932707E-3</v>
      </c>
    </row>
    <row r="642" spans="1:7" x14ac:dyDescent="0.25">
      <c r="A642" s="12">
        <v>45432</v>
      </c>
      <c r="B642" s="13">
        <v>1101.9100000000001</v>
      </c>
      <c r="C642" s="13">
        <v>1149.3</v>
      </c>
      <c r="D642" s="5">
        <f t="shared" si="18"/>
        <v>7.0048003166862394</v>
      </c>
      <c r="E642" s="5">
        <f t="shared" si="18"/>
        <v>7.0469083403747126</v>
      </c>
      <c r="F642" s="5">
        <f t="shared" si="19"/>
        <v>1.9257852161462807E-3</v>
      </c>
      <c r="G642" s="5">
        <f t="shared" si="19"/>
        <v>-3.3009064023579171E-3</v>
      </c>
    </row>
    <row r="643" spans="1:7" x14ac:dyDescent="0.25">
      <c r="A643" s="12">
        <v>45433</v>
      </c>
      <c r="B643" s="13">
        <v>1093.3800000000001</v>
      </c>
      <c r="C643" s="13">
        <v>1141.5999999999999</v>
      </c>
      <c r="D643" s="5">
        <f t="shared" si="18"/>
        <v>6.9970290947260185</v>
      </c>
      <c r="E643" s="5">
        <f t="shared" si="18"/>
        <v>7.0401860661626268</v>
      </c>
      <c r="F643" s="5">
        <f t="shared" si="19"/>
        <v>-7.7712219602208421E-3</v>
      </c>
      <c r="G643" s="5">
        <f t="shared" si="19"/>
        <v>-6.7222742120858214E-3</v>
      </c>
    </row>
    <row r="644" spans="1:7" x14ac:dyDescent="0.25">
      <c r="A644" s="12">
        <v>45434</v>
      </c>
      <c r="B644" s="13">
        <v>1095.29</v>
      </c>
      <c r="C644" s="13">
        <v>1139.2</v>
      </c>
      <c r="D644" s="5">
        <f t="shared" ref="D644:E707" si="20">LN(B644)</f>
        <v>6.9987744473692795</v>
      </c>
      <c r="E644" s="5">
        <f t="shared" si="20"/>
        <v>7.0380815406577115</v>
      </c>
      <c r="F644" s="5">
        <f t="shared" ref="F644:G707" si="21">D644-D643</f>
        <v>1.7453526432609223E-3</v>
      </c>
      <c r="G644" s="5">
        <f t="shared" si="21"/>
        <v>-2.1045255049152445E-3</v>
      </c>
    </row>
    <row r="645" spans="1:7" x14ac:dyDescent="0.25">
      <c r="A645" s="12">
        <v>45435</v>
      </c>
      <c r="B645" s="13">
        <v>1091.3699999999999</v>
      </c>
      <c r="C645" s="13">
        <v>1132.5</v>
      </c>
      <c r="D645" s="5">
        <f t="shared" si="20"/>
        <v>6.9951890667437731</v>
      </c>
      <c r="E645" s="5">
        <f t="shared" si="20"/>
        <v>7.0321828573571894</v>
      </c>
      <c r="F645" s="5">
        <f t="shared" si="21"/>
        <v>-3.5853806255063958E-3</v>
      </c>
      <c r="G645" s="5">
        <f t="shared" si="21"/>
        <v>-5.8986833005221229E-3</v>
      </c>
    </row>
    <row r="646" spans="1:7" x14ac:dyDescent="0.25">
      <c r="A646" s="12">
        <v>45436</v>
      </c>
      <c r="B646" s="13">
        <v>1082.98</v>
      </c>
      <c r="C646" s="13">
        <v>1134.5999999999999</v>
      </c>
      <c r="D646" s="5">
        <f t="shared" si="20"/>
        <v>6.9874717796097858</v>
      </c>
      <c r="E646" s="5">
        <f t="shared" si="20"/>
        <v>7.0340354448924671</v>
      </c>
      <c r="F646" s="5">
        <f t="shared" si="21"/>
        <v>-7.7172871339872273E-3</v>
      </c>
      <c r="G646" s="5">
        <f t="shared" si="21"/>
        <v>1.8525875352777277E-3</v>
      </c>
    </row>
    <row r="647" spans="1:7" x14ac:dyDescent="0.25">
      <c r="A647" s="12">
        <v>45439</v>
      </c>
      <c r="B647" s="13">
        <v>1090.32</v>
      </c>
      <c r="C647" s="13">
        <v>1140.2</v>
      </c>
      <c r="D647" s="5">
        <f t="shared" si="20"/>
        <v>6.9942265101192573</v>
      </c>
      <c r="E647" s="5">
        <f t="shared" si="20"/>
        <v>7.0389589645974819</v>
      </c>
      <c r="F647" s="5">
        <f t="shared" si="21"/>
        <v>6.7547305094715071E-3</v>
      </c>
      <c r="G647" s="5">
        <f t="shared" si="21"/>
        <v>4.9235197050148116E-3</v>
      </c>
    </row>
    <row r="648" spans="1:7" x14ac:dyDescent="0.25">
      <c r="A648" s="12">
        <v>45440</v>
      </c>
      <c r="B648" s="13">
        <v>1088.01</v>
      </c>
      <c r="C648" s="13">
        <v>1133.5</v>
      </c>
      <c r="D648" s="5">
        <f t="shared" si="20"/>
        <v>6.99210561855012</v>
      </c>
      <c r="E648" s="5">
        <f t="shared" si="20"/>
        <v>7.0330654699475836</v>
      </c>
      <c r="F648" s="5">
        <f t="shared" si="21"/>
        <v>-2.1208915691373065E-3</v>
      </c>
      <c r="G648" s="5">
        <f t="shared" si="21"/>
        <v>-5.893494649898301E-3</v>
      </c>
    </row>
    <row r="649" spans="1:7" x14ac:dyDescent="0.25">
      <c r="A649" s="12">
        <v>45441</v>
      </c>
      <c r="B649" s="13">
        <v>1072.1099999999999</v>
      </c>
      <c r="C649" s="13">
        <v>1117.5</v>
      </c>
      <c r="D649" s="5">
        <f t="shared" si="20"/>
        <v>6.9773839483068008</v>
      </c>
      <c r="E649" s="5">
        <f t="shared" si="20"/>
        <v>7.0188493264877243</v>
      </c>
      <c r="F649" s="5">
        <f t="shared" si="21"/>
        <v>-1.4721670243319274E-2</v>
      </c>
      <c r="G649" s="5">
        <f t="shared" si="21"/>
        <v>-1.4216143459859332E-2</v>
      </c>
    </row>
    <row r="650" spans="1:7" x14ac:dyDescent="0.25">
      <c r="A650" s="12">
        <v>45442</v>
      </c>
      <c r="B650" s="13">
        <v>1058.08</v>
      </c>
      <c r="C650" s="13">
        <v>1112.8</v>
      </c>
      <c r="D650" s="5">
        <f t="shared" si="20"/>
        <v>6.9642112239263518</v>
      </c>
      <c r="E650" s="5">
        <f t="shared" si="20"/>
        <v>7.0146346406092333</v>
      </c>
      <c r="F650" s="5">
        <f t="shared" si="21"/>
        <v>-1.3172724380448919E-2</v>
      </c>
      <c r="G650" s="5">
        <f t="shared" si="21"/>
        <v>-4.2146858784910535E-3</v>
      </c>
    </row>
    <row r="651" spans="1:7" x14ac:dyDescent="0.25">
      <c r="A651" s="12">
        <v>45443</v>
      </c>
      <c r="B651" s="13">
        <v>1048.96</v>
      </c>
      <c r="C651" s="13">
        <v>1100.9000000000001</v>
      </c>
      <c r="D651" s="5">
        <f t="shared" si="20"/>
        <v>6.9555544761154104</v>
      </c>
      <c r="E651" s="5">
        <f t="shared" si="20"/>
        <v>7.0038833060763572</v>
      </c>
      <c r="F651" s="5">
        <f t="shared" si="21"/>
        <v>-8.6567478109413898E-3</v>
      </c>
      <c r="G651" s="5">
        <f t="shared" si="21"/>
        <v>-1.0751334532876022E-2</v>
      </c>
    </row>
    <row r="652" spans="1:7" x14ac:dyDescent="0.25">
      <c r="A652" s="12">
        <v>45446</v>
      </c>
      <c r="B652" s="13">
        <v>1069.31</v>
      </c>
      <c r="C652" s="13">
        <v>1111.9000000000001</v>
      </c>
      <c r="D652" s="5">
        <f t="shared" si="20"/>
        <v>6.9747688596313484</v>
      </c>
      <c r="E652" s="5">
        <f t="shared" si="20"/>
        <v>7.0138255427092036</v>
      </c>
      <c r="F652" s="5">
        <f t="shared" si="21"/>
        <v>1.9214383515937961E-2</v>
      </c>
      <c r="G652" s="5">
        <f t="shared" si="21"/>
        <v>9.9422366328463241E-3</v>
      </c>
    </row>
    <row r="653" spans="1:7" x14ac:dyDescent="0.25">
      <c r="A653" s="12">
        <v>45447</v>
      </c>
      <c r="B653" s="13">
        <v>1051.96</v>
      </c>
      <c r="C653" s="13">
        <v>1094.0999999999999</v>
      </c>
      <c r="D653" s="5">
        <f t="shared" si="20"/>
        <v>6.9584103697610811</v>
      </c>
      <c r="E653" s="5">
        <f t="shared" si="20"/>
        <v>6.9976873864827445</v>
      </c>
      <c r="F653" s="5">
        <f t="shared" si="21"/>
        <v>-1.6358489870267334E-2</v>
      </c>
      <c r="G653" s="5">
        <f t="shared" si="21"/>
        <v>-1.6138156226459088E-2</v>
      </c>
    </row>
    <row r="654" spans="1:7" x14ac:dyDescent="0.25">
      <c r="A654" s="12">
        <v>45448</v>
      </c>
      <c r="B654" s="13">
        <v>1062.79</v>
      </c>
      <c r="C654" s="13">
        <v>1112.5999999999999</v>
      </c>
      <c r="D654" s="5">
        <f t="shared" si="20"/>
        <v>6.9686528047333756</v>
      </c>
      <c r="E654" s="5">
        <f t="shared" si="20"/>
        <v>7.0144548976411931</v>
      </c>
      <c r="F654" s="5">
        <f t="shared" si="21"/>
        <v>1.024243497229449E-2</v>
      </c>
      <c r="G654" s="5">
        <f t="shared" si="21"/>
        <v>1.6767511158448656E-2</v>
      </c>
    </row>
    <row r="655" spans="1:7" x14ac:dyDescent="0.25">
      <c r="A655" s="12">
        <v>45449</v>
      </c>
      <c r="B655" s="13">
        <v>1073.26</v>
      </c>
      <c r="C655" s="13">
        <v>1117.5999999999999</v>
      </c>
      <c r="D655" s="5">
        <f t="shared" si="20"/>
        <v>6.9784560245548564</v>
      </c>
      <c r="E655" s="5">
        <f t="shared" si="20"/>
        <v>7.0189388079427522</v>
      </c>
      <c r="F655" s="5">
        <f t="shared" si="21"/>
        <v>9.803219821480802E-3</v>
      </c>
      <c r="G655" s="5">
        <f t="shared" si="21"/>
        <v>4.4839103015590354E-3</v>
      </c>
    </row>
    <row r="656" spans="1:7" x14ac:dyDescent="0.25">
      <c r="A656" s="12">
        <v>45450</v>
      </c>
      <c r="B656" s="13">
        <v>1073.1400000000001</v>
      </c>
      <c r="C656" s="13">
        <v>1109.0999999999999</v>
      </c>
      <c r="D656" s="5">
        <f t="shared" si="20"/>
        <v>6.9783442094224259</v>
      </c>
      <c r="E656" s="5">
        <f t="shared" si="20"/>
        <v>7.0113041546106958</v>
      </c>
      <c r="F656" s="5">
        <f t="shared" si="21"/>
        <v>-1.1181513243041508E-4</v>
      </c>
      <c r="G656" s="5">
        <f t="shared" si="21"/>
        <v>-7.6346533320563736E-3</v>
      </c>
    </row>
    <row r="657" spans="1:7" x14ac:dyDescent="0.25">
      <c r="A657" s="12">
        <v>45453</v>
      </c>
      <c r="B657" s="13">
        <v>1070.33</v>
      </c>
      <c r="C657" s="13">
        <v>1115.3</v>
      </c>
      <c r="D657" s="5">
        <f t="shared" si="20"/>
        <v>6.9757222911219428</v>
      </c>
      <c r="E657" s="5">
        <f t="shared" si="20"/>
        <v>7.0168787060004911</v>
      </c>
      <c r="F657" s="5">
        <f t="shared" si="21"/>
        <v>-2.6219183004831947E-3</v>
      </c>
      <c r="G657" s="5">
        <f t="shared" si="21"/>
        <v>5.5745513897953458E-3</v>
      </c>
    </row>
    <row r="658" spans="1:7" x14ac:dyDescent="0.25">
      <c r="A658" s="12">
        <v>45454</v>
      </c>
      <c r="B658" s="13">
        <v>1065.7</v>
      </c>
      <c r="C658" s="13">
        <v>1110.3</v>
      </c>
      <c r="D658" s="5">
        <f t="shared" si="20"/>
        <v>6.9713871392269109</v>
      </c>
      <c r="E658" s="5">
        <f t="shared" si="20"/>
        <v>7.0123855280602196</v>
      </c>
      <c r="F658" s="5">
        <f t="shared" si="21"/>
        <v>-4.3351518950318635E-3</v>
      </c>
      <c r="G658" s="5">
        <f t="shared" si="21"/>
        <v>-4.4931779402714866E-3</v>
      </c>
    </row>
    <row r="659" spans="1:7" x14ac:dyDescent="0.25">
      <c r="A659" s="12">
        <v>45455</v>
      </c>
      <c r="B659" s="13">
        <v>1068.55</v>
      </c>
      <c r="C659" s="13">
        <v>1118.4000000000001</v>
      </c>
      <c r="D659" s="5">
        <f t="shared" si="20"/>
        <v>6.9740578682362004</v>
      </c>
      <c r="E659" s="5">
        <f t="shared" si="20"/>
        <v>7.0196543714795459</v>
      </c>
      <c r="F659" s="5">
        <f t="shared" si="21"/>
        <v>2.6707290092895519E-3</v>
      </c>
      <c r="G659" s="5">
        <f t="shared" si="21"/>
        <v>7.2688434193262097E-3</v>
      </c>
    </row>
    <row r="660" spans="1:7" x14ac:dyDescent="0.25">
      <c r="A660" s="12">
        <v>45456</v>
      </c>
      <c r="B660" s="13">
        <v>1075.54</v>
      </c>
      <c r="C660" s="13">
        <v>1119.5</v>
      </c>
      <c r="D660" s="5">
        <f t="shared" si="20"/>
        <v>6.9805781400198983</v>
      </c>
      <c r="E660" s="5">
        <f t="shared" si="20"/>
        <v>7.0206374360388093</v>
      </c>
      <c r="F660" s="5">
        <f t="shared" si="21"/>
        <v>6.5202717836978508E-3</v>
      </c>
      <c r="G660" s="5">
        <f t="shared" si="21"/>
        <v>9.8306455926344682E-4</v>
      </c>
    </row>
    <row r="661" spans="1:7" x14ac:dyDescent="0.25">
      <c r="A661" s="12">
        <v>45457</v>
      </c>
      <c r="B661" s="13">
        <v>1076.8900000000001</v>
      </c>
      <c r="C661" s="13">
        <v>1117.0999999999999</v>
      </c>
      <c r="D661" s="5">
        <f t="shared" si="20"/>
        <v>6.9818325363784517</v>
      </c>
      <c r="E661" s="5">
        <f t="shared" si="20"/>
        <v>7.0184913205768025</v>
      </c>
      <c r="F661" s="5">
        <f t="shared" si="21"/>
        <v>1.2543963585534001E-3</v>
      </c>
      <c r="G661" s="5">
        <f t="shared" si="21"/>
        <v>-2.1461154620068257E-3</v>
      </c>
    </row>
    <row r="662" spans="1:7" x14ac:dyDescent="0.25">
      <c r="A662" s="12">
        <v>45460</v>
      </c>
      <c r="B662" s="13">
        <v>1074.2</v>
      </c>
      <c r="C662" s="13">
        <v>1125</v>
      </c>
      <c r="D662" s="5">
        <f t="shared" si="20"/>
        <v>6.9793314774713586</v>
      </c>
      <c r="E662" s="5">
        <f t="shared" si="20"/>
        <v>7.0255383146385206</v>
      </c>
      <c r="F662" s="5">
        <f t="shared" si="21"/>
        <v>-2.5010589070930678E-3</v>
      </c>
      <c r="G662" s="5">
        <f t="shared" si="21"/>
        <v>7.0469940617181592E-3</v>
      </c>
    </row>
    <row r="663" spans="1:7" x14ac:dyDescent="0.25">
      <c r="A663" s="12">
        <v>45461</v>
      </c>
      <c r="B663" s="13">
        <v>1081.81</v>
      </c>
      <c r="C663" s="13">
        <v>1134.7</v>
      </c>
      <c r="D663" s="5">
        <f t="shared" si="20"/>
        <v>6.98639084324744</v>
      </c>
      <c r="E663" s="5">
        <f t="shared" si="20"/>
        <v>7.0341235777969437</v>
      </c>
      <c r="F663" s="5">
        <f t="shared" si="21"/>
        <v>7.05936577608135E-3</v>
      </c>
      <c r="G663" s="5">
        <f t="shared" si="21"/>
        <v>8.5852631584231176E-3</v>
      </c>
    </row>
    <row r="664" spans="1:7" x14ac:dyDescent="0.25">
      <c r="A664" s="12">
        <v>45462</v>
      </c>
      <c r="B664" s="13">
        <v>1095.27</v>
      </c>
      <c r="C664" s="13">
        <v>1144.7</v>
      </c>
      <c r="D664" s="5">
        <f t="shared" si="20"/>
        <v>6.9987561871983637</v>
      </c>
      <c r="E664" s="5">
        <f t="shared" si="20"/>
        <v>7.0428978729244305</v>
      </c>
      <c r="F664" s="5">
        <f t="shared" si="21"/>
        <v>1.2365343950923702E-2</v>
      </c>
      <c r="G664" s="5">
        <f t="shared" si="21"/>
        <v>8.7742951274867309E-3</v>
      </c>
    </row>
    <row r="665" spans="1:7" x14ac:dyDescent="0.25">
      <c r="A665" s="12">
        <v>45463</v>
      </c>
      <c r="B665" s="13">
        <v>1095.76</v>
      </c>
      <c r="C665" s="13">
        <v>1134.7</v>
      </c>
      <c r="D665" s="5">
        <f t="shared" si="20"/>
        <v>6.9992034654265654</v>
      </c>
      <c r="E665" s="5">
        <f t="shared" si="20"/>
        <v>7.0341235777969437</v>
      </c>
      <c r="F665" s="5">
        <f t="shared" si="21"/>
        <v>4.4727822820167518E-4</v>
      </c>
      <c r="G665" s="5">
        <f t="shared" si="21"/>
        <v>-8.7742951274867309E-3</v>
      </c>
    </row>
    <row r="666" spans="1:7" x14ac:dyDescent="0.25">
      <c r="A666" s="12">
        <v>45464</v>
      </c>
      <c r="B666" s="13">
        <v>1086.93</v>
      </c>
      <c r="C666" s="13">
        <v>1128.4000000000001</v>
      </c>
      <c r="D666" s="5">
        <f t="shared" si="20"/>
        <v>6.9911124876235036</v>
      </c>
      <c r="E666" s="5">
        <f t="shared" si="20"/>
        <v>7.0285559791278409</v>
      </c>
      <c r="F666" s="5">
        <f t="shared" si="21"/>
        <v>-8.0909778030617829E-3</v>
      </c>
      <c r="G666" s="5">
        <f t="shared" si="21"/>
        <v>-5.5675986691028356E-3</v>
      </c>
    </row>
    <row r="667" spans="1:7" x14ac:dyDescent="0.25">
      <c r="A667" s="12">
        <v>45467</v>
      </c>
      <c r="B667" s="13">
        <v>1084.32</v>
      </c>
      <c r="C667" s="13">
        <v>1128.5999999999999</v>
      </c>
      <c r="D667" s="5">
        <f t="shared" si="20"/>
        <v>6.9887083413878024</v>
      </c>
      <c r="E667" s="5">
        <f t="shared" si="20"/>
        <v>7.0287332055350396</v>
      </c>
      <c r="F667" s="5">
        <f t="shared" si="21"/>
        <v>-2.4041462357011767E-3</v>
      </c>
      <c r="G667" s="5">
        <f t="shared" si="21"/>
        <v>1.7722640719863847E-4</v>
      </c>
    </row>
    <row r="668" spans="1:7" x14ac:dyDescent="0.25">
      <c r="A668" s="12">
        <v>45468</v>
      </c>
      <c r="B668" s="13">
        <v>1085.32</v>
      </c>
      <c r="C668" s="13">
        <v>1125</v>
      </c>
      <c r="D668" s="5">
        <f t="shared" si="20"/>
        <v>6.9896301533665746</v>
      </c>
      <c r="E668" s="5">
        <f t="shared" si="20"/>
        <v>7.0255383146385206</v>
      </c>
      <c r="F668" s="5">
        <f t="shared" si="21"/>
        <v>9.2181197877216903E-4</v>
      </c>
      <c r="G668" s="5">
        <f t="shared" si="21"/>
        <v>-3.1948908965189204E-3</v>
      </c>
    </row>
    <row r="669" spans="1:7" x14ac:dyDescent="0.25">
      <c r="A669" s="12">
        <v>45469</v>
      </c>
      <c r="B669" s="13">
        <v>1086.2</v>
      </c>
      <c r="C669" s="13">
        <v>1123.0999999999999</v>
      </c>
      <c r="D669" s="5">
        <f t="shared" si="20"/>
        <v>6.9904406456007449</v>
      </c>
      <c r="E669" s="5">
        <f t="shared" si="20"/>
        <v>7.0238479979689901</v>
      </c>
      <c r="F669" s="5">
        <f t="shared" si="21"/>
        <v>8.1049223417029026E-4</v>
      </c>
      <c r="G669" s="5">
        <f t="shared" si="21"/>
        <v>-1.6903166695305671E-3</v>
      </c>
    </row>
    <row r="670" spans="1:7" x14ac:dyDescent="0.25">
      <c r="A670" s="12">
        <v>45470</v>
      </c>
      <c r="B670" s="13">
        <v>1081.8699999999999</v>
      </c>
      <c r="C670" s="13">
        <v>1123.3</v>
      </c>
      <c r="D670" s="5">
        <f t="shared" si="20"/>
        <v>6.9864463043137857</v>
      </c>
      <c r="E670" s="5">
        <f t="shared" si="20"/>
        <v>7.0240260606475236</v>
      </c>
      <c r="F670" s="5">
        <f t="shared" si="21"/>
        <v>-3.994341286959191E-3</v>
      </c>
      <c r="G670" s="5">
        <f t="shared" si="21"/>
        <v>1.7806267853348601E-4</v>
      </c>
    </row>
    <row r="671" spans="1:7" x14ac:dyDescent="0.25">
      <c r="A671" s="12">
        <v>45471</v>
      </c>
      <c r="B671" s="13">
        <v>1086.25</v>
      </c>
      <c r="C671" s="13">
        <v>1125.5</v>
      </c>
      <c r="D671" s="5">
        <f t="shared" si="20"/>
        <v>6.9904866765796019</v>
      </c>
      <c r="E671" s="5">
        <f t="shared" si="20"/>
        <v>7.025982660346787</v>
      </c>
      <c r="F671" s="5">
        <f t="shared" si="21"/>
        <v>4.0403722658162167E-3</v>
      </c>
      <c r="G671" s="5">
        <f t="shared" si="21"/>
        <v>1.9565996992634282E-3</v>
      </c>
    </row>
    <row r="672" spans="1:7" x14ac:dyDescent="0.25">
      <c r="A672" s="12">
        <v>45474</v>
      </c>
      <c r="B672" s="13">
        <v>1087.3800000000001</v>
      </c>
      <c r="C672" s="13">
        <v>1129.0999999999999</v>
      </c>
      <c r="D672" s="5">
        <f t="shared" si="20"/>
        <v>6.9915264120468148</v>
      </c>
      <c r="E672" s="5">
        <f t="shared" si="20"/>
        <v>7.0291761341864767</v>
      </c>
      <c r="F672" s="5">
        <f t="shared" si="21"/>
        <v>1.0397354672129211E-3</v>
      </c>
      <c r="G672" s="5">
        <f t="shared" si="21"/>
        <v>3.1934738396897089E-3</v>
      </c>
    </row>
    <row r="673" spans="1:7" x14ac:dyDescent="0.25">
      <c r="A673" s="12">
        <v>45475</v>
      </c>
      <c r="B673" s="13">
        <v>1079.78</v>
      </c>
      <c r="C673" s="13">
        <v>1131.8</v>
      </c>
      <c r="D673" s="5">
        <f t="shared" si="20"/>
        <v>6.9845125956641443</v>
      </c>
      <c r="E673" s="5">
        <f t="shared" si="20"/>
        <v>7.0315645647084235</v>
      </c>
      <c r="F673" s="5">
        <f t="shared" si="21"/>
        <v>-7.0138163826705124E-3</v>
      </c>
      <c r="G673" s="5">
        <f t="shared" si="21"/>
        <v>2.388430521946816E-3</v>
      </c>
    </row>
    <row r="674" spans="1:7" x14ac:dyDescent="0.25">
      <c r="A674" s="12">
        <v>45476</v>
      </c>
      <c r="B674" s="13">
        <v>1092.3800000000001</v>
      </c>
      <c r="C674" s="13">
        <v>1147.5</v>
      </c>
      <c r="D674" s="5">
        <f t="shared" si="20"/>
        <v>6.9961140811199769</v>
      </c>
      <c r="E674" s="5">
        <f t="shared" si="20"/>
        <v>7.0453409419347004</v>
      </c>
      <c r="F674" s="5">
        <f t="shared" si="21"/>
        <v>1.1601485455832616E-2</v>
      </c>
      <c r="G674" s="5">
        <f t="shared" si="21"/>
        <v>1.3776377226276892E-2</v>
      </c>
    </row>
    <row r="675" spans="1:7" x14ac:dyDescent="0.25">
      <c r="A675" s="12">
        <v>45477</v>
      </c>
      <c r="B675" s="13">
        <v>1104.18</v>
      </c>
      <c r="C675" s="13">
        <v>1150.5</v>
      </c>
      <c r="D675" s="5">
        <f t="shared" si="20"/>
        <v>7.0068582570251579</v>
      </c>
      <c r="E675" s="5">
        <f t="shared" si="20"/>
        <v>7.0479519094754206</v>
      </c>
      <c r="F675" s="5">
        <f t="shared" si="21"/>
        <v>1.0744175905180953E-2</v>
      </c>
      <c r="G675" s="5">
        <f t="shared" si="21"/>
        <v>2.6109675407202104E-3</v>
      </c>
    </row>
    <row r="676" spans="1:7" x14ac:dyDescent="0.25">
      <c r="A676" s="12">
        <v>45478</v>
      </c>
      <c r="B676" s="13">
        <v>1104.8800000000001</v>
      </c>
      <c r="C676" s="13">
        <v>1150.8</v>
      </c>
      <c r="D676" s="5">
        <f t="shared" si="20"/>
        <v>7.0074920107696732</v>
      </c>
      <c r="E676" s="5">
        <f t="shared" si="20"/>
        <v>7.0482126316773925</v>
      </c>
      <c r="F676" s="5">
        <f t="shared" si="21"/>
        <v>6.3375374451535293E-4</v>
      </c>
      <c r="G676" s="5">
        <f t="shared" si="21"/>
        <v>2.6072220197193019E-4</v>
      </c>
    </row>
    <row r="677" spans="1:7" x14ac:dyDescent="0.25">
      <c r="A677" s="12">
        <v>45481</v>
      </c>
      <c r="B677" s="13">
        <v>1107.3</v>
      </c>
      <c r="C677" s="13">
        <v>1151.7</v>
      </c>
      <c r="D677" s="5">
        <f t="shared" si="20"/>
        <v>7.0096798987040625</v>
      </c>
      <c r="E677" s="5">
        <f t="shared" si="20"/>
        <v>7.0489943906748618</v>
      </c>
      <c r="F677" s="5">
        <f t="shared" si="21"/>
        <v>2.1878879343892876E-3</v>
      </c>
      <c r="G677" s="5">
        <f t="shared" si="21"/>
        <v>7.817589974692396E-4</v>
      </c>
    </row>
    <row r="678" spans="1:7" x14ac:dyDescent="0.25">
      <c r="A678" s="12">
        <v>45482</v>
      </c>
      <c r="B678" s="13">
        <v>1111.7</v>
      </c>
      <c r="C678" s="13">
        <v>1156.4000000000001</v>
      </c>
      <c r="D678" s="5">
        <f t="shared" si="20"/>
        <v>7.0136456542395695</v>
      </c>
      <c r="E678" s="5">
        <f t="shared" si="20"/>
        <v>7.0530670101421915</v>
      </c>
      <c r="F678" s="5">
        <f t="shared" si="21"/>
        <v>3.9657555355070429E-3</v>
      </c>
      <c r="G678" s="5">
        <f t="shared" si="21"/>
        <v>4.07261946732973E-3</v>
      </c>
    </row>
    <row r="679" spans="1:7" x14ac:dyDescent="0.25">
      <c r="A679" s="12">
        <v>45483</v>
      </c>
      <c r="B679" s="13">
        <v>1111.22</v>
      </c>
      <c r="C679" s="13">
        <v>1161.7</v>
      </c>
      <c r="D679" s="5">
        <f t="shared" si="20"/>
        <v>7.0132137898382769</v>
      </c>
      <c r="E679" s="5">
        <f t="shared" si="20"/>
        <v>7.0576397285194288</v>
      </c>
      <c r="F679" s="5">
        <f t="shared" si="21"/>
        <v>-4.3186440129261428E-4</v>
      </c>
      <c r="G679" s="5">
        <f t="shared" si="21"/>
        <v>4.5727183772372726E-3</v>
      </c>
    </row>
    <row r="680" spans="1:7" x14ac:dyDescent="0.25">
      <c r="A680" s="12">
        <v>45484</v>
      </c>
      <c r="B680" s="13">
        <v>1124.8599999999999</v>
      </c>
      <c r="C680" s="13">
        <v>1166.8</v>
      </c>
      <c r="D680" s="5">
        <f t="shared" si="20"/>
        <v>7.0254138624502236</v>
      </c>
      <c r="E680" s="5">
        <f t="shared" si="20"/>
        <v>7.0620202379935666</v>
      </c>
      <c r="F680" s="5">
        <f t="shared" si="21"/>
        <v>1.2200072611946666E-2</v>
      </c>
      <c r="G680" s="5">
        <f t="shared" si="21"/>
        <v>4.380509474137817E-3</v>
      </c>
    </row>
    <row r="681" spans="1:7" x14ac:dyDescent="0.25">
      <c r="A681" s="12">
        <v>45485</v>
      </c>
      <c r="B681" s="13">
        <v>1123.56</v>
      </c>
      <c r="C681" s="13">
        <v>1171</v>
      </c>
      <c r="D681" s="5">
        <f t="shared" si="20"/>
        <v>7.0242574947387979</v>
      </c>
      <c r="E681" s="5">
        <f t="shared" si="20"/>
        <v>7.0656133635977172</v>
      </c>
      <c r="F681" s="5">
        <f t="shared" si="21"/>
        <v>-1.1563677114256876E-3</v>
      </c>
      <c r="G681" s="5">
        <f t="shared" si="21"/>
        <v>3.5931256041505932E-3</v>
      </c>
    </row>
    <row r="682" spans="1:7" x14ac:dyDescent="0.25">
      <c r="A682" s="12">
        <v>45488</v>
      </c>
      <c r="B682" s="13">
        <v>1120.27</v>
      </c>
      <c r="C682" s="13">
        <v>1157.5999999999999</v>
      </c>
      <c r="D682" s="5">
        <f t="shared" si="20"/>
        <v>7.0213250066646635</v>
      </c>
      <c r="E682" s="5">
        <f t="shared" si="20"/>
        <v>7.0541041753172742</v>
      </c>
      <c r="F682" s="5">
        <f t="shared" si="21"/>
        <v>-2.9324880741343762E-3</v>
      </c>
      <c r="G682" s="5">
        <f t="shared" si="21"/>
        <v>-1.1509188280443006E-2</v>
      </c>
    </row>
    <row r="683" spans="1:7" x14ac:dyDescent="0.25">
      <c r="A683" s="12">
        <v>45489</v>
      </c>
      <c r="B683" s="13">
        <v>1117.3800000000001</v>
      </c>
      <c r="C683" s="13">
        <v>1164.3</v>
      </c>
      <c r="D683" s="5">
        <f t="shared" si="20"/>
        <v>7.0187419381714697</v>
      </c>
      <c r="E683" s="5">
        <f t="shared" si="20"/>
        <v>7.0598753270429704</v>
      </c>
      <c r="F683" s="5">
        <f t="shared" si="21"/>
        <v>-2.5830684931937853E-3</v>
      </c>
      <c r="G683" s="5">
        <f t="shared" si="21"/>
        <v>5.7711517256961997E-3</v>
      </c>
    </row>
    <row r="684" spans="1:7" x14ac:dyDescent="0.25">
      <c r="A684" s="12">
        <v>45490</v>
      </c>
      <c r="B684" s="13">
        <v>1111.46</v>
      </c>
      <c r="C684" s="13">
        <v>1145.7</v>
      </c>
      <c r="D684" s="5">
        <f t="shared" si="20"/>
        <v>7.0134297453522807</v>
      </c>
      <c r="E684" s="5">
        <f t="shared" si="20"/>
        <v>7.0437710828995801</v>
      </c>
      <c r="F684" s="5">
        <f t="shared" si="21"/>
        <v>-5.3121928191890433E-3</v>
      </c>
      <c r="G684" s="5">
        <f t="shared" si="21"/>
        <v>-1.6104244143390289E-2</v>
      </c>
    </row>
    <row r="685" spans="1:7" x14ac:dyDescent="0.25">
      <c r="A685" s="12">
        <v>45491</v>
      </c>
      <c r="B685" s="13">
        <v>1105.95</v>
      </c>
      <c r="C685" s="13">
        <v>1134.3</v>
      </c>
      <c r="D685" s="5">
        <f t="shared" si="20"/>
        <v>7.0084599731037693</v>
      </c>
      <c r="E685" s="5">
        <f t="shared" si="20"/>
        <v>7.0337709995649966</v>
      </c>
      <c r="F685" s="5">
        <f t="shared" si="21"/>
        <v>-4.9697722485113616E-3</v>
      </c>
      <c r="G685" s="5">
        <f t="shared" si="21"/>
        <v>-1.0000083334583465E-2</v>
      </c>
    </row>
    <row r="686" spans="1:7" x14ac:dyDescent="0.25">
      <c r="A686" s="12">
        <v>45492</v>
      </c>
      <c r="B686" s="13">
        <v>1089.6099999999999</v>
      </c>
      <c r="C686" s="13">
        <v>1123.9000000000001</v>
      </c>
      <c r="D686" s="5">
        <f t="shared" si="20"/>
        <v>6.9935751130330157</v>
      </c>
      <c r="E686" s="5">
        <f t="shared" si="20"/>
        <v>7.0245600585242212</v>
      </c>
      <c r="F686" s="5">
        <f t="shared" si="21"/>
        <v>-1.4884860070753625E-2</v>
      </c>
      <c r="G686" s="5">
        <f t="shared" si="21"/>
        <v>-9.2109410407754666E-3</v>
      </c>
    </row>
    <row r="687" spans="1:7" x14ac:dyDescent="0.25">
      <c r="A687" s="12">
        <v>45495</v>
      </c>
      <c r="B687" s="13">
        <v>1085.48</v>
      </c>
      <c r="C687" s="13">
        <v>1132.5</v>
      </c>
      <c r="D687" s="5">
        <f t="shared" si="20"/>
        <v>6.9897775644595264</v>
      </c>
      <c r="E687" s="5">
        <f t="shared" si="20"/>
        <v>7.0321828573571894</v>
      </c>
      <c r="F687" s="5">
        <f t="shared" si="21"/>
        <v>-3.797548573489351E-3</v>
      </c>
      <c r="G687" s="5">
        <f t="shared" si="21"/>
        <v>7.6227988329682361E-3</v>
      </c>
    </row>
    <row r="688" spans="1:7" x14ac:dyDescent="0.25">
      <c r="A688" s="12">
        <v>45496</v>
      </c>
      <c r="B688" s="13">
        <v>1086.96</v>
      </c>
      <c r="C688" s="13">
        <v>1124.3</v>
      </c>
      <c r="D688" s="5">
        <f t="shared" si="20"/>
        <v>6.9911400879160679</v>
      </c>
      <c r="E688" s="5">
        <f t="shared" si="20"/>
        <v>7.0249158987557143</v>
      </c>
      <c r="F688" s="5">
        <f t="shared" si="21"/>
        <v>1.3625234565415312E-3</v>
      </c>
      <c r="G688" s="5">
        <f t="shared" si="21"/>
        <v>-7.266958601475082E-3</v>
      </c>
    </row>
    <row r="689" spans="1:7" x14ac:dyDescent="0.25">
      <c r="A689" s="12">
        <v>45497</v>
      </c>
      <c r="B689" s="13">
        <v>1082.44</v>
      </c>
      <c r="C689" s="13">
        <v>1106.7</v>
      </c>
      <c r="D689" s="5">
        <f t="shared" si="20"/>
        <v>6.9869730310887661</v>
      </c>
      <c r="E689" s="5">
        <f t="shared" si="20"/>
        <v>7.00913789327074</v>
      </c>
      <c r="F689" s="5">
        <f t="shared" si="21"/>
        <v>-4.1670568273017849E-3</v>
      </c>
      <c r="G689" s="5">
        <f t="shared" si="21"/>
        <v>-1.5778005484974322E-2</v>
      </c>
    </row>
    <row r="690" spans="1:7" x14ac:dyDescent="0.25">
      <c r="A690" s="12">
        <v>45498</v>
      </c>
      <c r="B690" s="13">
        <v>1073.98</v>
      </c>
      <c r="C690" s="13">
        <v>1102.3</v>
      </c>
      <c r="D690" s="5">
        <f t="shared" si="20"/>
        <v>6.9791266529214893</v>
      </c>
      <c r="E690" s="5">
        <f t="shared" si="20"/>
        <v>7.0051541849692693</v>
      </c>
      <c r="F690" s="5">
        <f t="shared" si="21"/>
        <v>-7.8463781672768462E-3</v>
      </c>
      <c r="G690" s="5">
        <f t="shared" si="21"/>
        <v>-3.9837083014706565E-3</v>
      </c>
    </row>
    <row r="691" spans="1:7" x14ac:dyDescent="0.25">
      <c r="A691" s="12">
        <v>45499</v>
      </c>
      <c r="B691" s="13">
        <v>1072.28</v>
      </c>
      <c r="C691" s="13">
        <v>1113.2</v>
      </c>
      <c r="D691" s="5">
        <f t="shared" si="20"/>
        <v>6.9775425015553756</v>
      </c>
      <c r="E691" s="5">
        <f t="shared" si="20"/>
        <v>7.0149940296517359</v>
      </c>
      <c r="F691" s="5">
        <f t="shared" si="21"/>
        <v>-1.584151366113673E-3</v>
      </c>
      <c r="G691" s="5">
        <f t="shared" si="21"/>
        <v>9.8398446824665697E-3</v>
      </c>
    </row>
    <row r="692" spans="1:7" x14ac:dyDescent="0.25">
      <c r="A692" s="12">
        <v>45502</v>
      </c>
      <c r="B692" s="13">
        <v>1077.27</v>
      </c>
      <c r="C692" s="13">
        <v>1109.5999999999999</v>
      </c>
      <c r="D692" s="5">
        <f t="shared" si="20"/>
        <v>6.9821853421161322</v>
      </c>
      <c r="E692" s="5">
        <f t="shared" si="20"/>
        <v>7.0117548690006215</v>
      </c>
      <c r="F692" s="5">
        <f t="shared" si="21"/>
        <v>4.6428405607565892E-3</v>
      </c>
      <c r="G692" s="5">
        <f t="shared" si="21"/>
        <v>-3.2391606511144033E-3</v>
      </c>
    </row>
    <row r="693" spans="1:7" x14ac:dyDescent="0.25">
      <c r="A693" s="12">
        <v>45503</v>
      </c>
      <c r="B693" s="13">
        <v>1071.5999999999999</v>
      </c>
      <c r="C693" s="13">
        <v>1104.5</v>
      </c>
      <c r="D693" s="5">
        <f t="shared" si="20"/>
        <v>6.9769081376704536</v>
      </c>
      <c r="E693" s="5">
        <f t="shared" si="20"/>
        <v>7.0071480228601715</v>
      </c>
      <c r="F693" s="5">
        <f t="shared" si="21"/>
        <v>-5.2772044456785849E-3</v>
      </c>
      <c r="G693" s="5">
        <f t="shared" si="21"/>
        <v>-4.6068461404500383E-3</v>
      </c>
    </row>
    <row r="694" spans="1:7" x14ac:dyDescent="0.25">
      <c r="A694" s="12">
        <v>45504</v>
      </c>
      <c r="B694" s="13">
        <v>1084.77</v>
      </c>
      <c r="C694" s="13">
        <v>1128.8</v>
      </c>
      <c r="D694" s="5">
        <f t="shared" si="20"/>
        <v>6.9891232619364718</v>
      </c>
      <c r="E694" s="5">
        <f t="shared" si="20"/>
        <v>7.0289104005386038</v>
      </c>
      <c r="F694" s="5">
        <f t="shared" si="21"/>
        <v>1.2215124266018229E-2</v>
      </c>
      <c r="G694" s="5">
        <f t="shared" si="21"/>
        <v>2.1762377678432365E-2</v>
      </c>
    </row>
    <row r="695" spans="1:7" x14ac:dyDescent="0.25">
      <c r="A695" s="12">
        <v>45505</v>
      </c>
      <c r="B695" s="13">
        <v>1087.8</v>
      </c>
      <c r="C695" s="13">
        <v>1106.5</v>
      </c>
      <c r="D695" s="5">
        <f t="shared" si="20"/>
        <v>6.9919125869888603</v>
      </c>
      <c r="E695" s="5">
        <f t="shared" si="20"/>
        <v>7.0089571594911044</v>
      </c>
      <c r="F695" s="5">
        <f t="shared" si="21"/>
        <v>2.7893250523884916E-3</v>
      </c>
      <c r="G695" s="5">
        <f t="shared" si="21"/>
        <v>-1.9953241047499404E-2</v>
      </c>
    </row>
    <row r="696" spans="1:7" x14ac:dyDescent="0.25">
      <c r="A696" s="12">
        <v>45506</v>
      </c>
      <c r="B696" s="13">
        <v>1061.23</v>
      </c>
      <c r="C696" s="13">
        <v>1084.2</v>
      </c>
      <c r="D696" s="5">
        <f t="shared" si="20"/>
        <v>6.9671838917471502</v>
      </c>
      <c r="E696" s="5">
        <f t="shared" si="20"/>
        <v>6.9885976668262382</v>
      </c>
      <c r="F696" s="5">
        <f t="shared" si="21"/>
        <v>-2.4728695241710064E-2</v>
      </c>
      <c r="G696" s="5">
        <f t="shared" si="21"/>
        <v>-2.0359492664866252E-2</v>
      </c>
    </row>
    <row r="697" spans="1:7" x14ac:dyDescent="0.25">
      <c r="A697" s="12">
        <v>45509</v>
      </c>
      <c r="B697" s="13">
        <v>1016.48</v>
      </c>
      <c r="C697" s="13">
        <v>1050.3</v>
      </c>
      <c r="D697" s="5">
        <f t="shared" si="20"/>
        <v>6.9241009575182231</v>
      </c>
      <c r="E697" s="5">
        <f t="shared" si="20"/>
        <v>6.95683111662873</v>
      </c>
      <c r="F697" s="5">
        <f t="shared" si="21"/>
        <v>-4.3082934228927172E-2</v>
      </c>
      <c r="G697" s="5">
        <f t="shared" si="21"/>
        <v>-3.1766550197508181E-2</v>
      </c>
    </row>
    <row r="698" spans="1:7" x14ac:dyDescent="0.25">
      <c r="A698" s="12">
        <v>45510</v>
      </c>
      <c r="B698" s="13">
        <v>1030.8599999999999</v>
      </c>
      <c r="C698" s="13">
        <v>1057.3</v>
      </c>
      <c r="D698" s="5">
        <f t="shared" si="20"/>
        <v>6.9381486843019307</v>
      </c>
      <c r="E698" s="5">
        <f t="shared" si="20"/>
        <v>6.9634737677384804</v>
      </c>
      <c r="F698" s="5">
        <f t="shared" si="21"/>
        <v>1.4047726783707581E-2</v>
      </c>
      <c r="G698" s="5">
        <f t="shared" si="21"/>
        <v>6.6426511097503749E-3</v>
      </c>
    </row>
    <row r="699" spans="1:7" x14ac:dyDescent="0.25">
      <c r="A699" s="12">
        <v>45511</v>
      </c>
      <c r="B699" s="13">
        <v>1050.3</v>
      </c>
      <c r="C699" s="13">
        <v>1065.4000000000001</v>
      </c>
      <c r="D699" s="5">
        <f t="shared" si="20"/>
        <v>6.95683111662873</v>
      </c>
      <c r="E699" s="5">
        <f t="shared" si="20"/>
        <v>6.971105594482899</v>
      </c>
      <c r="F699" s="5">
        <f t="shared" si="21"/>
        <v>1.8682432326799336E-2</v>
      </c>
      <c r="G699" s="5">
        <f t="shared" si="21"/>
        <v>7.6318267444186461E-3</v>
      </c>
    </row>
    <row r="700" spans="1:7" x14ac:dyDescent="0.25">
      <c r="A700" s="12">
        <v>45512</v>
      </c>
      <c r="B700" s="13">
        <v>1046.31</v>
      </c>
      <c r="C700" s="13">
        <v>1089.5999999999999</v>
      </c>
      <c r="D700" s="5">
        <f t="shared" si="20"/>
        <v>6.953024967829621</v>
      </c>
      <c r="E700" s="5">
        <f t="shared" si="20"/>
        <v>6.9935659353952477</v>
      </c>
      <c r="F700" s="5">
        <f t="shared" si="21"/>
        <v>-3.8061487991090104E-3</v>
      </c>
      <c r="G700" s="5">
        <f t="shared" si="21"/>
        <v>2.246034091234872E-2</v>
      </c>
    </row>
    <row r="701" spans="1:7" x14ac:dyDescent="0.25">
      <c r="A701" s="12">
        <v>45513</v>
      </c>
      <c r="B701" s="13">
        <v>1063.43</v>
      </c>
      <c r="C701" s="13">
        <v>1094.8</v>
      </c>
      <c r="D701" s="5">
        <f t="shared" si="20"/>
        <v>6.9692548120697086</v>
      </c>
      <c r="E701" s="5">
        <f t="shared" si="20"/>
        <v>6.9983269771665242</v>
      </c>
      <c r="F701" s="5">
        <f t="shared" si="21"/>
        <v>1.6229844240087665E-2</v>
      </c>
      <c r="G701" s="5">
        <f t="shared" si="21"/>
        <v>4.761041771276453E-3</v>
      </c>
    </row>
    <row r="702" spans="1:7" x14ac:dyDescent="0.25">
      <c r="A702" s="12">
        <v>45516</v>
      </c>
      <c r="B702" s="13">
        <v>1069.1099999999999</v>
      </c>
      <c r="C702" s="13">
        <v>1099.5999999999999</v>
      </c>
      <c r="D702" s="5">
        <f t="shared" si="20"/>
        <v>6.9745818056376674</v>
      </c>
      <c r="E702" s="5">
        <f t="shared" si="20"/>
        <v>7.0027017562910903</v>
      </c>
      <c r="F702" s="5">
        <f t="shared" si="21"/>
        <v>5.3269935679587377E-3</v>
      </c>
      <c r="G702" s="5">
        <f t="shared" si="21"/>
        <v>4.374779124566075E-3</v>
      </c>
    </row>
    <row r="703" spans="1:7" x14ac:dyDescent="0.25">
      <c r="A703" s="12">
        <v>45517</v>
      </c>
      <c r="B703" s="13">
        <v>1071.01</v>
      </c>
      <c r="C703" s="13">
        <v>1108.7</v>
      </c>
      <c r="D703" s="5">
        <f t="shared" si="20"/>
        <v>6.9763574074723191</v>
      </c>
      <c r="E703" s="5">
        <f t="shared" si="20"/>
        <v>7.0109434367783061</v>
      </c>
      <c r="F703" s="5">
        <f t="shared" si="21"/>
        <v>1.7756018346517521E-3</v>
      </c>
      <c r="G703" s="5">
        <f t="shared" si="21"/>
        <v>8.2416804872158522E-3</v>
      </c>
    </row>
    <row r="704" spans="1:7" x14ac:dyDescent="0.25">
      <c r="A704" s="12">
        <v>45518</v>
      </c>
      <c r="B704" s="13">
        <v>1076.57</v>
      </c>
      <c r="C704" s="13">
        <v>1103</v>
      </c>
      <c r="D704" s="5">
        <f t="shared" si="20"/>
        <v>6.9815353402360989</v>
      </c>
      <c r="E704" s="5">
        <f t="shared" si="20"/>
        <v>7.0057890192535028</v>
      </c>
      <c r="F704" s="5">
        <f t="shared" si="21"/>
        <v>5.1779327637797579E-3</v>
      </c>
      <c r="G704" s="5">
        <f t="shared" si="21"/>
        <v>-5.1544175248032786E-3</v>
      </c>
    </row>
    <row r="705" spans="1:7" x14ac:dyDescent="0.25">
      <c r="A705" s="12">
        <v>45519</v>
      </c>
      <c r="B705" s="13">
        <v>1076</v>
      </c>
      <c r="C705" s="13">
        <v>1117.5</v>
      </c>
      <c r="D705" s="5">
        <f t="shared" si="20"/>
        <v>6.9810057407217299</v>
      </c>
      <c r="E705" s="5">
        <f t="shared" si="20"/>
        <v>7.0188493264877243</v>
      </c>
      <c r="F705" s="5">
        <f t="shared" si="21"/>
        <v>-5.2959951436903907E-4</v>
      </c>
      <c r="G705" s="5">
        <f t="shared" si="21"/>
        <v>1.3060307234221469E-2</v>
      </c>
    </row>
    <row r="706" spans="1:7" x14ac:dyDescent="0.25">
      <c r="A706" s="12">
        <v>45520</v>
      </c>
      <c r="B706" s="13">
        <v>1093.6500000000001</v>
      </c>
      <c r="C706" s="13">
        <v>1130.9000000000001</v>
      </c>
      <c r="D706" s="5">
        <f t="shared" si="20"/>
        <v>6.9972760049205487</v>
      </c>
      <c r="E706" s="5">
        <f t="shared" si="20"/>
        <v>7.0307690548772817</v>
      </c>
      <c r="F706" s="5">
        <f t="shared" si="21"/>
        <v>1.6270264198818829E-2</v>
      </c>
      <c r="G706" s="5">
        <f t="shared" si="21"/>
        <v>1.1919728389557349E-2</v>
      </c>
    </row>
    <row r="707" spans="1:7" x14ac:dyDescent="0.25">
      <c r="A707" s="12">
        <v>45523</v>
      </c>
      <c r="B707" s="13">
        <v>1103.53</v>
      </c>
      <c r="C707" s="13">
        <v>1141.5999999999999</v>
      </c>
      <c r="D707" s="5">
        <f t="shared" si="20"/>
        <v>7.0062694115528981</v>
      </c>
      <c r="E707" s="5">
        <f t="shared" si="20"/>
        <v>7.0401860661626268</v>
      </c>
      <c r="F707" s="5">
        <f t="shared" si="21"/>
        <v>8.9934066323493767E-3</v>
      </c>
      <c r="G707" s="5">
        <f t="shared" si="21"/>
        <v>9.4170112853451116E-3</v>
      </c>
    </row>
    <row r="708" spans="1:7" x14ac:dyDescent="0.25">
      <c r="A708" s="12">
        <v>45524</v>
      </c>
      <c r="B708" s="13">
        <v>1104.45</v>
      </c>
      <c r="C708" s="13">
        <v>1131.3</v>
      </c>
      <c r="D708" s="5">
        <f t="shared" ref="D708:E771" si="22">LN(B708)</f>
        <v>7.0071027524828358</v>
      </c>
      <c r="E708" s="5">
        <f t="shared" si="22"/>
        <v>7.0311226929324206</v>
      </c>
      <c r="F708" s="5">
        <f t="shared" ref="F708:G771" si="23">D708-D707</f>
        <v>8.3334092993769815E-4</v>
      </c>
      <c r="G708" s="5">
        <f t="shared" si="23"/>
        <v>-9.0633732302061176E-3</v>
      </c>
    </row>
    <row r="709" spans="1:7" x14ac:dyDescent="0.25">
      <c r="A709" s="12">
        <v>45525</v>
      </c>
      <c r="B709" s="13">
        <v>1100.8900000000001</v>
      </c>
      <c r="C709" s="13">
        <v>1136.4000000000001</v>
      </c>
      <c r="D709" s="5">
        <f t="shared" si="22"/>
        <v>7.0038742225579478</v>
      </c>
      <c r="E709" s="5">
        <f t="shared" si="22"/>
        <v>7.0356206499800331</v>
      </c>
      <c r="F709" s="5">
        <f t="shared" si="23"/>
        <v>-3.2285299248879795E-3</v>
      </c>
      <c r="G709" s="5">
        <f t="shared" si="23"/>
        <v>4.4979570476124664E-3</v>
      </c>
    </row>
    <row r="710" spans="1:7" x14ac:dyDescent="0.25">
      <c r="A710" s="12">
        <v>45526</v>
      </c>
      <c r="B710" s="13">
        <v>1100.98</v>
      </c>
      <c r="C710" s="13">
        <v>1124.3</v>
      </c>
      <c r="D710" s="5">
        <f t="shared" si="22"/>
        <v>7.0039559712534203</v>
      </c>
      <c r="E710" s="5">
        <f t="shared" si="22"/>
        <v>7.0249158987557143</v>
      </c>
      <c r="F710" s="5">
        <f t="shared" si="23"/>
        <v>8.1748695472505517E-5</v>
      </c>
      <c r="G710" s="5">
        <f t="shared" si="23"/>
        <v>-1.0704751224318798E-2</v>
      </c>
    </row>
    <row r="711" spans="1:7" x14ac:dyDescent="0.25">
      <c r="A711" s="12">
        <v>45527</v>
      </c>
      <c r="B711" s="13">
        <v>1100.68</v>
      </c>
      <c r="C711" s="13">
        <v>1140.7</v>
      </c>
      <c r="D711" s="5">
        <f t="shared" si="22"/>
        <v>7.0036834496089728</v>
      </c>
      <c r="E711" s="5">
        <f t="shared" si="22"/>
        <v>7.0393973880338523</v>
      </c>
      <c r="F711" s="5">
        <f t="shared" si="23"/>
        <v>-2.7252164444746541E-4</v>
      </c>
      <c r="G711" s="5">
        <f t="shared" si="23"/>
        <v>1.4481489278137971E-2</v>
      </c>
    </row>
    <row r="712" spans="1:7" x14ac:dyDescent="0.25">
      <c r="A712" s="12">
        <v>45530</v>
      </c>
      <c r="B712" s="13">
        <v>1104.28</v>
      </c>
      <c r="C712" s="13">
        <v>1130.7</v>
      </c>
      <c r="D712" s="5">
        <f t="shared" si="22"/>
        <v>7.0069488178685226</v>
      </c>
      <c r="E712" s="5">
        <f t="shared" si="22"/>
        <v>7.0305921889411991</v>
      </c>
      <c r="F712" s="5">
        <f t="shared" si="23"/>
        <v>3.2653682595498168E-3</v>
      </c>
      <c r="G712" s="5">
        <f t="shared" si="23"/>
        <v>-8.8051990926532042E-3</v>
      </c>
    </row>
    <row r="713" spans="1:7" x14ac:dyDescent="0.25">
      <c r="A713" s="12">
        <v>45531</v>
      </c>
      <c r="B713" s="13">
        <v>1099.77</v>
      </c>
      <c r="C713" s="13">
        <v>1132.5999999999999</v>
      </c>
      <c r="D713" s="5">
        <f t="shared" si="22"/>
        <v>7.002856346014819</v>
      </c>
      <c r="E713" s="5">
        <f t="shared" si="22"/>
        <v>7.0322711536797042</v>
      </c>
      <c r="F713" s="5">
        <f t="shared" si="23"/>
        <v>-4.0924718537036497E-3</v>
      </c>
      <c r="G713" s="5">
        <f t="shared" si="23"/>
        <v>1.6789647385051509E-3</v>
      </c>
    </row>
    <row r="714" spans="1:7" x14ac:dyDescent="0.25">
      <c r="A714" s="12">
        <v>45532</v>
      </c>
      <c r="B714" s="13">
        <v>1097.22</v>
      </c>
      <c r="C714" s="13">
        <v>1124.2</v>
      </c>
      <c r="D714" s="5">
        <f t="shared" si="22"/>
        <v>7.0005349871145963</v>
      </c>
      <c r="E714" s="5">
        <f t="shared" si="22"/>
        <v>7.0248269505679746</v>
      </c>
      <c r="F714" s="5">
        <f t="shared" si="23"/>
        <v>-2.3213589002226698E-3</v>
      </c>
      <c r="G714" s="5">
        <f t="shared" si="23"/>
        <v>-7.4442031117296636E-3</v>
      </c>
    </row>
    <row r="715" spans="1:7" x14ac:dyDescent="0.25">
      <c r="A715" s="12">
        <v>45533</v>
      </c>
      <c r="B715" s="13">
        <v>1094.96</v>
      </c>
      <c r="C715" s="13">
        <v>1126.4000000000001</v>
      </c>
      <c r="D715" s="5">
        <f t="shared" si="22"/>
        <v>6.998473111903011</v>
      </c>
      <c r="E715" s="5">
        <f t="shared" si="22"/>
        <v>7.0267819854037779</v>
      </c>
      <c r="F715" s="5">
        <f t="shared" si="23"/>
        <v>-2.0618752115852956E-3</v>
      </c>
      <c r="G715" s="5">
        <f t="shared" si="23"/>
        <v>1.9550348358032821E-3</v>
      </c>
    </row>
    <row r="716" spans="1:7" x14ac:dyDescent="0.25">
      <c r="A716" s="12">
        <v>45534</v>
      </c>
      <c r="B716" s="13">
        <v>1099.92</v>
      </c>
      <c r="C716" s="13">
        <v>1126.7</v>
      </c>
      <c r="D716" s="5">
        <f t="shared" si="22"/>
        <v>7.0029927288689784</v>
      </c>
      <c r="E716" s="5">
        <f t="shared" si="22"/>
        <v>7.0270482851701201</v>
      </c>
      <c r="F716" s="5">
        <f t="shared" si="23"/>
        <v>4.5196169659673657E-3</v>
      </c>
      <c r="G716" s="5">
        <f t="shared" si="23"/>
        <v>2.662997663422928E-4</v>
      </c>
    </row>
    <row r="717" spans="1:7" x14ac:dyDescent="0.25">
      <c r="A717" s="12">
        <v>45537</v>
      </c>
      <c r="B717" s="13">
        <v>1096.3399999999999</v>
      </c>
      <c r="C717" s="13">
        <v>1124.5</v>
      </c>
      <c r="D717" s="5">
        <f t="shared" si="22"/>
        <v>6.9997326383781049</v>
      </c>
      <c r="E717" s="5">
        <f t="shared" si="22"/>
        <v>7.0250937713993702</v>
      </c>
      <c r="F717" s="5">
        <f t="shared" si="23"/>
        <v>-3.2600904908735018E-3</v>
      </c>
      <c r="G717" s="5">
        <f t="shared" si="23"/>
        <v>-1.9545137707499549E-3</v>
      </c>
    </row>
    <row r="718" spans="1:7" x14ac:dyDescent="0.25">
      <c r="A718" s="12">
        <v>45538</v>
      </c>
      <c r="B718" s="13">
        <v>1090.17</v>
      </c>
      <c r="C718" s="13">
        <v>1105.5999999999999</v>
      </c>
      <c r="D718" s="5">
        <f t="shared" si="22"/>
        <v>6.9940889263649302</v>
      </c>
      <c r="E718" s="5">
        <f t="shared" si="22"/>
        <v>7.008143453013405</v>
      </c>
      <c r="F718" s="5">
        <f t="shared" si="23"/>
        <v>-5.6437120131747065E-3</v>
      </c>
      <c r="G718" s="5">
        <f t="shared" si="23"/>
        <v>-1.6950318385965168E-2</v>
      </c>
    </row>
    <row r="719" spans="1:7" x14ac:dyDescent="0.25">
      <c r="A719" s="12">
        <v>45539</v>
      </c>
      <c r="B719" s="13">
        <v>1073.5899999999999</v>
      </c>
      <c r="C719" s="13">
        <v>1103.8</v>
      </c>
      <c r="D719" s="5">
        <f t="shared" si="22"/>
        <v>6.9787634517180015</v>
      </c>
      <c r="E719" s="5">
        <f t="shared" si="22"/>
        <v>7.0065140510054009</v>
      </c>
      <c r="F719" s="5">
        <f t="shared" si="23"/>
        <v>-1.5325474646928683E-2</v>
      </c>
      <c r="G719" s="5">
        <f t="shared" si="23"/>
        <v>-1.6294020080040994E-3</v>
      </c>
    </row>
    <row r="720" spans="1:7" x14ac:dyDescent="0.25">
      <c r="A720" s="12">
        <v>45540</v>
      </c>
      <c r="B720" s="13">
        <v>1076.0899999999999</v>
      </c>
      <c r="C720" s="13">
        <v>1104.2</v>
      </c>
      <c r="D720" s="5">
        <f t="shared" si="22"/>
        <v>6.981089380346515</v>
      </c>
      <c r="E720" s="5">
        <f t="shared" si="22"/>
        <v>7.0068763698499446</v>
      </c>
      <c r="F720" s="5">
        <f t="shared" si="23"/>
        <v>2.3259286285135516E-3</v>
      </c>
      <c r="G720" s="5">
        <f t="shared" si="23"/>
        <v>3.6231884454362984E-4</v>
      </c>
    </row>
    <row r="721" spans="1:7" x14ac:dyDescent="0.25">
      <c r="A721" s="12">
        <v>45541</v>
      </c>
      <c r="B721" s="13">
        <v>1074.8900000000001</v>
      </c>
      <c r="C721" s="13">
        <v>1082.2</v>
      </c>
      <c r="D721" s="5">
        <f t="shared" si="22"/>
        <v>6.9799736097447482</v>
      </c>
      <c r="E721" s="5">
        <f t="shared" si="22"/>
        <v>6.9867512852086353</v>
      </c>
      <c r="F721" s="5">
        <f t="shared" si="23"/>
        <v>-1.115770601766819E-3</v>
      </c>
      <c r="G721" s="5">
        <f t="shared" si="23"/>
        <v>-2.0125084641309243E-2</v>
      </c>
    </row>
    <row r="722" spans="1:7" x14ac:dyDescent="0.25">
      <c r="A722" s="12">
        <v>45544</v>
      </c>
      <c r="B722" s="13">
        <v>1063.44</v>
      </c>
      <c r="C722" s="13">
        <v>1091.5</v>
      </c>
      <c r="D722" s="5">
        <f t="shared" si="22"/>
        <v>6.9692642155593436</v>
      </c>
      <c r="E722" s="5">
        <f t="shared" si="22"/>
        <v>6.9953081759899982</v>
      </c>
      <c r="F722" s="5">
        <f t="shared" si="23"/>
        <v>-1.0709394185404619E-2</v>
      </c>
      <c r="G722" s="5">
        <f t="shared" si="23"/>
        <v>8.5568907813629025E-3</v>
      </c>
    </row>
    <row r="723" spans="1:7" x14ac:dyDescent="0.25">
      <c r="A723" s="12">
        <v>45545</v>
      </c>
      <c r="B723" s="13">
        <v>1062.8800000000001</v>
      </c>
      <c r="C723" s="13">
        <v>1088.4000000000001</v>
      </c>
      <c r="D723" s="5">
        <f t="shared" si="22"/>
        <v>6.9687374839169314</v>
      </c>
      <c r="E723" s="5">
        <f t="shared" si="22"/>
        <v>6.9924640069090911</v>
      </c>
      <c r="F723" s="5">
        <f t="shared" si="23"/>
        <v>-5.2673164241223702E-4</v>
      </c>
      <c r="G723" s="5">
        <f t="shared" si="23"/>
        <v>-2.8441690809071218E-3</v>
      </c>
    </row>
    <row r="724" spans="1:7" x14ac:dyDescent="0.25">
      <c r="A724" s="12">
        <v>45546</v>
      </c>
      <c r="B724" s="13">
        <v>1058.69</v>
      </c>
      <c r="C724" s="13">
        <v>1094.5999999999999</v>
      </c>
      <c r="D724" s="5">
        <f t="shared" si="22"/>
        <v>6.9647875737582998</v>
      </c>
      <c r="E724" s="5">
        <f t="shared" si="22"/>
        <v>6.9981442787098178</v>
      </c>
      <c r="F724" s="5">
        <f t="shared" si="23"/>
        <v>-3.9499101586315533E-3</v>
      </c>
      <c r="G724" s="5">
        <f t="shared" si="23"/>
        <v>5.6802718007267217E-3</v>
      </c>
    </row>
    <row r="725" spans="1:7" x14ac:dyDescent="0.25">
      <c r="A725" s="12">
        <v>45547</v>
      </c>
      <c r="B725" s="13">
        <v>1075.6199999999999</v>
      </c>
      <c r="C725" s="13">
        <v>1105</v>
      </c>
      <c r="D725" s="5">
        <f t="shared" si="22"/>
        <v>6.9806525184948018</v>
      </c>
      <c r="E725" s="5">
        <f t="shared" si="22"/>
        <v>7.007600613951853</v>
      </c>
      <c r="F725" s="5">
        <f t="shared" si="23"/>
        <v>1.5864944736502018E-2</v>
      </c>
      <c r="G725" s="5">
        <f t="shared" si="23"/>
        <v>9.4563352420351521E-3</v>
      </c>
    </row>
    <row r="726" spans="1:7" x14ac:dyDescent="0.25">
      <c r="A726" s="12">
        <v>45548</v>
      </c>
      <c r="B726" s="13">
        <v>1082.3</v>
      </c>
      <c r="C726" s="13">
        <v>1107.8</v>
      </c>
      <c r="D726" s="5">
        <f t="shared" si="22"/>
        <v>6.9868436853011007</v>
      </c>
      <c r="E726" s="5">
        <f t="shared" si="22"/>
        <v>7.0101313455990031</v>
      </c>
      <c r="F726" s="5">
        <f t="shared" si="23"/>
        <v>6.1911668062988312E-3</v>
      </c>
      <c r="G726" s="5">
        <f t="shared" si="23"/>
        <v>2.5307316471501196E-3</v>
      </c>
    </row>
    <row r="727" spans="1:7" x14ac:dyDescent="0.25">
      <c r="A727" s="12">
        <v>45551</v>
      </c>
      <c r="B727" s="13">
        <v>1086.02</v>
      </c>
      <c r="C727" s="13">
        <v>1111.7</v>
      </c>
      <c r="D727" s="5">
        <f t="shared" si="22"/>
        <v>6.9902749165305664</v>
      </c>
      <c r="E727" s="5">
        <f t="shared" si="22"/>
        <v>7.0136456542395695</v>
      </c>
      <c r="F727" s="5">
        <f t="shared" si="23"/>
        <v>3.4312312294657588E-3</v>
      </c>
      <c r="G727" s="5">
        <f t="shared" si="23"/>
        <v>3.5143086405664548E-3</v>
      </c>
    </row>
    <row r="728" spans="1:7" x14ac:dyDescent="0.25">
      <c r="A728" s="12">
        <v>45552</v>
      </c>
      <c r="B728" s="13">
        <v>1090.51</v>
      </c>
      <c r="C728" s="13">
        <v>1113.9000000000001</v>
      </c>
      <c r="D728" s="5">
        <f t="shared" si="22"/>
        <v>6.9944007557050947</v>
      </c>
      <c r="E728" s="5">
        <f t="shared" si="22"/>
        <v>7.015622649851144</v>
      </c>
      <c r="F728" s="5">
        <f t="shared" si="23"/>
        <v>4.1258391745282452E-3</v>
      </c>
      <c r="G728" s="5">
        <f t="shared" si="23"/>
        <v>1.9769956115744947E-3</v>
      </c>
    </row>
    <row r="729" spans="1:7" x14ac:dyDescent="0.25">
      <c r="A729" s="12">
        <v>45553</v>
      </c>
      <c r="B729" s="13">
        <v>1087.75</v>
      </c>
      <c r="C729" s="13">
        <v>1110.9000000000001</v>
      </c>
      <c r="D729" s="5">
        <f t="shared" si="22"/>
        <v>6.9918666216007894</v>
      </c>
      <c r="E729" s="5">
        <f t="shared" si="22"/>
        <v>7.0129257765876769</v>
      </c>
      <c r="F729" s="5">
        <f t="shared" si="23"/>
        <v>-2.5341341043052523E-3</v>
      </c>
      <c r="G729" s="5">
        <f t="shared" si="23"/>
        <v>-2.6968732634671255E-3</v>
      </c>
    </row>
    <row r="730" spans="1:7" x14ac:dyDescent="0.25">
      <c r="A730" s="12">
        <v>45554</v>
      </c>
      <c r="B730" s="13">
        <v>1100.1500000000001</v>
      </c>
      <c r="C730" s="13">
        <v>1134</v>
      </c>
      <c r="D730" s="5">
        <f t="shared" si="22"/>
        <v>7.0032018131261502</v>
      </c>
      <c r="E730" s="5">
        <f t="shared" si="22"/>
        <v>7.0335064842876971</v>
      </c>
      <c r="F730" s="5">
        <f t="shared" si="23"/>
        <v>1.1335191525360777E-2</v>
      </c>
      <c r="G730" s="5">
        <f t="shared" si="23"/>
        <v>2.0580707700020184E-2</v>
      </c>
    </row>
    <row r="731" spans="1:7" x14ac:dyDescent="0.25">
      <c r="A731" s="12">
        <v>45555</v>
      </c>
      <c r="B731" s="13">
        <v>1106.44</v>
      </c>
      <c r="C731" s="13">
        <v>1131.7</v>
      </c>
      <c r="D731" s="5">
        <f t="shared" si="22"/>
        <v>7.0089029329869836</v>
      </c>
      <c r="E731" s="5">
        <f t="shared" si="22"/>
        <v>7.031476205971896</v>
      </c>
      <c r="F731" s="5">
        <f t="shared" si="23"/>
        <v>5.7011198608334368E-3</v>
      </c>
      <c r="G731" s="5">
        <f t="shared" si="23"/>
        <v>-2.0302783158010484E-3</v>
      </c>
    </row>
    <row r="732" spans="1:7" x14ac:dyDescent="0.25">
      <c r="A732" s="12">
        <v>45558</v>
      </c>
      <c r="B732" s="13">
        <v>1110.6600000000001</v>
      </c>
      <c r="C732" s="13">
        <v>1139.8</v>
      </c>
      <c r="D732" s="5">
        <f t="shared" si="22"/>
        <v>7.0127097121996487</v>
      </c>
      <c r="E732" s="5">
        <f t="shared" si="22"/>
        <v>7.0386080874008989</v>
      </c>
      <c r="F732" s="5">
        <f t="shared" si="23"/>
        <v>3.8067792126650346E-3</v>
      </c>
      <c r="G732" s="5">
        <f t="shared" si="23"/>
        <v>7.1318814290028953E-3</v>
      </c>
    </row>
    <row r="733" spans="1:7" x14ac:dyDescent="0.25">
      <c r="A733" s="12">
        <v>45559</v>
      </c>
      <c r="B733" s="13">
        <v>1132.04</v>
      </c>
      <c r="C733" s="13">
        <v>1178</v>
      </c>
      <c r="D733" s="5">
        <f t="shared" si="22"/>
        <v>7.0317765938278836</v>
      </c>
      <c r="E733" s="5">
        <f t="shared" si="22"/>
        <v>7.0715733642115319</v>
      </c>
      <c r="F733" s="5">
        <f t="shared" si="23"/>
        <v>1.9066881628234889E-2</v>
      </c>
      <c r="G733" s="5">
        <f t="shared" si="23"/>
        <v>3.2965276810632993E-2</v>
      </c>
    </row>
    <row r="734" spans="1:7" x14ac:dyDescent="0.25">
      <c r="A734" s="12">
        <v>45560</v>
      </c>
      <c r="B734" s="13">
        <v>1136.8</v>
      </c>
      <c r="C734" s="13">
        <v>1164.3</v>
      </c>
      <c r="D734" s="5">
        <f t="shared" si="22"/>
        <v>7.0359725767828909</v>
      </c>
      <c r="E734" s="5">
        <f t="shared" si="22"/>
        <v>7.0598753270429704</v>
      </c>
      <c r="F734" s="5">
        <f t="shared" si="23"/>
        <v>4.195982955007338E-3</v>
      </c>
      <c r="G734" s="5">
        <f t="shared" si="23"/>
        <v>-1.1698037168561548E-2</v>
      </c>
    </row>
    <row r="735" spans="1:7" x14ac:dyDescent="0.25">
      <c r="A735" s="12">
        <v>45561</v>
      </c>
      <c r="B735" s="13">
        <v>1163.3800000000001</v>
      </c>
      <c r="C735" s="13">
        <v>1208.3</v>
      </c>
      <c r="D735" s="5">
        <f t="shared" si="22"/>
        <v>7.0590848403369746</v>
      </c>
      <c r="E735" s="5">
        <f t="shared" si="22"/>
        <v>7.0969696920332623</v>
      </c>
      <c r="F735" s="5">
        <f t="shared" si="23"/>
        <v>2.311226355408369E-2</v>
      </c>
      <c r="G735" s="5">
        <f t="shared" si="23"/>
        <v>3.709436499029195E-2</v>
      </c>
    </row>
    <row r="736" spans="1:7" x14ac:dyDescent="0.25">
      <c r="A736" s="12">
        <v>45562</v>
      </c>
      <c r="B736" s="13">
        <v>1174.52</v>
      </c>
      <c r="C736" s="13">
        <v>1205.8</v>
      </c>
      <c r="D736" s="5">
        <f t="shared" si="22"/>
        <v>7.0686148324767597</v>
      </c>
      <c r="E736" s="5">
        <f t="shared" si="22"/>
        <v>7.0948985260553048</v>
      </c>
      <c r="F736" s="5">
        <f t="shared" si="23"/>
        <v>9.5299921397851151E-3</v>
      </c>
      <c r="G736" s="5">
        <f t="shared" si="23"/>
        <v>-2.0711659779575342E-3</v>
      </c>
    </row>
    <row r="737" spans="1:7" x14ac:dyDescent="0.25">
      <c r="A737" s="12">
        <v>45565</v>
      </c>
      <c r="B737" s="13">
        <v>1170.8499999999999</v>
      </c>
      <c r="C737" s="13">
        <v>1186</v>
      </c>
      <c r="D737" s="5">
        <f t="shared" si="22"/>
        <v>7.0654852597480211</v>
      </c>
      <c r="E737" s="5">
        <f t="shared" si="22"/>
        <v>7.0783415795576712</v>
      </c>
      <c r="F737" s="5">
        <f t="shared" si="23"/>
        <v>-3.1295727287385944E-3</v>
      </c>
      <c r="G737" s="5">
        <f t="shared" si="23"/>
        <v>-1.6556946497633618E-2</v>
      </c>
    </row>
    <row r="738" spans="1:7" x14ac:dyDescent="0.25">
      <c r="A738" s="12">
        <v>45566</v>
      </c>
      <c r="B738" s="13">
        <v>1172.5899999999999</v>
      </c>
      <c r="C738" s="13">
        <v>1193.5</v>
      </c>
      <c r="D738" s="5">
        <f t="shared" si="22"/>
        <v>7.0669702564364423</v>
      </c>
      <c r="E738" s="5">
        <f t="shared" si="22"/>
        <v>7.084645445778885</v>
      </c>
      <c r="F738" s="5">
        <f t="shared" si="23"/>
        <v>1.4849966884211696E-3</v>
      </c>
      <c r="G738" s="5">
        <f t="shared" si="23"/>
        <v>6.3038662212138163E-3</v>
      </c>
    </row>
    <row r="739" spans="1:7" x14ac:dyDescent="0.25">
      <c r="A739" s="12">
        <v>45567</v>
      </c>
      <c r="B739" s="13">
        <v>1187.97</v>
      </c>
      <c r="C739" s="13">
        <v>1212.8</v>
      </c>
      <c r="D739" s="5">
        <f t="shared" si="22"/>
        <v>7.0800012470784877</v>
      </c>
      <c r="E739" s="5">
        <f t="shared" si="22"/>
        <v>7.1006870148881074</v>
      </c>
      <c r="F739" s="5">
        <f t="shared" si="23"/>
        <v>1.3030990642045381E-2</v>
      </c>
      <c r="G739" s="5">
        <f t="shared" si="23"/>
        <v>1.6041569109222387E-2</v>
      </c>
    </row>
    <row r="740" spans="1:7" x14ac:dyDescent="0.25">
      <c r="A740" s="12">
        <v>45568</v>
      </c>
      <c r="B740" s="13">
        <v>1173.02</v>
      </c>
      <c r="C740" s="13">
        <v>1198.5999999999999</v>
      </c>
      <c r="D740" s="5">
        <f t="shared" si="22"/>
        <v>7.0673368988065013</v>
      </c>
      <c r="E740" s="5">
        <f t="shared" si="22"/>
        <v>7.0889094880240844</v>
      </c>
      <c r="F740" s="5">
        <f t="shared" si="23"/>
        <v>-1.266434827198637E-2</v>
      </c>
      <c r="G740" s="5">
        <f t="shared" si="23"/>
        <v>-1.1777526864023002E-2</v>
      </c>
    </row>
    <row r="741" spans="1:7" x14ac:dyDescent="0.25">
      <c r="A741" s="12">
        <v>45569</v>
      </c>
      <c r="B741" s="13">
        <v>1179.3399999999999</v>
      </c>
      <c r="C741" s="13">
        <v>1214.0999999999999</v>
      </c>
      <c r="D741" s="5">
        <f t="shared" si="22"/>
        <v>7.0727102389468923</v>
      </c>
      <c r="E741" s="5">
        <f t="shared" si="22"/>
        <v>7.1017583405499298</v>
      </c>
      <c r="F741" s="5">
        <f t="shared" si="23"/>
        <v>5.3733401403910364E-3</v>
      </c>
      <c r="G741" s="5">
        <f t="shared" si="23"/>
        <v>1.2848852525845444E-2</v>
      </c>
    </row>
    <row r="742" spans="1:7" x14ac:dyDescent="0.25">
      <c r="A742" s="12">
        <v>45572</v>
      </c>
      <c r="B742" s="13">
        <v>1183.78</v>
      </c>
      <c r="C742" s="13">
        <v>1224.8</v>
      </c>
      <c r="D742" s="5">
        <f t="shared" si="22"/>
        <v>7.0764679873681731</v>
      </c>
      <c r="E742" s="5">
        <f t="shared" si="22"/>
        <v>7.1105328443434743</v>
      </c>
      <c r="F742" s="5">
        <f t="shared" si="23"/>
        <v>3.7577484212807377E-3</v>
      </c>
      <c r="G742" s="5">
        <f t="shared" si="23"/>
        <v>8.7745037935444969E-3</v>
      </c>
    </row>
    <row r="743" spans="1:7" x14ac:dyDescent="0.25">
      <c r="A743" s="12">
        <v>45573</v>
      </c>
      <c r="B743" s="13">
        <v>1156.23</v>
      </c>
      <c r="C743" s="13">
        <v>1193.2</v>
      </c>
      <c r="D743" s="5">
        <f t="shared" si="22"/>
        <v>7.0529199913797376</v>
      </c>
      <c r="E743" s="5">
        <f t="shared" si="22"/>
        <v>7.0843940526405937</v>
      </c>
      <c r="F743" s="5">
        <f t="shared" si="23"/>
        <v>-2.3547995988435488E-2</v>
      </c>
      <c r="G743" s="5">
        <f t="shared" si="23"/>
        <v>-2.6138791702880582E-2</v>
      </c>
    </row>
    <row r="744" spans="1:7" x14ac:dyDescent="0.25">
      <c r="A744" s="12">
        <v>45574</v>
      </c>
      <c r="B744" s="13">
        <v>1148.27</v>
      </c>
      <c r="C744" s="13">
        <v>1186.7</v>
      </c>
      <c r="D744" s="5">
        <f t="shared" si="22"/>
        <v>7.0460117408639249</v>
      </c>
      <c r="E744" s="5">
        <f t="shared" si="22"/>
        <v>7.0789316246710934</v>
      </c>
      <c r="F744" s="5">
        <f t="shared" si="23"/>
        <v>-6.908250515812675E-3</v>
      </c>
      <c r="G744" s="5">
        <f t="shared" si="23"/>
        <v>-5.4624279695003608E-3</v>
      </c>
    </row>
    <row r="745" spans="1:7" x14ac:dyDescent="0.25">
      <c r="A745" s="12">
        <v>45575</v>
      </c>
      <c r="B745" s="13">
        <v>1156.96</v>
      </c>
      <c r="C745" s="13">
        <v>1190.5</v>
      </c>
      <c r="D745" s="5">
        <f t="shared" si="22"/>
        <v>7.0535511544266418</v>
      </c>
      <c r="E745" s="5">
        <f t="shared" si="22"/>
        <v>7.0821286659269171</v>
      </c>
      <c r="F745" s="5">
        <f t="shared" si="23"/>
        <v>7.5394135627169234E-3</v>
      </c>
      <c r="G745" s="5">
        <f t="shared" si="23"/>
        <v>3.1970412558237626E-3</v>
      </c>
    </row>
    <row r="746" spans="1:7" x14ac:dyDescent="0.25">
      <c r="A746" s="12">
        <v>45576</v>
      </c>
      <c r="B746" s="13">
        <v>1159.56</v>
      </c>
      <c r="C746" s="13">
        <v>1198.2</v>
      </c>
      <c r="D746" s="5">
        <f t="shared" si="22"/>
        <v>7.0557959017992173</v>
      </c>
      <c r="E746" s="5">
        <f t="shared" si="22"/>
        <v>7.0885757096498248</v>
      </c>
      <c r="F746" s="5">
        <f t="shared" si="23"/>
        <v>2.2447473725755174E-3</v>
      </c>
      <c r="G746" s="5">
        <f t="shared" si="23"/>
        <v>6.4470437229076083E-3</v>
      </c>
    </row>
    <row r="747" spans="1:7" x14ac:dyDescent="0.25">
      <c r="A747" s="12">
        <v>45579</v>
      </c>
      <c r="B747" s="13">
        <v>1160.06</v>
      </c>
      <c r="C747" s="13">
        <v>1193.0999999999999</v>
      </c>
      <c r="D747" s="5">
        <f t="shared" si="22"/>
        <v>7.056227006900694</v>
      </c>
      <c r="E747" s="5">
        <f t="shared" si="22"/>
        <v>7.0843102408817549</v>
      </c>
      <c r="F747" s="5">
        <f t="shared" si="23"/>
        <v>4.3110510147670311E-4</v>
      </c>
      <c r="G747" s="5">
        <f t="shared" si="23"/>
        <v>-4.26546876806988E-3</v>
      </c>
    </row>
    <row r="748" spans="1:7" x14ac:dyDescent="0.25">
      <c r="A748" s="12">
        <v>45580</v>
      </c>
      <c r="B748" s="13">
        <v>1149.73</v>
      </c>
      <c r="C748" s="13">
        <v>1166.5999999999999</v>
      </c>
      <c r="D748" s="5">
        <f t="shared" si="22"/>
        <v>7.0472824111828487</v>
      </c>
      <c r="E748" s="5">
        <f t="shared" si="22"/>
        <v>7.0618488143195375</v>
      </c>
      <c r="F748" s="5">
        <f t="shared" si="23"/>
        <v>-8.9445957178453384E-3</v>
      </c>
      <c r="G748" s="5">
        <f t="shared" si="23"/>
        <v>-2.246142656221739E-2</v>
      </c>
    </row>
    <row r="749" spans="1:7" x14ac:dyDescent="0.25">
      <c r="A749" s="12">
        <v>45581</v>
      </c>
      <c r="B749" s="13">
        <v>1144.04</v>
      </c>
      <c r="C749" s="13">
        <v>1176</v>
      </c>
      <c r="D749" s="5">
        <f t="shared" si="22"/>
        <v>7.0423211363634453</v>
      </c>
      <c r="E749" s="5">
        <f t="shared" si="22"/>
        <v>7.0698741284585722</v>
      </c>
      <c r="F749" s="5">
        <f t="shared" si="23"/>
        <v>-4.9612748194034495E-3</v>
      </c>
      <c r="G749" s="5">
        <f t="shared" si="23"/>
        <v>8.0253141390347338E-3</v>
      </c>
    </row>
    <row r="750" spans="1:7" x14ac:dyDescent="0.25">
      <c r="A750" s="12">
        <v>45582</v>
      </c>
      <c r="B750" s="13">
        <v>1135.1300000000001</v>
      </c>
      <c r="C750" s="13">
        <v>1173.9000000000001</v>
      </c>
      <c r="D750" s="5">
        <f t="shared" si="22"/>
        <v>7.0345024608015247</v>
      </c>
      <c r="E750" s="5">
        <f t="shared" si="22"/>
        <v>7.0680868178844767</v>
      </c>
      <c r="F750" s="5">
        <f t="shared" si="23"/>
        <v>-7.8186755619205073E-3</v>
      </c>
      <c r="G750" s="5">
        <f t="shared" si="23"/>
        <v>-1.7873105740955353E-3</v>
      </c>
    </row>
    <row r="751" spans="1:7" x14ac:dyDescent="0.25">
      <c r="A751" s="12">
        <v>45583</v>
      </c>
      <c r="B751" s="13">
        <v>1155.1199999999999</v>
      </c>
      <c r="C751" s="13">
        <v>1185</v>
      </c>
      <c r="D751" s="5">
        <f t="shared" si="22"/>
        <v>7.0519595136629638</v>
      </c>
      <c r="E751" s="5">
        <f t="shared" si="22"/>
        <v>7.0774980535692311</v>
      </c>
      <c r="F751" s="5">
        <f t="shared" si="23"/>
        <v>1.745705286143906E-2</v>
      </c>
      <c r="G751" s="5">
        <f t="shared" si="23"/>
        <v>9.4112356847544376E-3</v>
      </c>
    </row>
    <row r="752" spans="1:7" x14ac:dyDescent="0.25">
      <c r="A752" s="12">
        <v>45586</v>
      </c>
      <c r="B752" s="13">
        <v>1148.42</v>
      </c>
      <c r="C752" s="13">
        <v>1177.2</v>
      </c>
      <c r="D752" s="5">
        <f t="shared" si="22"/>
        <v>7.046142363629917</v>
      </c>
      <c r="E752" s="5">
        <f t="shared" si="22"/>
        <v>7.0708940163593175</v>
      </c>
      <c r="F752" s="5">
        <f t="shared" si="23"/>
        <v>-5.8171500330468362E-3</v>
      </c>
      <c r="G752" s="5">
        <f t="shared" si="23"/>
        <v>-6.6040372099136491E-3</v>
      </c>
    </row>
    <row r="753" spans="1:7" x14ac:dyDescent="0.25">
      <c r="A753" s="12">
        <v>45587</v>
      </c>
      <c r="B753" s="13">
        <v>1142.19</v>
      </c>
      <c r="C753" s="13">
        <v>1174.2</v>
      </c>
      <c r="D753" s="5">
        <f t="shared" si="22"/>
        <v>7.0407027511582925</v>
      </c>
      <c r="E753" s="5">
        <f t="shared" si="22"/>
        <v>7.0683423436300856</v>
      </c>
      <c r="F753" s="5">
        <f t="shared" si="23"/>
        <v>-5.4396124716244998E-3</v>
      </c>
      <c r="G753" s="5">
        <f t="shared" si="23"/>
        <v>-2.5516727292318464E-3</v>
      </c>
    </row>
    <row r="754" spans="1:7" x14ac:dyDescent="0.25">
      <c r="A754" s="12">
        <v>45588</v>
      </c>
      <c r="B754" s="13">
        <v>1141.81</v>
      </c>
      <c r="C754" s="13">
        <v>1167.5</v>
      </c>
      <c r="D754" s="5">
        <f t="shared" si="22"/>
        <v>7.0403700015930504</v>
      </c>
      <c r="E754" s="5">
        <f t="shared" si="22"/>
        <v>7.0626199895430526</v>
      </c>
      <c r="F754" s="5">
        <f t="shared" si="23"/>
        <v>-3.3274956524209642E-4</v>
      </c>
      <c r="G754" s="5">
        <f t="shared" si="23"/>
        <v>-5.7223540870330325E-3</v>
      </c>
    </row>
    <row r="755" spans="1:7" x14ac:dyDescent="0.25">
      <c r="A755" s="12">
        <v>45589</v>
      </c>
      <c r="B755" s="13">
        <v>1134.52</v>
      </c>
      <c r="C755" s="13">
        <v>1164.0999999999999</v>
      </c>
      <c r="D755" s="5">
        <f t="shared" si="22"/>
        <v>7.0339649329759233</v>
      </c>
      <c r="E755" s="5">
        <f t="shared" si="22"/>
        <v>7.0597035352541955</v>
      </c>
      <c r="F755" s="5">
        <f t="shared" si="23"/>
        <v>-6.4050686171270854E-3</v>
      </c>
      <c r="G755" s="5">
        <f t="shared" si="23"/>
        <v>-2.9164542888571177E-3</v>
      </c>
    </row>
    <row r="756" spans="1:7" x14ac:dyDescent="0.25">
      <c r="A756" s="12">
        <v>45590</v>
      </c>
      <c r="B756" s="13">
        <v>1134.8800000000001</v>
      </c>
      <c r="C756" s="13">
        <v>1163.3</v>
      </c>
      <c r="D756" s="5">
        <f t="shared" si="22"/>
        <v>7.034282197453777</v>
      </c>
      <c r="E756" s="5">
        <f t="shared" si="22"/>
        <v>7.0590160728227209</v>
      </c>
      <c r="F756" s="5">
        <f t="shared" si="23"/>
        <v>3.1726447785374035E-4</v>
      </c>
      <c r="G756" s="5">
        <f t="shared" si="23"/>
        <v>-6.8746243147455033E-4</v>
      </c>
    </row>
    <row r="757" spans="1:7" x14ac:dyDescent="0.25">
      <c r="A757" s="12">
        <v>45593</v>
      </c>
      <c r="B757" s="13">
        <v>1137.94</v>
      </c>
      <c r="C757" s="13">
        <v>1167.4000000000001</v>
      </c>
      <c r="D757" s="5">
        <f t="shared" si="22"/>
        <v>7.0369748892189845</v>
      </c>
      <c r="E757" s="5">
        <f t="shared" si="22"/>
        <v>7.0625343327696903</v>
      </c>
      <c r="F757" s="5">
        <f t="shared" si="23"/>
        <v>2.6926917652074778E-3</v>
      </c>
      <c r="G757" s="5">
        <f t="shared" si="23"/>
        <v>3.5182599469694154E-3</v>
      </c>
    </row>
    <row r="758" spans="1:7" x14ac:dyDescent="0.25">
      <c r="A758" s="12">
        <v>45594</v>
      </c>
      <c r="B758" s="13">
        <v>1136.47</v>
      </c>
      <c r="C758" s="13">
        <v>1164.0999999999999</v>
      </c>
      <c r="D758" s="5">
        <f t="shared" si="22"/>
        <v>7.0356822461118149</v>
      </c>
      <c r="E758" s="5">
        <f t="shared" si="22"/>
        <v>7.0597035352541955</v>
      </c>
      <c r="F758" s="5">
        <f t="shared" si="23"/>
        <v>-1.2926431071695887E-3</v>
      </c>
      <c r="G758" s="5">
        <f t="shared" si="23"/>
        <v>-2.830797515494865E-3</v>
      </c>
    </row>
    <row r="759" spans="1:7" x14ac:dyDescent="0.25">
      <c r="A759" s="12">
        <v>45595</v>
      </c>
      <c r="B759" s="13">
        <v>1126.51</v>
      </c>
      <c r="C759" s="13">
        <v>1151.5</v>
      </c>
      <c r="D759" s="5">
        <f t="shared" si="22"/>
        <v>7.0268796368857167</v>
      </c>
      <c r="E759" s="5">
        <f t="shared" si="22"/>
        <v>7.0488207192607399</v>
      </c>
      <c r="F759" s="5">
        <f t="shared" si="23"/>
        <v>-8.8026092260982125E-3</v>
      </c>
      <c r="G759" s="5">
        <f t="shared" si="23"/>
        <v>-1.088281599345553E-2</v>
      </c>
    </row>
    <row r="760" spans="1:7" x14ac:dyDescent="0.25">
      <c r="A760" s="12">
        <v>45596</v>
      </c>
      <c r="B760" s="13">
        <v>1119.52</v>
      </c>
      <c r="C760" s="13">
        <v>1146.7</v>
      </c>
      <c r="D760" s="5">
        <f t="shared" si="22"/>
        <v>7.0206553009975865</v>
      </c>
      <c r="E760" s="5">
        <f t="shared" si="22"/>
        <v>7.044643531044259</v>
      </c>
      <c r="F760" s="5">
        <f t="shared" si="23"/>
        <v>-6.2243358881302058E-3</v>
      </c>
      <c r="G760" s="5">
        <f t="shared" si="23"/>
        <v>-4.1771882164809426E-3</v>
      </c>
    </row>
    <row r="761" spans="1:7" x14ac:dyDescent="0.25">
      <c r="A761" s="12">
        <v>45597</v>
      </c>
      <c r="B761" s="13">
        <v>1122.28</v>
      </c>
      <c r="C761" s="13">
        <v>1147.7</v>
      </c>
      <c r="D761" s="5">
        <f t="shared" si="22"/>
        <v>7.0231176093163317</v>
      </c>
      <c r="E761" s="5">
        <f t="shared" si="22"/>
        <v>7.0455152186866226</v>
      </c>
      <c r="F761" s="5">
        <f t="shared" si="23"/>
        <v>2.4623083187451655E-3</v>
      </c>
      <c r="G761" s="5">
        <f t="shared" si="23"/>
        <v>8.7168764236356111E-4</v>
      </c>
    </row>
    <row r="762" spans="1:7" x14ac:dyDescent="0.25">
      <c r="A762" s="12">
        <v>45600</v>
      </c>
      <c r="B762" s="13">
        <v>1129.82</v>
      </c>
      <c r="C762" s="13">
        <v>1152</v>
      </c>
      <c r="D762" s="5">
        <f t="shared" si="22"/>
        <v>7.029813606982664</v>
      </c>
      <c r="E762" s="5">
        <f t="shared" si="22"/>
        <v>7.0492548412558369</v>
      </c>
      <c r="F762" s="5">
        <f t="shared" si="23"/>
        <v>6.6959976663323317E-3</v>
      </c>
      <c r="G762" s="5">
        <f t="shared" si="23"/>
        <v>3.7396225692143403E-3</v>
      </c>
    </row>
    <row r="763" spans="1:7" x14ac:dyDescent="0.25">
      <c r="A763" s="12">
        <v>45601</v>
      </c>
      <c r="B763" s="13">
        <v>1139.1099999999999</v>
      </c>
      <c r="C763" s="13">
        <v>1168.9000000000001</v>
      </c>
      <c r="D763" s="5">
        <f t="shared" si="22"/>
        <v>7.0380025347278359</v>
      </c>
      <c r="E763" s="5">
        <f t="shared" si="22"/>
        <v>7.0638184146137251</v>
      </c>
      <c r="F763" s="5">
        <f t="shared" si="23"/>
        <v>8.1889277451718812E-3</v>
      </c>
      <c r="G763" s="5">
        <f t="shared" si="23"/>
        <v>1.456357335788816E-2</v>
      </c>
    </row>
    <row r="764" spans="1:7" x14ac:dyDescent="0.25">
      <c r="A764" s="12">
        <v>45602</v>
      </c>
      <c r="B764" s="13">
        <v>1131.8699999999999</v>
      </c>
      <c r="C764" s="13">
        <v>1154.4000000000001</v>
      </c>
      <c r="D764" s="5">
        <f t="shared" si="22"/>
        <v>7.0316264111789977</v>
      </c>
      <c r="E764" s="5">
        <f t="shared" si="22"/>
        <v>7.0513360074596614</v>
      </c>
      <c r="F764" s="5">
        <f t="shared" si="23"/>
        <v>-6.3761235488382084E-3</v>
      </c>
      <c r="G764" s="5">
        <f t="shared" si="23"/>
        <v>-1.2482407154063679E-2</v>
      </c>
    </row>
    <row r="765" spans="1:7" x14ac:dyDescent="0.25">
      <c r="A765" s="12">
        <v>45603</v>
      </c>
      <c r="B765" s="13">
        <v>1140.54</v>
      </c>
      <c r="C765" s="13">
        <v>1180.7</v>
      </c>
      <c r="D765" s="5">
        <f t="shared" si="22"/>
        <v>7.0392571134461175</v>
      </c>
      <c r="E765" s="5">
        <f t="shared" si="22"/>
        <v>7.0738627619130643</v>
      </c>
      <c r="F765" s="5">
        <f t="shared" si="23"/>
        <v>7.6307022671198155E-3</v>
      </c>
      <c r="G765" s="5">
        <f t="shared" si="23"/>
        <v>2.2526754453402908E-2</v>
      </c>
    </row>
    <row r="766" spans="1:7" x14ac:dyDescent="0.25">
      <c r="A766" s="12">
        <v>45604</v>
      </c>
      <c r="B766" s="13">
        <v>1135.6500000000001</v>
      </c>
      <c r="C766" s="13">
        <v>1150.5999999999999</v>
      </c>
      <c r="D766" s="5">
        <f t="shared" si="22"/>
        <v>7.0349604532174252</v>
      </c>
      <c r="E766" s="5">
        <f t="shared" si="22"/>
        <v>7.0480388244291934</v>
      </c>
      <c r="F766" s="5">
        <f t="shared" si="23"/>
        <v>-4.2966602286922395E-3</v>
      </c>
      <c r="G766" s="5">
        <f t="shared" si="23"/>
        <v>-2.5823937483870907E-2</v>
      </c>
    </row>
    <row r="767" spans="1:7" x14ac:dyDescent="0.25">
      <c r="A767" s="12">
        <v>45607</v>
      </c>
      <c r="B767" s="13">
        <v>1125.8900000000001</v>
      </c>
      <c r="C767" s="13">
        <v>1141.9000000000001</v>
      </c>
      <c r="D767" s="5">
        <f t="shared" si="22"/>
        <v>7.0263291129861791</v>
      </c>
      <c r="E767" s="5">
        <f t="shared" si="22"/>
        <v>7.0404488207076028</v>
      </c>
      <c r="F767" s="5">
        <f t="shared" si="23"/>
        <v>-8.6313402312461207E-3</v>
      </c>
      <c r="G767" s="5">
        <f t="shared" si="23"/>
        <v>-7.5900037215905769E-3</v>
      </c>
    </row>
    <row r="768" spans="1:7" x14ac:dyDescent="0.25">
      <c r="A768" s="12">
        <v>45608</v>
      </c>
      <c r="B768" s="13">
        <v>1103.19</v>
      </c>
      <c r="C768" s="13">
        <v>1120.5999999999999</v>
      </c>
      <c r="D768" s="5">
        <f t="shared" si="22"/>
        <v>7.0059612618984879</v>
      </c>
      <c r="E768" s="5">
        <f t="shared" si="22"/>
        <v>7.0216195351311841</v>
      </c>
      <c r="F768" s="5">
        <f t="shared" si="23"/>
        <v>-2.0367851087691236E-2</v>
      </c>
      <c r="G768" s="5">
        <f t="shared" si="23"/>
        <v>-1.8829285576418719E-2</v>
      </c>
    </row>
    <row r="769" spans="1:7" x14ac:dyDescent="0.25">
      <c r="A769" s="12">
        <v>45609</v>
      </c>
      <c r="B769" s="13">
        <v>1093.7</v>
      </c>
      <c r="C769" s="13">
        <v>1113.2</v>
      </c>
      <c r="D769" s="5">
        <f t="shared" si="22"/>
        <v>6.9973217223411801</v>
      </c>
      <c r="E769" s="5">
        <f t="shared" si="22"/>
        <v>7.0149940296517359</v>
      </c>
      <c r="F769" s="5">
        <f t="shared" si="23"/>
        <v>-8.6395395573077849E-3</v>
      </c>
      <c r="G769" s="5">
        <f t="shared" si="23"/>
        <v>-6.6255054794481794E-3</v>
      </c>
    </row>
    <row r="770" spans="1:7" x14ac:dyDescent="0.25">
      <c r="A770" s="12">
        <v>45610</v>
      </c>
      <c r="B770" s="13">
        <v>1084.4100000000001</v>
      </c>
      <c r="C770" s="13">
        <v>1106.7</v>
      </c>
      <c r="D770" s="5">
        <f t="shared" si="22"/>
        <v>6.9887913392714047</v>
      </c>
      <c r="E770" s="5">
        <f t="shared" si="22"/>
        <v>7.00913789327074</v>
      </c>
      <c r="F770" s="5">
        <f t="shared" si="23"/>
        <v>-8.5303830697753824E-3</v>
      </c>
      <c r="G770" s="5">
        <f t="shared" si="23"/>
        <v>-5.8561363809959133E-3</v>
      </c>
    </row>
    <row r="771" spans="1:7" x14ac:dyDescent="0.25">
      <c r="A771" s="12">
        <v>45611</v>
      </c>
      <c r="B771" s="13">
        <v>1085</v>
      </c>
      <c r="C771" s="13">
        <v>1105.0999999999999</v>
      </c>
      <c r="D771" s="5">
        <f t="shared" si="22"/>
        <v>6.9893352659745602</v>
      </c>
      <c r="E771" s="5">
        <f t="shared" si="22"/>
        <v>7.0076911075947361</v>
      </c>
      <c r="F771" s="5">
        <f t="shared" si="23"/>
        <v>5.4392670315550617E-4</v>
      </c>
      <c r="G771" s="5">
        <f t="shared" si="23"/>
        <v>-1.44678567600387E-3</v>
      </c>
    </row>
    <row r="772" spans="1:7" x14ac:dyDescent="0.25">
      <c r="A772" s="12">
        <v>45614</v>
      </c>
      <c r="B772" s="13">
        <v>1089.72</v>
      </c>
      <c r="C772" s="13">
        <v>1118.4000000000001</v>
      </c>
      <c r="D772" s="5">
        <f t="shared" ref="D772:E835" si="24">LN(B772)</f>
        <v>6.9936760614897375</v>
      </c>
      <c r="E772" s="5">
        <f t="shared" si="24"/>
        <v>7.0196543714795459</v>
      </c>
      <c r="F772" s="5">
        <f t="shared" ref="F772:G835" si="25">D772-D771</f>
        <v>4.3407955151772981E-3</v>
      </c>
      <c r="G772" s="5">
        <f t="shared" si="25"/>
        <v>1.1963263884809727E-2</v>
      </c>
    </row>
    <row r="773" spans="1:7" x14ac:dyDescent="0.25">
      <c r="A773" s="12">
        <v>45615</v>
      </c>
      <c r="B773" s="13">
        <v>1094.94</v>
      </c>
      <c r="C773" s="13">
        <v>1117.4000000000001</v>
      </c>
      <c r="D773" s="5">
        <f t="shared" si="24"/>
        <v>6.9984548462287783</v>
      </c>
      <c r="E773" s="5">
        <f t="shared" si="24"/>
        <v>7.0187598370250486</v>
      </c>
      <c r="F773" s="5">
        <f t="shared" si="25"/>
        <v>4.7787847390408089E-3</v>
      </c>
      <c r="G773" s="5">
        <f t="shared" si="25"/>
        <v>-8.9453445449727553E-4</v>
      </c>
    </row>
    <row r="774" spans="1:7" x14ac:dyDescent="0.25">
      <c r="A774" s="12">
        <v>45616</v>
      </c>
      <c r="B774" s="13">
        <v>1093.8499999999999</v>
      </c>
      <c r="C774" s="13">
        <v>1115.8</v>
      </c>
      <c r="D774" s="5">
        <f t="shared" si="24"/>
        <v>6.9974588620639153</v>
      </c>
      <c r="E774" s="5">
        <f t="shared" si="24"/>
        <v>7.0173269154114282</v>
      </c>
      <c r="F774" s="5">
        <f t="shared" si="25"/>
        <v>-9.9598416486301744E-4</v>
      </c>
      <c r="G774" s="5">
        <f t="shared" si="25"/>
        <v>-1.4329216136204082E-3</v>
      </c>
    </row>
    <row r="775" spans="1:7" x14ac:dyDescent="0.25">
      <c r="A775" s="12">
        <v>45617</v>
      </c>
      <c r="B775" s="13">
        <v>1085.49</v>
      </c>
      <c r="C775" s="13">
        <v>1112.9000000000001</v>
      </c>
      <c r="D775" s="5">
        <f t="shared" si="24"/>
        <v>6.9897867769313713</v>
      </c>
      <c r="E775" s="5">
        <f t="shared" si="24"/>
        <v>7.0147244999793799</v>
      </c>
      <c r="F775" s="5">
        <f t="shared" si="25"/>
        <v>-7.6720851325440265E-3</v>
      </c>
      <c r="G775" s="5">
        <f t="shared" si="25"/>
        <v>-2.6024154320483106E-3</v>
      </c>
    </row>
    <row r="776" spans="1:7" x14ac:dyDescent="0.25">
      <c r="A776" s="12">
        <v>45618</v>
      </c>
      <c r="B776" s="13">
        <v>1087.27</v>
      </c>
      <c r="C776" s="13">
        <v>1113.4000000000001</v>
      </c>
      <c r="D776" s="5">
        <f t="shared" si="24"/>
        <v>6.991425246341902</v>
      </c>
      <c r="E776" s="5">
        <f t="shared" si="24"/>
        <v>7.0151736757494074</v>
      </c>
      <c r="F776" s="5">
        <f t="shared" si="25"/>
        <v>1.6384694105306963E-3</v>
      </c>
      <c r="G776" s="5">
        <f t="shared" si="25"/>
        <v>4.4917577002756559E-4</v>
      </c>
    </row>
    <row r="777" spans="1:7" x14ac:dyDescent="0.25">
      <c r="A777" s="12">
        <v>45621</v>
      </c>
      <c r="B777" s="13">
        <v>1092.2</v>
      </c>
      <c r="C777" s="13">
        <v>1113.2</v>
      </c>
      <c r="D777" s="5">
        <f t="shared" si="24"/>
        <v>6.9959492897180535</v>
      </c>
      <c r="E777" s="5">
        <f t="shared" si="24"/>
        <v>7.0149940296517359</v>
      </c>
      <c r="F777" s="5">
        <f t="shared" si="25"/>
        <v>4.524043376151532E-3</v>
      </c>
      <c r="G777" s="5">
        <f t="shared" si="25"/>
        <v>-1.7964609767151529E-4</v>
      </c>
    </row>
    <row r="778" spans="1:7" x14ac:dyDescent="0.25">
      <c r="A778" s="12">
        <v>45622</v>
      </c>
      <c r="B778" s="13">
        <v>1086.93</v>
      </c>
      <c r="C778" s="13">
        <v>1107.4000000000001</v>
      </c>
      <c r="D778" s="5">
        <f t="shared" si="24"/>
        <v>6.9911124876235036</v>
      </c>
      <c r="E778" s="5">
        <f t="shared" si="24"/>
        <v>7.0097702043888672</v>
      </c>
      <c r="F778" s="5">
        <f t="shared" si="25"/>
        <v>-4.8368020945499524E-3</v>
      </c>
      <c r="G778" s="5">
        <f t="shared" si="25"/>
        <v>-5.2238252628686865E-3</v>
      </c>
    </row>
    <row r="779" spans="1:7" x14ac:dyDescent="0.25">
      <c r="A779" s="12">
        <v>45623</v>
      </c>
      <c r="B779" s="13">
        <v>1087.58</v>
      </c>
      <c r="C779" s="13">
        <v>1109.5999999999999</v>
      </c>
      <c r="D779" s="5">
        <f t="shared" si="24"/>
        <v>6.9917103234755889</v>
      </c>
      <c r="E779" s="5">
        <f t="shared" si="24"/>
        <v>7.0117548690006215</v>
      </c>
      <c r="F779" s="5">
        <f t="shared" si="25"/>
        <v>5.9783585208528223E-4</v>
      </c>
      <c r="G779" s="5">
        <f t="shared" si="25"/>
        <v>1.9846646117542832E-3</v>
      </c>
    </row>
    <row r="780" spans="1:7" x14ac:dyDescent="0.25">
      <c r="A780" s="12">
        <v>45624</v>
      </c>
      <c r="B780" s="13">
        <v>1079.6500000000001</v>
      </c>
      <c r="C780" s="13">
        <v>1110.3</v>
      </c>
      <c r="D780" s="5">
        <f t="shared" si="24"/>
        <v>6.9843921935208408</v>
      </c>
      <c r="E780" s="5">
        <f t="shared" si="24"/>
        <v>7.0123855280602196</v>
      </c>
      <c r="F780" s="5">
        <f t="shared" si="25"/>
        <v>-7.3181299547480094E-3</v>
      </c>
      <c r="G780" s="5">
        <f t="shared" si="25"/>
        <v>6.3065905959813762E-4</v>
      </c>
    </row>
    <row r="781" spans="1:7" x14ac:dyDescent="0.25">
      <c r="A781" s="12">
        <v>45625</v>
      </c>
      <c r="B781" s="13">
        <v>1078.57</v>
      </c>
      <c r="C781" s="13">
        <v>1111.7</v>
      </c>
      <c r="D781" s="5">
        <f t="shared" si="24"/>
        <v>6.9833913686835682</v>
      </c>
      <c r="E781" s="5">
        <f t="shared" si="24"/>
        <v>7.0136456542395695</v>
      </c>
      <c r="F781" s="5">
        <f t="shared" si="25"/>
        <v>-1.0008248372725959E-3</v>
      </c>
      <c r="G781" s="5">
        <f t="shared" si="25"/>
        <v>1.2601261793498963E-3</v>
      </c>
    </row>
    <row r="782" spans="1:7" x14ac:dyDescent="0.25">
      <c r="A782" s="12">
        <v>45628</v>
      </c>
      <c r="B782" s="13">
        <v>1086.3900000000001</v>
      </c>
      <c r="C782" s="13">
        <v>1116.4000000000001</v>
      </c>
      <c r="D782" s="5">
        <f t="shared" si="24"/>
        <v>6.9906155520492552</v>
      </c>
      <c r="E782" s="5">
        <f t="shared" si="24"/>
        <v>7.0178645016621672</v>
      </c>
      <c r="F782" s="5">
        <f t="shared" si="25"/>
        <v>7.2241833656869758E-3</v>
      </c>
      <c r="G782" s="5">
        <f t="shared" si="25"/>
        <v>4.2188474225977046E-3</v>
      </c>
    </row>
    <row r="783" spans="1:7" x14ac:dyDescent="0.25">
      <c r="A783" s="12">
        <v>45629</v>
      </c>
      <c r="B783" s="13">
        <v>1097.52</v>
      </c>
      <c r="C783" s="13">
        <v>1120</v>
      </c>
      <c r="D783" s="5">
        <f t="shared" si="24"/>
        <v>7.0008083680179096</v>
      </c>
      <c r="E783" s="5">
        <f t="shared" si="24"/>
        <v>7.0210839642891401</v>
      </c>
      <c r="F783" s="5">
        <f t="shared" si="25"/>
        <v>1.0192815968654401E-2</v>
      </c>
      <c r="G783" s="5">
        <f t="shared" si="25"/>
        <v>3.2194626269728133E-3</v>
      </c>
    </row>
    <row r="784" spans="1:7" x14ac:dyDescent="0.25">
      <c r="A784" s="12">
        <v>45630</v>
      </c>
      <c r="B784" s="13">
        <v>1100.49</v>
      </c>
      <c r="C784" s="13">
        <v>1121.0999999999999</v>
      </c>
      <c r="D784" s="5">
        <f t="shared" si="24"/>
        <v>7.0035108141464946</v>
      </c>
      <c r="E784" s="5">
        <f t="shared" si="24"/>
        <v>7.0220656251595477</v>
      </c>
      <c r="F784" s="5">
        <f t="shared" si="25"/>
        <v>2.7024461285849455E-3</v>
      </c>
      <c r="G784" s="5">
        <f t="shared" si="25"/>
        <v>9.8166087040763017E-4</v>
      </c>
    </row>
    <row r="785" spans="1:7" x14ac:dyDescent="0.25">
      <c r="A785" s="12">
        <v>45631</v>
      </c>
      <c r="B785" s="13">
        <v>1102.29</v>
      </c>
      <c r="C785" s="13">
        <v>1128.5</v>
      </c>
      <c r="D785" s="5">
        <f t="shared" si="24"/>
        <v>7.0051451129876314</v>
      </c>
      <c r="E785" s="5">
        <f t="shared" si="24"/>
        <v>7.0286445962575907</v>
      </c>
      <c r="F785" s="5">
        <f t="shared" si="25"/>
        <v>1.6342988411368609E-3</v>
      </c>
      <c r="G785" s="5">
        <f t="shared" si="25"/>
        <v>6.5789710980430627E-3</v>
      </c>
    </row>
    <row r="786" spans="1:7" x14ac:dyDescent="0.25">
      <c r="A786" s="12">
        <v>45632</v>
      </c>
      <c r="B786" s="13">
        <v>1105.08</v>
      </c>
      <c r="C786" s="13">
        <v>1125.5999999999999</v>
      </c>
      <c r="D786" s="5">
        <f t="shared" si="24"/>
        <v>7.0076730095212758</v>
      </c>
      <c r="E786" s="5">
        <f t="shared" si="24"/>
        <v>7.0260715058001795</v>
      </c>
      <c r="F786" s="5">
        <f t="shared" si="25"/>
        <v>2.5278965336443804E-3</v>
      </c>
      <c r="G786" s="5">
        <f t="shared" si="25"/>
        <v>-2.5730904574112756E-3</v>
      </c>
    </row>
    <row r="787" spans="1:7" x14ac:dyDescent="0.25">
      <c r="A787" s="12">
        <v>45635</v>
      </c>
      <c r="B787" s="13">
        <v>1114.04</v>
      </c>
      <c r="C787" s="13">
        <v>1148.7</v>
      </c>
      <c r="D787" s="5">
        <f t="shared" si="24"/>
        <v>7.0157483264853298</v>
      </c>
      <c r="E787" s="5">
        <f t="shared" si="24"/>
        <v>7.0463861471513587</v>
      </c>
      <c r="F787" s="5">
        <f t="shared" si="25"/>
        <v>8.0753169640539468E-3</v>
      </c>
      <c r="G787" s="5">
        <f t="shared" si="25"/>
        <v>2.0314641351179219E-2</v>
      </c>
    </row>
    <row r="788" spans="1:7" x14ac:dyDescent="0.25">
      <c r="A788" s="12">
        <v>45636</v>
      </c>
      <c r="B788" s="13">
        <v>1111.71</v>
      </c>
      <c r="C788" s="13">
        <v>1129.7</v>
      </c>
      <c r="D788" s="5">
        <f t="shared" si="24"/>
        <v>7.013654649431639</v>
      </c>
      <c r="E788" s="5">
        <f t="shared" si="24"/>
        <v>7.0297073897328834</v>
      </c>
      <c r="F788" s="5">
        <f t="shared" si="25"/>
        <v>-2.09367705369079E-3</v>
      </c>
      <c r="G788" s="5">
        <f t="shared" si="25"/>
        <v>-1.6678757418475243E-2</v>
      </c>
    </row>
    <row r="789" spans="1:7" x14ac:dyDescent="0.25">
      <c r="A789" s="12">
        <v>45637</v>
      </c>
      <c r="B789" s="13">
        <v>1108.43</v>
      </c>
      <c r="C789" s="13">
        <v>1134.5999999999999</v>
      </c>
      <c r="D789" s="5">
        <f t="shared" si="24"/>
        <v>7.0106998786636847</v>
      </c>
      <c r="E789" s="5">
        <f t="shared" si="24"/>
        <v>7.0340354448924671</v>
      </c>
      <c r="F789" s="5">
        <f t="shared" si="25"/>
        <v>-2.9547707679542512E-3</v>
      </c>
      <c r="G789" s="5">
        <f t="shared" si="25"/>
        <v>4.3280551595836769E-3</v>
      </c>
    </row>
    <row r="790" spans="1:7" x14ac:dyDescent="0.25">
      <c r="A790" s="12">
        <v>45638</v>
      </c>
      <c r="B790" s="13">
        <v>1112.94</v>
      </c>
      <c r="C790" s="13">
        <v>1129.9000000000001</v>
      </c>
      <c r="D790" s="5">
        <f t="shared" si="24"/>
        <v>7.0147604414666418</v>
      </c>
      <c r="E790" s="5">
        <f t="shared" si="24"/>
        <v>7.0298844122152007</v>
      </c>
      <c r="F790" s="5">
        <f t="shared" si="25"/>
        <v>4.0605628029570795E-3</v>
      </c>
      <c r="G790" s="5">
        <f t="shared" si="25"/>
        <v>-4.1510326772664641E-3</v>
      </c>
    </row>
    <row r="791" spans="1:7" x14ac:dyDescent="0.25">
      <c r="A791" s="12">
        <v>45639</v>
      </c>
      <c r="B791" s="13">
        <v>1107.01</v>
      </c>
      <c r="C791" s="13">
        <v>1131.0999999999999</v>
      </c>
      <c r="D791" s="5">
        <f t="shared" si="24"/>
        <v>7.0094179660915037</v>
      </c>
      <c r="E791" s="5">
        <f t="shared" si="24"/>
        <v>7.0309458895373353</v>
      </c>
      <c r="F791" s="5">
        <f t="shared" si="25"/>
        <v>-5.3424753751381004E-3</v>
      </c>
      <c r="G791" s="5">
        <f t="shared" si="25"/>
        <v>1.0614773221346852E-3</v>
      </c>
    </row>
    <row r="792" spans="1:7" x14ac:dyDescent="0.25">
      <c r="A792" s="12">
        <v>45642</v>
      </c>
      <c r="B792" s="13">
        <v>1103.21</v>
      </c>
      <c r="C792" s="13">
        <v>1126.4000000000001</v>
      </c>
      <c r="D792" s="5">
        <f t="shared" si="24"/>
        <v>7.0059793909775312</v>
      </c>
      <c r="E792" s="5">
        <f t="shared" si="24"/>
        <v>7.0267819854037779</v>
      </c>
      <c r="F792" s="5">
        <f t="shared" si="25"/>
        <v>-3.4385751139724974E-3</v>
      </c>
      <c r="G792" s="5">
        <f t="shared" si="25"/>
        <v>-4.1639041335574944E-3</v>
      </c>
    </row>
    <row r="793" spans="1:7" x14ac:dyDescent="0.25">
      <c r="A793" s="12">
        <v>45643</v>
      </c>
      <c r="B793" s="13">
        <v>1093.2</v>
      </c>
      <c r="C793" s="13">
        <v>1123.0999999999999</v>
      </c>
      <c r="D793" s="5">
        <f t="shared" si="24"/>
        <v>6.9968644540539131</v>
      </c>
      <c r="E793" s="5">
        <f t="shared" si="24"/>
        <v>7.0238479979689901</v>
      </c>
      <c r="F793" s="5">
        <f t="shared" si="25"/>
        <v>-9.1149369236180888E-3</v>
      </c>
      <c r="G793" s="5">
        <f t="shared" si="25"/>
        <v>-2.9339874347877881E-3</v>
      </c>
    </row>
    <row r="794" spans="1:7" x14ac:dyDescent="0.25">
      <c r="A794" s="12">
        <v>45644</v>
      </c>
      <c r="B794" s="13">
        <v>1095.31</v>
      </c>
      <c r="C794" s="13">
        <v>1095.4000000000001</v>
      </c>
      <c r="D794" s="5">
        <f t="shared" si="24"/>
        <v>6.9987927072067668</v>
      </c>
      <c r="E794" s="5">
        <f t="shared" si="24"/>
        <v>6.9988748723496208</v>
      </c>
      <c r="F794" s="5">
        <f t="shared" si="25"/>
        <v>1.9282531528537206E-3</v>
      </c>
      <c r="G794" s="5">
        <f t="shared" si="25"/>
        <v>-2.4973125619369263E-2</v>
      </c>
    </row>
    <row r="795" spans="1:7" x14ac:dyDescent="0.25">
      <c r="A795" s="12">
        <v>45645</v>
      </c>
      <c r="B795" s="13">
        <v>1081.76</v>
      </c>
      <c r="C795" s="13">
        <v>1100.2</v>
      </c>
      <c r="D795" s="5">
        <f t="shared" si="24"/>
        <v>6.9863446233423678</v>
      </c>
      <c r="E795" s="5">
        <f t="shared" si="24"/>
        <v>7.0032472604413574</v>
      </c>
      <c r="F795" s="5">
        <f t="shared" si="25"/>
        <v>-1.2448083864398996E-2</v>
      </c>
      <c r="G795" s="5">
        <f t="shared" si="25"/>
        <v>4.3723880917365676E-3</v>
      </c>
    </row>
    <row r="796" spans="1:7" x14ac:dyDescent="0.25">
      <c r="A796" s="12">
        <v>45646</v>
      </c>
      <c r="B796" s="13">
        <v>1072.25</v>
      </c>
      <c r="C796" s="13">
        <v>1102.7</v>
      </c>
      <c r="D796" s="5">
        <f t="shared" si="24"/>
        <v>6.97751452339699</v>
      </c>
      <c r="E796" s="5">
        <f t="shared" si="24"/>
        <v>7.0055169967646327</v>
      </c>
      <c r="F796" s="5">
        <f t="shared" si="25"/>
        <v>-8.8300999453778672E-3</v>
      </c>
      <c r="G796" s="5">
        <f t="shared" si="25"/>
        <v>2.2697363232753176E-3</v>
      </c>
    </row>
    <row r="797" spans="1:7" x14ac:dyDescent="0.25">
      <c r="A797" s="12">
        <v>45649</v>
      </c>
      <c r="B797" s="13">
        <v>1081.95</v>
      </c>
      <c r="C797" s="13">
        <v>1108.8</v>
      </c>
      <c r="D797" s="5">
        <f t="shared" si="24"/>
        <v>6.9865202476177917</v>
      </c>
      <c r="E797" s="5">
        <f t="shared" si="24"/>
        <v>7.0110336284356389</v>
      </c>
      <c r="F797" s="5">
        <f t="shared" si="25"/>
        <v>9.005724220801703E-3</v>
      </c>
      <c r="G797" s="5">
        <f t="shared" si="25"/>
        <v>5.5166316710062446E-3</v>
      </c>
    </row>
    <row r="798" spans="1:7" x14ac:dyDescent="0.25">
      <c r="A798" s="12">
        <v>45650</v>
      </c>
      <c r="B798" s="13">
        <v>1084.99</v>
      </c>
      <c r="C798" s="13">
        <v>1112</v>
      </c>
      <c r="D798" s="5">
        <f t="shared" si="24"/>
        <v>6.9893260493422256</v>
      </c>
      <c r="E798" s="5">
        <f t="shared" si="24"/>
        <v>7.0139154748105277</v>
      </c>
      <c r="F798" s="5">
        <f t="shared" si="25"/>
        <v>2.8058017244338984E-3</v>
      </c>
      <c r="G798" s="5">
        <f t="shared" si="25"/>
        <v>2.8818463748887524E-3</v>
      </c>
    </row>
    <row r="799" spans="1:7" x14ac:dyDescent="0.25">
      <c r="A799" s="12">
        <v>45651</v>
      </c>
      <c r="B799" s="13">
        <v>1085.8599999999999</v>
      </c>
      <c r="C799" s="17">
        <f>C798</f>
        <v>1112</v>
      </c>
      <c r="D799" s="5">
        <f t="shared" si="24"/>
        <v>6.9901275787399975</v>
      </c>
      <c r="E799" s="5">
        <f t="shared" si="24"/>
        <v>7.0139154748105277</v>
      </c>
      <c r="F799" s="5">
        <f t="shared" si="25"/>
        <v>8.0152939777189403E-4</v>
      </c>
      <c r="G799" s="5">
        <f t="shared" si="25"/>
        <v>0</v>
      </c>
    </row>
    <row r="800" spans="1:7" x14ac:dyDescent="0.25">
      <c r="A800" s="12">
        <v>45652</v>
      </c>
      <c r="B800" s="13">
        <v>1084.69</v>
      </c>
      <c r="C800" s="13">
        <v>1107</v>
      </c>
      <c r="D800" s="5">
        <f t="shared" si="24"/>
        <v>6.989049510864743</v>
      </c>
      <c r="E800" s="5">
        <f t="shared" si="24"/>
        <v>7.0094089327086371</v>
      </c>
      <c r="F800" s="5">
        <f t="shared" si="25"/>
        <v>-1.0780678752544404E-3</v>
      </c>
      <c r="G800" s="5">
        <f t="shared" si="25"/>
        <v>-4.5065421018906093E-3</v>
      </c>
    </row>
    <row r="801" spans="1:7" x14ac:dyDescent="0.25">
      <c r="A801" s="12">
        <v>45653</v>
      </c>
      <c r="B801" s="13">
        <v>1082.8699999999999</v>
      </c>
      <c r="C801" s="13">
        <v>1101.5999999999999</v>
      </c>
      <c r="D801" s="5">
        <f t="shared" si="24"/>
        <v>6.9873702028615394</v>
      </c>
      <c r="E801" s="5">
        <f t="shared" si="24"/>
        <v>7.0045189474144447</v>
      </c>
      <c r="F801" s="5">
        <f t="shared" si="25"/>
        <v>-1.6793080032035945E-3</v>
      </c>
      <c r="G801" s="5">
        <f t="shared" si="25"/>
        <v>-4.8899852941923783E-3</v>
      </c>
    </row>
    <row r="802" spans="1:7" x14ac:dyDescent="0.25">
      <c r="A802" s="12">
        <v>45656</v>
      </c>
      <c r="B802" s="13">
        <v>1078.4000000000001</v>
      </c>
      <c r="C802" s="13">
        <v>1093.9000000000001</v>
      </c>
      <c r="D802" s="5">
        <f t="shared" si="24"/>
        <v>6.9832337401580427</v>
      </c>
      <c r="E802" s="5">
        <f t="shared" si="24"/>
        <v>6.9975045711257451</v>
      </c>
      <c r="F802" s="5">
        <f t="shared" si="25"/>
        <v>-4.1364627034967683E-3</v>
      </c>
      <c r="G802" s="5">
        <f t="shared" si="25"/>
        <v>-7.0143762886996086E-3</v>
      </c>
    </row>
    <row r="803" spans="1:7" x14ac:dyDescent="0.25">
      <c r="A803" s="12">
        <v>45657</v>
      </c>
      <c r="B803" s="13">
        <v>1075.48</v>
      </c>
      <c r="C803" s="13">
        <v>1090.5</v>
      </c>
      <c r="D803" s="5">
        <f t="shared" si="24"/>
        <v>6.9805223525330176</v>
      </c>
      <c r="E803" s="5">
        <f t="shared" si="24"/>
        <v>6.9943915856416838</v>
      </c>
      <c r="F803" s="5">
        <f t="shared" si="25"/>
        <v>-2.7113876250250968E-3</v>
      </c>
      <c r="G803" s="5">
        <f t="shared" si="25"/>
        <v>-3.1129854840612481E-3</v>
      </c>
    </row>
    <row r="804" spans="1:7" x14ac:dyDescent="0.25">
      <c r="A804" s="12">
        <v>45658</v>
      </c>
      <c r="B804" s="13">
        <v>1076.52</v>
      </c>
      <c r="C804" s="17">
        <f>C803</f>
        <v>1090.5</v>
      </c>
      <c r="D804" s="5">
        <f t="shared" si="24"/>
        <v>6.9814888953591927</v>
      </c>
      <c r="E804" s="5">
        <f t="shared" si="24"/>
        <v>6.9943915856416838</v>
      </c>
      <c r="F804" s="5">
        <f t="shared" si="25"/>
        <v>9.6654282617514298E-4</v>
      </c>
      <c r="G804" s="5">
        <f t="shared" si="25"/>
        <v>0</v>
      </c>
    </row>
    <row r="805" spans="1:7" x14ac:dyDescent="0.25">
      <c r="A805" s="12">
        <v>45659</v>
      </c>
      <c r="B805" s="13">
        <v>1071</v>
      </c>
      <c r="C805" s="13">
        <v>1088.5999999999999</v>
      </c>
      <c r="D805" s="5">
        <f t="shared" si="24"/>
        <v>6.9763480704477487</v>
      </c>
      <c r="E805" s="5">
        <f t="shared" si="24"/>
        <v>6.9926477460000998</v>
      </c>
      <c r="F805" s="5">
        <f t="shared" si="25"/>
        <v>-5.1408249114439641E-3</v>
      </c>
      <c r="G805" s="5">
        <f t="shared" si="25"/>
        <v>-1.7438396415840884E-3</v>
      </c>
    </row>
    <row r="806" spans="1:7" x14ac:dyDescent="0.25">
      <c r="A806" s="12">
        <v>45660</v>
      </c>
      <c r="B806" s="13">
        <v>1073.21</v>
      </c>
      <c r="C806" s="13">
        <v>1099</v>
      </c>
      <c r="D806" s="5">
        <f t="shared" si="24"/>
        <v>6.9784094364357507</v>
      </c>
      <c r="E806" s="5">
        <f t="shared" si="24"/>
        <v>7.0021559544036212</v>
      </c>
      <c r="F806" s="5">
        <f t="shared" si="25"/>
        <v>2.0613659880019952E-3</v>
      </c>
      <c r="G806" s="5">
        <f t="shared" si="25"/>
        <v>9.508208403521401E-3</v>
      </c>
    </row>
    <row r="807" spans="1:7" x14ac:dyDescent="0.25">
      <c r="A807" s="12">
        <v>45663</v>
      </c>
      <c r="B807" s="13">
        <v>1078.8900000000001</v>
      </c>
      <c r="C807" s="13">
        <v>1102</v>
      </c>
      <c r="D807" s="5">
        <f t="shared" si="24"/>
        <v>6.9836880138147386</v>
      </c>
      <c r="E807" s="5">
        <f t="shared" si="24"/>
        <v>7.0048819897128594</v>
      </c>
      <c r="F807" s="5">
        <f t="shared" si="25"/>
        <v>5.2785773789878476E-3</v>
      </c>
      <c r="G807" s="5">
        <f t="shared" si="25"/>
        <v>2.7260353092382061E-3</v>
      </c>
    </row>
    <row r="808" spans="1:7" x14ac:dyDescent="0.25">
      <c r="A808" s="12">
        <v>45664</v>
      </c>
      <c r="B808" s="13">
        <v>1080.07</v>
      </c>
      <c r="C808" s="13">
        <v>1093.8</v>
      </c>
      <c r="D808" s="5">
        <f t="shared" si="24"/>
        <v>6.9847811328326905</v>
      </c>
      <c r="E808" s="5">
        <f t="shared" si="24"/>
        <v>6.9974131509126725</v>
      </c>
      <c r="F808" s="5">
        <f t="shared" si="25"/>
        <v>1.093119017951949E-3</v>
      </c>
      <c r="G808" s="5">
        <f t="shared" si="25"/>
        <v>-7.4688388001868944E-3</v>
      </c>
    </row>
    <row r="809" spans="1:7" x14ac:dyDescent="0.25">
      <c r="A809" s="12">
        <v>45665</v>
      </c>
      <c r="B809" s="13">
        <v>1070.79</v>
      </c>
      <c r="C809" s="13">
        <v>1088.0999999999999</v>
      </c>
      <c r="D809" s="5">
        <f t="shared" si="24"/>
        <v>6.976151972790487</v>
      </c>
      <c r="E809" s="5">
        <f t="shared" si="24"/>
        <v>6.9921883349569667</v>
      </c>
      <c r="F809" s="5">
        <f t="shared" si="25"/>
        <v>-8.6291600422034875E-3</v>
      </c>
      <c r="G809" s="5">
        <f t="shared" si="25"/>
        <v>-5.2248159557057861E-3</v>
      </c>
    </row>
    <row r="810" spans="1:7" x14ac:dyDescent="0.25">
      <c r="A810" s="12">
        <v>45666</v>
      </c>
      <c r="B810" s="13">
        <v>1066.47</v>
      </c>
      <c r="C810" s="13">
        <v>1085.7</v>
      </c>
      <c r="D810" s="5">
        <f t="shared" si="24"/>
        <v>6.9721094081205486</v>
      </c>
      <c r="E810" s="5">
        <f t="shared" si="24"/>
        <v>6.9899802192378067</v>
      </c>
      <c r="F810" s="5">
        <f t="shared" si="25"/>
        <v>-4.0425646699384643E-3</v>
      </c>
      <c r="G810" s="5">
        <f t="shared" si="25"/>
        <v>-2.2081157191600198E-3</v>
      </c>
    </row>
    <row r="811" spans="1:7" x14ac:dyDescent="0.25">
      <c r="A811" s="12">
        <v>45667</v>
      </c>
      <c r="B811" s="13">
        <v>1057.0999999999999</v>
      </c>
      <c r="C811" s="13">
        <v>1068.5</v>
      </c>
      <c r="D811" s="5">
        <f t="shared" si="24"/>
        <v>6.9632845887746173</v>
      </c>
      <c r="E811" s="5">
        <f t="shared" si="24"/>
        <v>6.9740110747592023</v>
      </c>
      <c r="F811" s="5">
        <f t="shared" si="25"/>
        <v>-8.8248193459312674E-3</v>
      </c>
      <c r="G811" s="5">
        <f t="shared" si="25"/>
        <v>-1.5969144478604314E-2</v>
      </c>
    </row>
    <row r="812" spans="1:7" x14ac:dyDescent="0.25">
      <c r="A812" s="12">
        <v>45670</v>
      </c>
      <c r="B812" s="13">
        <v>1039.1099999999999</v>
      </c>
      <c r="C812" s="13">
        <v>1061.5999999999999</v>
      </c>
      <c r="D812" s="5">
        <f t="shared" si="24"/>
        <v>6.9461198565251214</v>
      </c>
      <c r="E812" s="5">
        <f t="shared" si="24"/>
        <v>6.9675324830179974</v>
      </c>
      <c r="F812" s="5">
        <f t="shared" si="25"/>
        <v>-1.7164732249495884E-2</v>
      </c>
      <c r="G812" s="5">
        <f t="shared" si="25"/>
        <v>-6.4785917412049088E-3</v>
      </c>
    </row>
    <row r="813" spans="1:7" x14ac:dyDescent="0.25">
      <c r="A813" s="12">
        <v>45671</v>
      </c>
      <c r="B813" s="13">
        <v>1053.05</v>
      </c>
      <c r="C813" s="13">
        <v>1073.0999999999999</v>
      </c>
      <c r="D813" s="5">
        <f t="shared" si="24"/>
        <v>6.959445994387492</v>
      </c>
      <c r="E813" s="5">
        <f t="shared" si="24"/>
        <v>6.978306934933082</v>
      </c>
      <c r="F813" s="5">
        <f t="shared" si="25"/>
        <v>1.332613786237058E-2</v>
      </c>
      <c r="G813" s="5">
        <f t="shared" si="25"/>
        <v>1.0774451915084526E-2</v>
      </c>
    </row>
    <row r="814" spans="1:7" x14ac:dyDescent="0.25">
      <c r="A814" s="12">
        <v>45672</v>
      </c>
      <c r="B814" s="13">
        <v>1055.8</v>
      </c>
      <c r="C814" s="13">
        <v>1086.0999999999999</v>
      </c>
      <c r="D814" s="5">
        <f t="shared" si="24"/>
        <v>6.962054052389516</v>
      </c>
      <c r="E814" s="5">
        <f t="shared" si="24"/>
        <v>6.9903485772859906</v>
      </c>
      <c r="F814" s="5">
        <f t="shared" si="25"/>
        <v>2.6080580020240163E-3</v>
      </c>
      <c r="G814" s="5">
        <f t="shared" si="25"/>
        <v>1.204164235290861E-2</v>
      </c>
    </row>
    <row r="815" spans="1:7" x14ac:dyDescent="0.25">
      <c r="A815" s="12">
        <v>45673</v>
      </c>
      <c r="B815" s="13">
        <v>1066.67</v>
      </c>
      <c r="C815" s="13">
        <v>1084.4000000000001</v>
      </c>
      <c r="D815" s="5">
        <f t="shared" si="24"/>
        <v>6.9722969251148257</v>
      </c>
      <c r="E815" s="5">
        <f t="shared" si="24"/>
        <v>6.9887821176245106</v>
      </c>
      <c r="F815" s="5">
        <f t="shared" si="25"/>
        <v>1.024287272530966E-2</v>
      </c>
      <c r="G815" s="5">
        <f t="shared" si="25"/>
        <v>-1.5664596614799464E-3</v>
      </c>
    </row>
    <row r="816" spans="1:7" x14ac:dyDescent="0.25">
      <c r="A816" s="12">
        <v>45674</v>
      </c>
      <c r="B816" s="13">
        <v>1070.1199999999999</v>
      </c>
      <c r="C816" s="13">
        <v>1093.3</v>
      </c>
      <c r="D816" s="5">
        <f t="shared" si="24"/>
        <v>6.975526070700373</v>
      </c>
      <c r="E816" s="5">
        <f t="shared" si="24"/>
        <v>6.9969559244404387</v>
      </c>
      <c r="F816" s="5">
        <f t="shared" si="25"/>
        <v>3.2291455855473217E-3</v>
      </c>
      <c r="G816" s="5">
        <f t="shared" si="25"/>
        <v>8.173806815928053E-3</v>
      </c>
    </row>
    <row r="817" spans="1:7" x14ac:dyDescent="0.25">
      <c r="A817" s="12">
        <v>45677</v>
      </c>
      <c r="B817" s="13">
        <v>1080.5</v>
      </c>
      <c r="C817" s="13">
        <v>1108</v>
      </c>
      <c r="D817" s="5">
        <f t="shared" si="24"/>
        <v>6.985179175946941</v>
      </c>
      <c r="E817" s="5">
        <f t="shared" si="24"/>
        <v>7.0103118673072293</v>
      </c>
      <c r="F817" s="5">
        <f t="shared" si="25"/>
        <v>9.6531052465680389E-3</v>
      </c>
      <c r="G817" s="5">
        <f t="shared" si="25"/>
        <v>1.3355942866790649E-2</v>
      </c>
    </row>
    <row r="818" spans="1:7" x14ac:dyDescent="0.25">
      <c r="A818" s="12">
        <v>45678</v>
      </c>
      <c r="B818" s="13">
        <v>1081.1099999999999</v>
      </c>
      <c r="C818" s="13">
        <v>1104.5</v>
      </c>
      <c r="D818" s="5">
        <f t="shared" si="24"/>
        <v>6.9857435700940735</v>
      </c>
      <c r="E818" s="5">
        <f t="shared" si="24"/>
        <v>7.0071480228601715</v>
      </c>
      <c r="F818" s="5">
        <f t="shared" si="25"/>
        <v>5.6439414713249647E-4</v>
      </c>
      <c r="G818" s="5">
        <f t="shared" si="25"/>
        <v>-3.1638444470578619E-3</v>
      </c>
    </row>
    <row r="819" spans="1:7" x14ac:dyDescent="0.25">
      <c r="A819" s="12">
        <v>45679</v>
      </c>
      <c r="B819" s="13">
        <v>1082.3399999999999</v>
      </c>
      <c r="C819" s="13">
        <v>1104.5</v>
      </c>
      <c r="D819" s="5">
        <f t="shared" si="24"/>
        <v>6.986880642947642</v>
      </c>
      <c r="E819" s="5">
        <f t="shared" si="24"/>
        <v>7.0071480228601715</v>
      </c>
      <c r="F819" s="5">
        <f t="shared" si="25"/>
        <v>1.1370728535684549E-3</v>
      </c>
      <c r="G819" s="5">
        <f t="shared" si="25"/>
        <v>0</v>
      </c>
    </row>
    <row r="820" spans="1:7" x14ac:dyDescent="0.25">
      <c r="A820" s="12">
        <v>45680</v>
      </c>
      <c r="B820" s="13">
        <v>1081.3399999999999</v>
      </c>
      <c r="C820" s="13">
        <v>1107.4000000000001</v>
      </c>
      <c r="D820" s="5">
        <f t="shared" si="24"/>
        <v>6.9859562917763025</v>
      </c>
      <c r="E820" s="5">
        <f t="shared" si="24"/>
        <v>7.0097702043888672</v>
      </c>
      <c r="F820" s="5">
        <f t="shared" si="25"/>
        <v>-9.2435117133948808E-4</v>
      </c>
      <c r="G820" s="5">
        <f t="shared" si="25"/>
        <v>2.622181528695755E-3</v>
      </c>
    </row>
    <row r="821" spans="1:7" x14ac:dyDescent="0.25">
      <c r="A821" s="12">
        <v>45681</v>
      </c>
      <c r="B821" s="13">
        <v>1090.02</v>
      </c>
      <c r="C821" s="13">
        <v>1113.0999999999999</v>
      </c>
      <c r="D821" s="5">
        <f t="shared" si="24"/>
        <v>6.9939513236787088</v>
      </c>
      <c r="E821" s="5">
        <f t="shared" si="24"/>
        <v>7.0149041944991799</v>
      </c>
      <c r="F821" s="5">
        <f t="shared" si="25"/>
        <v>7.9950319024062466E-3</v>
      </c>
      <c r="G821" s="5">
        <f t="shared" si="25"/>
        <v>5.1339901103126806E-3</v>
      </c>
    </row>
    <row r="822" spans="1:7" x14ac:dyDescent="0.25">
      <c r="A822" s="12">
        <v>45684</v>
      </c>
      <c r="B822" s="13">
        <v>1087.54</v>
      </c>
      <c r="C822" s="13">
        <v>1091.5999999999999</v>
      </c>
      <c r="D822" s="5">
        <f t="shared" si="24"/>
        <v>6.9916735438956081</v>
      </c>
      <c r="E822" s="5">
        <f t="shared" si="24"/>
        <v>6.9953997888341837</v>
      </c>
      <c r="F822" s="5">
        <f t="shared" si="25"/>
        <v>-2.2777797831006197E-3</v>
      </c>
      <c r="G822" s="5">
        <f t="shared" si="25"/>
        <v>-1.9504405664996227E-2</v>
      </c>
    </row>
    <row r="823" spans="1:7" x14ac:dyDescent="0.25">
      <c r="A823" s="12">
        <v>45685</v>
      </c>
      <c r="B823" s="13">
        <v>1089.1300000000001</v>
      </c>
      <c r="C823" s="13">
        <v>1100.5999999999999</v>
      </c>
      <c r="D823" s="5">
        <f t="shared" si="24"/>
        <v>6.9931344913821851</v>
      </c>
      <c r="E823" s="5">
        <f t="shared" si="24"/>
        <v>7.003610764625658</v>
      </c>
      <c r="F823" s="5">
        <f t="shared" si="25"/>
        <v>1.4609474865769911E-3</v>
      </c>
      <c r="G823" s="5">
        <f t="shared" si="25"/>
        <v>8.2109757914743398E-3</v>
      </c>
    </row>
    <row r="824" spans="1:7" x14ac:dyDescent="0.25">
      <c r="A824" s="12">
        <v>45686</v>
      </c>
      <c r="B824" s="13">
        <v>1092.31</v>
      </c>
      <c r="C824" s="13">
        <v>1100.2</v>
      </c>
      <c r="D824" s="5">
        <f t="shared" si="24"/>
        <v>6.9960499988016398</v>
      </c>
      <c r="E824" s="5">
        <f t="shared" si="24"/>
        <v>7.0032472604413574</v>
      </c>
      <c r="F824" s="5">
        <f t="shared" si="25"/>
        <v>2.9155074194546771E-3</v>
      </c>
      <c r="G824" s="5">
        <f t="shared" si="25"/>
        <v>-3.6350418430064479E-4</v>
      </c>
    </row>
    <row r="825" spans="1:7" x14ac:dyDescent="0.25">
      <c r="A825" s="12">
        <v>45687</v>
      </c>
      <c r="B825" s="13">
        <v>1095.75</v>
      </c>
      <c r="C825" s="13">
        <v>1119.4000000000001</v>
      </c>
      <c r="D825" s="5">
        <f t="shared" si="24"/>
        <v>6.9991943392989189</v>
      </c>
      <c r="E825" s="5">
        <f t="shared" si="24"/>
        <v>7.0205481064572597</v>
      </c>
      <c r="F825" s="5">
        <f t="shared" si="25"/>
        <v>3.1443404972790745E-3</v>
      </c>
      <c r="G825" s="5">
        <f t="shared" si="25"/>
        <v>1.7300846015902316E-2</v>
      </c>
    </row>
    <row r="826" spans="1:7" x14ac:dyDescent="0.25">
      <c r="A826" s="12">
        <v>45688</v>
      </c>
      <c r="B826" s="13">
        <v>1093.3699999999999</v>
      </c>
      <c r="C826" s="13">
        <v>1106.5</v>
      </c>
      <c r="D826" s="5">
        <f t="shared" si="24"/>
        <v>6.9970199487331071</v>
      </c>
      <c r="E826" s="5">
        <f t="shared" si="24"/>
        <v>7.0089571594911044</v>
      </c>
      <c r="F826" s="5">
        <f t="shared" si="25"/>
        <v>-2.1743905658118123E-3</v>
      </c>
      <c r="G826" s="5">
        <f t="shared" si="25"/>
        <v>-1.1590946966155258E-2</v>
      </c>
    </row>
    <row r="827" spans="1:7" x14ac:dyDescent="0.25">
      <c r="A827" s="12">
        <v>45691</v>
      </c>
      <c r="B827" s="13">
        <v>1073.72</v>
      </c>
      <c r="C827" s="13">
        <v>1099.0999999999999</v>
      </c>
      <c r="D827" s="5">
        <f t="shared" si="24"/>
        <v>6.9788845334436571</v>
      </c>
      <c r="E827" s="5">
        <f t="shared" si="24"/>
        <v>7.002246942074855</v>
      </c>
      <c r="F827" s="5">
        <f t="shared" si="25"/>
        <v>-1.8135415289449952E-2</v>
      </c>
      <c r="G827" s="5">
        <f t="shared" si="25"/>
        <v>-6.7102174162494421E-3</v>
      </c>
    </row>
    <row r="828" spans="1:7" x14ac:dyDescent="0.25">
      <c r="A828" s="12">
        <v>45692</v>
      </c>
      <c r="B828" s="13">
        <v>1092.93</v>
      </c>
      <c r="C828" s="13">
        <v>1119.0999999999999</v>
      </c>
      <c r="D828" s="5">
        <f t="shared" si="24"/>
        <v>6.9966174422098115</v>
      </c>
      <c r="E828" s="5">
        <f t="shared" si="24"/>
        <v>7.0202800698239818</v>
      </c>
      <c r="F828" s="5">
        <f t="shared" si="25"/>
        <v>1.7732908766154409E-2</v>
      </c>
      <c r="G828" s="5">
        <f t="shared" si="25"/>
        <v>1.8033127749126798E-2</v>
      </c>
    </row>
    <row r="829" spans="1:7" x14ac:dyDescent="0.25">
      <c r="A829" s="12">
        <v>45693</v>
      </c>
      <c r="B829" s="13">
        <v>1095.79</v>
      </c>
      <c r="C829" s="13">
        <v>1115.5</v>
      </c>
      <c r="D829" s="5">
        <f t="shared" si="24"/>
        <v>6.9992308433098005</v>
      </c>
      <c r="E829" s="5">
        <f t="shared" si="24"/>
        <v>7.0170580138725871</v>
      </c>
      <c r="F829" s="5">
        <f t="shared" si="25"/>
        <v>2.6134010999889767E-3</v>
      </c>
      <c r="G829" s="5">
        <f t="shared" si="25"/>
        <v>-3.2220559513946867E-3</v>
      </c>
    </row>
    <row r="830" spans="1:7" x14ac:dyDescent="0.25">
      <c r="A830" s="12">
        <v>45694</v>
      </c>
      <c r="B830" s="13">
        <v>1102.25</v>
      </c>
      <c r="C830" s="13">
        <v>1119.7</v>
      </c>
      <c r="D830" s="5">
        <f t="shared" si="24"/>
        <v>7.0051088242380466</v>
      </c>
      <c r="E830" s="5">
        <f t="shared" si="24"/>
        <v>7.0208160712661511</v>
      </c>
      <c r="F830" s="5">
        <f t="shared" si="25"/>
        <v>5.877980928246096E-3</v>
      </c>
      <c r="G830" s="5">
        <f t="shared" si="25"/>
        <v>3.7580573935640516E-3</v>
      </c>
    </row>
    <row r="831" spans="1:7" x14ac:dyDescent="0.25">
      <c r="A831" s="12">
        <v>45695</v>
      </c>
      <c r="B831" s="13">
        <v>1108.48</v>
      </c>
      <c r="C831" s="13">
        <v>1119.5</v>
      </c>
      <c r="D831" s="5">
        <f t="shared" si="24"/>
        <v>7.0107449864939611</v>
      </c>
      <c r="E831" s="5">
        <f t="shared" si="24"/>
        <v>7.0206374360388093</v>
      </c>
      <c r="F831" s="5">
        <f t="shared" si="25"/>
        <v>5.6361622559144564E-3</v>
      </c>
      <c r="G831" s="5">
        <f t="shared" si="25"/>
        <v>-1.7863522734185011E-4</v>
      </c>
    </row>
    <row r="832" spans="1:7" x14ac:dyDescent="0.25">
      <c r="A832" s="12">
        <v>45698</v>
      </c>
      <c r="B832" s="13">
        <v>1108.46</v>
      </c>
      <c r="C832" s="13">
        <v>1132.5</v>
      </c>
      <c r="D832" s="5">
        <f t="shared" si="24"/>
        <v>7.0107269436060156</v>
      </c>
      <c r="E832" s="5">
        <f t="shared" si="24"/>
        <v>7.0321828573571894</v>
      </c>
      <c r="F832" s="5">
        <f t="shared" si="25"/>
        <v>-1.8042887945490804E-5</v>
      </c>
      <c r="G832" s="5">
        <f t="shared" si="25"/>
        <v>1.15454213183801E-2</v>
      </c>
    </row>
    <row r="833" spans="1:7" x14ac:dyDescent="0.25">
      <c r="A833" s="12">
        <v>45699</v>
      </c>
      <c r="B833" s="13">
        <v>1104.6300000000001</v>
      </c>
      <c r="C833" s="13">
        <v>1126.7</v>
      </c>
      <c r="D833" s="5">
        <f t="shared" si="24"/>
        <v>7.0072657162509184</v>
      </c>
      <c r="E833" s="5">
        <f t="shared" si="24"/>
        <v>7.0270482851701201</v>
      </c>
      <c r="F833" s="5">
        <f t="shared" si="25"/>
        <v>-3.4612273550971295E-3</v>
      </c>
      <c r="G833" s="5">
        <f t="shared" si="25"/>
        <v>-5.1345721870692529E-3</v>
      </c>
    </row>
    <row r="834" spans="1:7" x14ac:dyDescent="0.25">
      <c r="A834" s="12">
        <v>45700</v>
      </c>
      <c r="B834" s="13">
        <v>1111.01</v>
      </c>
      <c r="C834" s="13">
        <v>1133.8</v>
      </c>
      <c r="D834" s="5">
        <f t="shared" si="24"/>
        <v>7.0130247904992125</v>
      </c>
      <c r="E834" s="5">
        <f t="shared" si="24"/>
        <v>7.0333301018902032</v>
      </c>
      <c r="F834" s="5">
        <f t="shared" si="25"/>
        <v>5.7590742482940271E-3</v>
      </c>
      <c r="G834" s="5">
        <f t="shared" si="25"/>
        <v>6.2818167200830999E-3</v>
      </c>
    </row>
    <row r="835" spans="1:7" x14ac:dyDescent="0.25">
      <c r="A835" s="12">
        <v>45701</v>
      </c>
      <c r="B835" s="13">
        <v>1113.25</v>
      </c>
      <c r="C835" s="13">
        <v>1140.4000000000001</v>
      </c>
      <c r="D835" s="5">
        <f t="shared" si="24"/>
        <v>7.0150389442018115</v>
      </c>
      <c r="E835" s="5">
        <f t="shared" si="24"/>
        <v>7.0391343570385168</v>
      </c>
      <c r="F835" s="5">
        <f t="shared" si="25"/>
        <v>2.014153702599053E-3</v>
      </c>
      <c r="G835" s="5">
        <f t="shared" si="25"/>
        <v>5.8042551483135085E-3</v>
      </c>
    </row>
    <row r="836" spans="1:7" x14ac:dyDescent="0.25">
      <c r="A836" s="12">
        <v>45702</v>
      </c>
      <c r="B836" s="13">
        <v>1125.23</v>
      </c>
      <c r="C836" s="13">
        <v>1147.9000000000001</v>
      </c>
      <c r="D836" s="5">
        <f t="shared" ref="D836:E899" si="26">LN(B836)</f>
        <v>7.0257427381870476</v>
      </c>
      <c r="E836" s="5">
        <f t="shared" si="26"/>
        <v>7.045689465071451</v>
      </c>
      <c r="F836" s="5">
        <f t="shared" ref="F836:G899" si="27">D836-D835</f>
        <v>1.0703793985236132E-2</v>
      </c>
      <c r="G836" s="5">
        <f t="shared" si="27"/>
        <v>6.5551080329342426E-3</v>
      </c>
    </row>
    <row r="837" spans="1:7" x14ac:dyDescent="0.25">
      <c r="A837" s="12">
        <v>45705</v>
      </c>
      <c r="B837" s="13">
        <v>1130.6099999999999</v>
      </c>
      <c r="C837" s="13">
        <v>1152.5999999999999</v>
      </c>
      <c r="D837" s="5">
        <f t="shared" si="26"/>
        <v>7.0305125890632105</v>
      </c>
      <c r="E837" s="5">
        <f t="shared" si="26"/>
        <v>7.0497755390025656</v>
      </c>
      <c r="F837" s="5">
        <f t="shared" si="27"/>
        <v>4.7698508761628844E-3</v>
      </c>
      <c r="G837" s="5">
        <f t="shared" si="27"/>
        <v>4.0860739311145977E-3</v>
      </c>
    </row>
    <row r="838" spans="1:7" x14ac:dyDescent="0.25">
      <c r="A838" s="12">
        <v>45706</v>
      </c>
      <c r="B838" s="13">
        <v>1138.92</v>
      </c>
      <c r="C838" s="13">
        <v>1156.5</v>
      </c>
      <c r="D838" s="5">
        <f t="shared" si="26"/>
        <v>7.0378357239304012</v>
      </c>
      <c r="E838" s="5">
        <f t="shared" si="26"/>
        <v>7.0531534816714938</v>
      </c>
      <c r="F838" s="5">
        <f t="shared" si="27"/>
        <v>7.323134867190717E-3</v>
      </c>
      <c r="G838" s="5">
        <f t="shared" si="27"/>
        <v>3.3779426689282133E-3</v>
      </c>
    </row>
    <row r="839" spans="1:7" x14ac:dyDescent="0.25">
      <c r="A839" s="12">
        <v>45707</v>
      </c>
      <c r="B839" s="13">
        <v>1136.8699999999999</v>
      </c>
      <c r="C839" s="13">
        <v>1153.2</v>
      </c>
      <c r="D839" s="5">
        <f t="shared" si="26"/>
        <v>7.0360341512418243</v>
      </c>
      <c r="E839" s="5">
        <f t="shared" si="26"/>
        <v>7.0502959657642474</v>
      </c>
      <c r="F839" s="5">
        <f t="shared" si="27"/>
        <v>-1.8015726885769467E-3</v>
      </c>
      <c r="G839" s="5">
        <f t="shared" si="27"/>
        <v>-2.8575159072463663E-3</v>
      </c>
    </row>
    <row r="840" spans="1:7" x14ac:dyDescent="0.25">
      <c r="A840" s="12">
        <v>45708</v>
      </c>
      <c r="B840" s="13">
        <v>1132.45</v>
      </c>
      <c r="C840" s="13">
        <v>1163.3</v>
      </c>
      <c r="D840" s="5">
        <f t="shared" si="26"/>
        <v>7.0321387062721694</v>
      </c>
      <c r="E840" s="5">
        <f t="shared" si="26"/>
        <v>7.0590160728227209</v>
      </c>
      <c r="F840" s="5">
        <f t="shared" si="27"/>
        <v>-3.8954449696548821E-3</v>
      </c>
      <c r="G840" s="5">
        <f t="shared" si="27"/>
        <v>8.7201070584734808E-3</v>
      </c>
    </row>
    <row r="841" spans="1:7" x14ac:dyDescent="0.25">
      <c r="A841" s="12">
        <v>45709</v>
      </c>
      <c r="B841" s="13">
        <v>1147.3</v>
      </c>
      <c r="C841" s="13">
        <v>1159.7</v>
      </c>
      <c r="D841" s="5">
        <f t="shared" si="26"/>
        <v>7.0451666348050974</v>
      </c>
      <c r="E841" s="5">
        <f t="shared" si="26"/>
        <v>7.0559166299626579</v>
      </c>
      <c r="F841" s="5">
        <f t="shared" si="27"/>
        <v>1.3027928532928001E-2</v>
      </c>
      <c r="G841" s="5">
        <f t="shared" si="27"/>
        <v>-3.0994428600630286E-3</v>
      </c>
    </row>
    <row r="842" spans="1:7" x14ac:dyDescent="0.25">
      <c r="A842" s="12">
        <v>45712</v>
      </c>
      <c r="B842" s="13">
        <v>1135.74</v>
      </c>
      <c r="C842" s="13">
        <v>1140.7</v>
      </c>
      <c r="D842" s="5">
        <f t="shared" si="26"/>
        <v>7.035039699846183</v>
      </c>
      <c r="E842" s="5">
        <f t="shared" si="26"/>
        <v>7.0393973880338523</v>
      </c>
      <c r="F842" s="5">
        <f t="shared" si="27"/>
        <v>-1.0126934958914369E-2</v>
      </c>
      <c r="G842" s="5">
        <f t="shared" si="27"/>
        <v>-1.6519241928805606E-2</v>
      </c>
    </row>
    <row r="843" spans="1:7" x14ac:dyDescent="0.25">
      <c r="A843" s="12">
        <v>45713</v>
      </c>
      <c r="B843" s="13">
        <v>1122.3800000000001</v>
      </c>
      <c r="C843" s="13">
        <v>1141.2</v>
      </c>
      <c r="D843" s="5">
        <f t="shared" si="26"/>
        <v>7.0232067096701192</v>
      </c>
      <c r="E843" s="5">
        <f t="shared" si="26"/>
        <v>7.0398356193393452</v>
      </c>
      <c r="F843" s="5">
        <f t="shared" si="27"/>
        <v>-1.1832990176063873E-2</v>
      </c>
      <c r="G843" s="5">
        <f t="shared" si="27"/>
        <v>4.3823130549291989E-4</v>
      </c>
    </row>
    <row r="844" spans="1:7" x14ac:dyDescent="0.25">
      <c r="A844" s="12">
        <v>45714</v>
      </c>
      <c r="B844" s="13">
        <v>1135.4100000000001</v>
      </c>
      <c r="C844" s="13">
        <v>1151.9000000000001</v>
      </c>
      <c r="D844" s="5">
        <f t="shared" si="26"/>
        <v>7.0347490981665741</v>
      </c>
      <c r="E844" s="5">
        <f t="shared" si="26"/>
        <v>7.049168031932461</v>
      </c>
      <c r="F844" s="5">
        <f t="shared" si="27"/>
        <v>1.1542388496454947E-2</v>
      </c>
      <c r="G844" s="5">
        <f t="shared" si="27"/>
        <v>9.3324125931157909E-3</v>
      </c>
    </row>
    <row r="845" spans="1:7" x14ac:dyDescent="0.25">
      <c r="A845" s="12">
        <v>45715</v>
      </c>
      <c r="B845" s="13">
        <v>1124.03</v>
      </c>
      <c r="C845" s="13">
        <v>1128.7</v>
      </c>
      <c r="D845" s="5">
        <f t="shared" si="26"/>
        <v>7.0246757204889132</v>
      </c>
      <c r="E845" s="5">
        <f t="shared" si="26"/>
        <v>7.0288218069615809</v>
      </c>
      <c r="F845" s="5">
        <f t="shared" si="27"/>
        <v>-1.0073377677660922E-2</v>
      </c>
      <c r="G845" s="5">
        <f t="shared" si="27"/>
        <v>-2.0346224970880122E-2</v>
      </c>
    </row>
    <row r="846" spans="1:7" x14ac:dyDescent="0.25">
      <c r="A846" s="12">
        <v>45716</v>
      </c>
      <c r="B846" s="13">
        <v>1097.25</v>
      </c>
      <c r="C846" s="13">
        <v>1112.0999999999999</v>
      </c>
      <c r="D846" s="5">
        <f t="shared" si="26"/>
        <v>7.0005623285683436</v>
      </c>
      <c r="E846" s="5">
        <f t="shared" si="26"/>
        <v>7.0140053988247963</v>
      </c>
      <c r="F846" s="5">
        <f t="shared" si="27"/>
        <v>-2.4113391920569605E-2</v>
      </c>
      <c r="G846" s="5">
        <f t="shared" si="27"/>
        <v>-1.4816408136784531E-2</v>
      </c>
    </row>
    <row r="847" spans="1:7" x14ac:dyDescent="0.25">
      <c r="A847" s="12">
        <v>45719</v>
      </c>
      <c r="B847" s="13">
        <v>1097.3699999999999</v>
      </c>
      <c r="C847" s="13">
        <v>1101.9000000000001</v>
      </c>
      <c r="D847" s="5">
        <f t="shared" si="26"/>
        <v>7.0006716869083929</v>
      </c>
      <c r="E847" s="5">
        <f t="shared" si="26"/>
        <v>7.0047912414937317</v>
      </c>
      <c r="F847" s="5">
        <f t="shared" si="27"/>
        <v>1.0935834004932588E-4</v>
      </c>
      <c r="G847" s="5">
        <f t="shared" si="27"/>
        <v>-9.2141573310646763E-3</v>
      </c>
    </row>
    <row r="848" spans="1:7" x14ac:dyDescent="0.25">
      <c r="A848" s="12">
        <v>45720</v>
      </c>
      <c r="B848" s="13">
        <v>1093</v>
      </c>
      <c r="C848" s="13">
        <v>1109.9000000000001</v>
      </c>
      <c r="D848" s="5">
        <f t="shared" si="26"/>
        <v>6.9966814881765389</v>
      </c>
      <c r="E848" s="5">
        <f t="shared" si="26"/>
        <v>7.0120252001579342</v>
      </c>
      <c r="F848" s="5">
        <f t="shared" si="27"/>
        <v>-3.9901987318540222E-3</v>
      </c>
      <c r="G848" s="5">
        <f t="shared" si="27"/>
        <v>7.2339586642025111E-3</v>
      </c>
    </row>
    <row r="849" spans="1:7" x14ac:dyDescent="0.25">
      <c r="A849" s="12">
        <v>45721</v>
      </c>
      <c r="B849" s="13">
        <v>1115.55</v>
      </c>
      <c r="C849" s="13">
        <v>1142.8</v>
      </c>
      <c r="D849" s="5">
        <f t="shared" si="26"/>
        <v>7.0171028358174192</v>
      </c>
      <c r="E849" s="5">
        <f t="shared" si="26"/>
        <v>7.0412366703566178</v>
      </c>
      <c r="F849" s="5">
        <f t="shared" si="27"/>
        <v>2.0421347640880327E-2</v>
      </c>
      <c r="G849" s="5">
        <f t="shared" si="27"/>
        <v>2.9211470198683642E-2</v>
      </c>
    </row>
    <row r="850" spans="1:7" x14ac:dyDescent="0.25">
      <c r="A850" s="12">
        <v>45722</v>
      </c>
      <c r="B850" s="13">
        <v>1131.26</v>
      </c>
      <c r="C850" s="13">
        <v>1137.7</v>
      </c>
      <c r="D850" s="5">
        <f t="shared" si="26"/>
        <v>7.031087334754071</v>
      </c>
      <c r="E850" s="5">
        <f t="shared" si="26"/>
        <v>7.036763959545671</v>
      </c>
      <c r="F850" s="5">
        <f t="shared" si="27"/>
        <v>1.3984498936651768E-2</v>
      </c>
      <c r="G850" s="5">
        <f t="shared" si="27"/>
        <v>-4.4727108109468006E-3</v>
      </c>
    </row>
    <row r="851" spans="1:7" x14ac:dyDescent="0.25">
      <c r="A851" s="12">
        <v>45723</v>
      </c>
      <c r="B851" s="13">
        <v>1128.55</v>
      </c>
      <c r="C851" s="13">
        <v>1142.2</v>
      </c>
      <c r="D851" s="5">
        <f t="shared" si="26"/>
        <v>7.0286889018777652</v>
      </c>
      <c r="E851" s="5">
        <f t="shared" si="26"/>
        <v>7.0407115062307621</v>
      </c>
      <c r="F851" s="5">
        <f t="shared" si="27"/>
        <v>-2.3984328763058116E-3</v>
      </c>
      <c r="G851" s="5">
        <f t="shared" si="27"/>
        <v>3.9475466850911189E-3</v>
      </c>
    </row>
    <row r="852" spans="1:7" x14ac:dyDescent="0.25">
      <c r="A852" s="12">
        <v>45726</v>
      </c>
      <c r="B852" s="13">
        <v>1113.06</v>
      </c>
      <c r="C852" s="13">
        <v>1114.3</v>
      </c>
      <c r="D852" s="5">
        <f t="shared" si="26"/>
        <v>7.0148682581783364</v>
      </c>
      <c r="E852" s="5">
        <f t="shared" si="26"/>
        <v>7.015981684053008</v>
      </c>
      <c r="F852" s="5">
        <f t="shared" si="27"/>
        <v>-1.3820643699428814E-2</v>
      </c>
      <c r="G852" s="5">
        <f t="shared" si="27"/>
        <v>-2.4729822177754102E-2</v>
      </c>
    </row>
    <row r="853" spans="1:7" x14ac:dyDescent="0.25">
      <c r="A853" s="12">
        <v>45727</v>
      </c>
      <c r="B853" s="13">
        <v>1109.1600000000001</v>
      </c>
      <c r="C853" s="13">
        <v>1123.7</v>
      </c>
      <c r="D853" s="5">
        <f t="shared" si="26"/>
        <v>7.0113582510646868</v>
      </c>
      <c r="E853" s="5">
        <f t="shared" si="26"/>
        <v>7.024382090913857</v>
      </c>
      <c r="F853" s="5">
        <f t="shared" si="27"/>
        <v>-3.5100071136495714E-3</v>
      </c>
      <c r="G853" s="5">
        <f t="shared" si="27"/>
        <v>8.4004068608489746E-3</v>
      </c>
    </row>
    <row r="854" spans="1:7" x14ac:dyDescent="0.25">
      <c r="A854" s="12">
        <v>45728</v>
      </c>
      <c r="B854" s="13">
        <v>1111.1300000000001</v>
      </c>
      <c r="C854" s="13">
        <v>1130.5999999999999</v>
      </c>
      <c r="D854" s="5">
        <f t="shared" si="26"/>
        <v>7.0131327944954647</v>
      </c>
      <c r="E854" s="5">
        <f t="shared" si="26"/>
        <v>7.03050374424119</v>
      </c>
      <c r="F854" s="5">
        <f t="shared" si="27"/>
        <v>1.7745434307778751E-3</v>
      </c>
      <c r="G854" s="5">
        <f t="shared" si="27"/>
        <v>6.1216533273329432E-3</v>
      </c>
    </row>
    <row r="855" spans="1:7" x14ac:dyDescent="0.25">
      <c r="A855" s="12">
        <v>45729</v>
      </c>
      <c r="B855" s="13">
        <v>1106.07</v>
      </c>
      <c r="C855" s="13">
        <v>1125.9000000000001</v>
      </c>
      <c r="D855" s="5">
        <f t="shared" si="26"/>
        <v>7.0085684712187213</v>
      </c>
      <c r="E855" s="5">
        <f t="shared" si="26"/>
        <v>7.0263379948090847</v>
      </c>
      <c r="F855" s="5">
        <f t="shared" si="27"/>
        <v>-4.5643232767433872E-3</v>
      </c>
      <c r="G855" s="5">
        <f t="shared" si="27"/>
        <v>-4.1657494321052368E-3</v>
      </c>
    </row>
    <row r="856" spans="1:7" x14ac:dyDescent="0.25">
      <c r="A856" s="12">
        <v>45730</v>
      </c>
      <c r="B856" s="13">
        <v>1119.6099999999999</v>
      </c>
      <c r="C856" s="13">
        <v>1147.0999999999999</v>
      </c>
      <c r="D856" s="5">
        <f t="shared" si="26"/>
        <v>7.0207356893627537</v>
      </c>
      <c r="E856" s="5">
        <f t="shared" si="26"/>
        <v>7.0449922972872221</v>
      </c>
      <c r="F856" s="5">
        <f t="shared" si="27"/>
        <v>1.2167218144032432E-2</v>
      </c>
      <c r="G856" s="5">
        <f t="shared" si="27"/>
        <v>1.8654302478137375E-2</v>
      </c>
    </row>
    <row r="857" spans="1:7" x14ac:dyDescent="0.25">
      <c r="A857" s="12">
        <v>45733</v>
      </c>
      <c r="B857" s="13">
        <v>1131.44</v>
      </c>
      <c r="C857" s="13">
        <v>1167.0999999999999</v>
      </c>
      <c r="D857" s="5">
        <f t="shared" si="26"/>
        <v>7.0312464367122445</v>
      </c>
      <c r="E857" s="5">
        <f t="shared" si="26"/>
        <v>7.0622773184183076</v>
      </c>
      <c r="F857" s="5">
        <f t="shared" si="27"/>
        <v>1.0510747349490757E-2</v>
      </c>
      <c r="G857" s="5">
        <f t="shared" si="27"/>
        <v>1.7285021131085543E-2</v>
      </c>
    </row>
    <row r="858" spans="1:7" x14ac:dyDescent="0.25">
      <c r="A858" s="12">
        <v>45734</v>
      </c>
      <c r="B858" s="13">
        <v>1145.17</v>
      </c>
      <c r="C858" s="13">
        <v>1162.5999999999999</v>
      </c>
      <c r="D858" s="5">
        <f t="shared" si="26"/>
        <v>7.0433083765832407</v>
      </c>
      <c r="E858" s="5">
        <f t="shared" si="26"/>
        <v>7.0584141552672497</v>
      </c>
      <c r="F858" s="5">
        <f t="shared" si="27"/>
        <v>1.2061939870996241E-2</v>
      </c>
      <c r="G858" s="5">
        <f t="shared" si="27"/>
        <v>-3.8631631510579467E-3</v>
      </c>
    </row>
    <row r="859" spans="1:7" x14ac:dyDescent="0.25">
      <c r="A859" s="12">
        <v>45735</v>
      </c>
      <c r="B859" s="13">
        <v>1143.29</v>
      </c>
      <c r="C859" s="13">
        <v>1164.2</v>
      </c>
      <c r="D859" s="5">
        <f t="shared" si="26"/>
        <v>7.0416653498989836</v>
      </c>
      <c r="E859" s="5">
        <f t="shared" si="26"/>
        <v>7.0597894348376355</v>
      </c>
      <c r="F859" s="5">
        <f t="shared" si="27"/>
        <v>-1.6430266842570873E-3</v>
      </c>
      <c r="G859" s="5">
        <f t="shared" si="27"/>
        <v>1.3752795703858567E-3</v>
      </c>
    </row>
    <row r="860" spans="1:7" x14ac:dyDescent="0.25">
      <c r="A860" s="12">
        <v>45736</v>
      </c>
      <c r="B860" s="13">
        <v>1140.69</v>
      </c>
      <c r="C860" s="13">
        <v>1153.0999999999999</v>
      </c>
      <c r="D860" s="5">
        <f t="shared" si="26"/>
        <v>7.0393886214485688</v>
      </c>
      <c r="E860" s="5">
        <f t="shared" si="26"/>
        <v>7.0502092467770705</v>
      </c>
      <c r="F860" s="5">
        <f t="shared" si="27"/>
        <v>-2.2767284504148222E-3</v>
      </c>
      <c r="G860" s="5">
        <f t="shared" si="27"/>
        <v>-9.5801880605650425E-3</v>
      </c>
    </row>
    <row r="861" spans="1:7" x14ac:dyDescent="0.25">
      <c r="A861" s="12">
        <v>45737</v>
      </c>
      <c r="B861" s="13">
        <v>1131.3800000000001</v>
      </c>
      <c r="C861" s="13">
        <v>1147.2</v>
      </c>
      <c r="D861" s="5">
        <f t="shared" si="26"/>
        <v>7.0311934055387404</v>
      </c>
      <c r="E861" s="5">
        <f t="shared" si="26"/>
        <v>7.0450794698453558</v>
      </c>
      <c r="F861" s="5">
        <f t="shared" si="27"/>
        <v>-8.1952159098284127E-3</v>
      </c>
      <c r="G861" s="5">
        <f t="shared" si="27"/>
        <v>-5.1297769317146802E-3</v>
      </c>
    </row>
    <row r="862" spans="1:7" x14ac:dyDescent="0.25">
      <c r="A862" s="12">
        <v>45740</v>
      </c>
      <c r="B862" s="13">
        <v>1136.01</v>
      </c>
      <c r="C862" s="13">
        <v>1152.5</v>
      </c>
      <c r="D862" s="5">
        <f t="shared" si="26"/>
        <v>7.0352774020592532</v>
      </c>
      <c r="E862" s="5">
        <f t="shared" si="26"/>
        <v>7.0496887748708037</v>
      </c>
      <c r="F862" s="5">
        <f t="shared" si="27"/>
        <v>4.0839965205128337E-3</v>
      </c>
      <c r="G862" s="5">
        <f t="shared" si="27"/>
        <v>4.609305025447874E-3</v>
      </c>
    </row>
    <row r="863" spans="1:7" x14ac:dyDescent="0.25">
      <c r="A863" s="12">
        <v>45741</v>
      </c>
      <c r="B863" s="13">
        <v>1129.4100000000001</v>
      </c>
      <c r="C863" s="13">
        <v>1149.8</v>
      </c>
      <c r="D863" s="5">
        <f t="shared" si="26"/>
        <v>7.0294506514584363</v>
      </c>
      <c r="E863" s="5">
        <f t="shared" si="26"/>
        <v>7.0473432931891908</v>
      </c>
      <c r="F863" s="5">
        <f t="shared" si="27"/>
        <v>-5.8267506008169434E-3</v>
      </c>
      <c r="G863" s="5">
        <f t="shared" si="27"/>
        <v>-2.3454816816128599E-3</v>
      </c>
    </row>
    <row r="864" spans="1:7" x14ac:dyDescent="0.25">
      <c r="A864" s="12">
        <v>45742</v>
      </c>
      <c r="B864" s="13">
        <v>1131.54</v>
      </c>
      <c r="C864" s="13">
        <v>1143.0999999999999</v>
      </c>
      <c r="D864" s="5">
        <f t="shared" si="26"/>
        <v>7.031334815752329</v>
      </c>
      <c r="E864" s="5">
        <f t="shared" si="26"/>
        <v>7.0414991490317327</v>
      </c>
      <c r="F864" s="5">
        <f t="shared" si="27"/>
        <v>1.8841642938927095E-3</v>
      </c>
      <c r="G864" s="5">
        <f t="shared" si="27"/>
        <v>-5.8441441574581532E-3</v>
      </c>
    </row>
    <row r="865" spans="1:7" x14ac:dyDescent="0.25">
      <c r="A865" s="12">
        <v>45743</v>
      </c>
      <c r="B865" s="13">
        <v>1130.54</v>
      </c>
      <c r="C865" s="13">
        <v>1148.5</v>
      </c>
      <c r="D865" s="5">
        <f t="shared" si="26"/>
        <v>7.0304506736661585</v>
      </c>
      <c r="E865" s="5">
        <f t="shared" si="26"/>
        <v>7.0462120221291533</v>
      </c>
      <c r="F865" s="5">
        <f t="shared" si="27"/>
        <v>-8.8414208617049184E-4</v>
      </c>
      <c r="G865" s="5">
        <f t="shared" si="27"/>
        <v>4.7128730974206334E-3</v>
      </c>
    </row>
    <row r="866" spans="1:7" x14ac:dyDescent="0.25">
      <c r="A866" s="12">
        <v>45744</v>
      </c>
      <c r="B866" s="13">
        <v>1120.72</v>
      </c>
      <c r="C866" s="13">
        <v>1126.7</v>
      </c>
      <c r="D866" s="5">
        <f t="shared" si="26"/>
        <v>7.0217266148878581</v>
      </c>
      <c r="E866" s="5">
        <f t="shared" si="26"/>
        <v>7.0270482851701201</v>
      </c>
      <c r="F866" s="5">
        <f t="shared" si="27"/>
        <v>-8.7240587783004031E-3</v>
      </c>
      <c r="G866" s="5">
        <f t="shared" si="27"/>
        <v>-1.9163736959033173E-2</v>
      </c>
    </row>
    <row r="867" spans="1:7" x14ac:dyDescent="0.25">
      <c r="A867" s="12">
        <v>45747</v>
      </c>
      <c r="B867" s="13">
        <v>1101.4000000000001</v>
      </c>
      <c r="C867" s="13">
        <v>1123</v>
      </c>
      <c r="D867" s="5">
        <f t="shared" si="26"/>
        <v>7.0043373768283814</v>
      </c>
      <c r="E867" s="5">
        <f t="shared" si="26"/>
        <v>7.0237589547384429</v>
      </c>
      <c r="F867" s="5">
        <f t="shared" si="27"/>
        <v>-1.7389238059476675E-2</v>
      </c>
      <c r="G867" s="5">
        <f t="shared" si="27"/>
        <v>-3.2893304316772287E-3</v>
      </c>
    </row>
    <row r="868" spans="1:7" x14ac:dyDescent="0.25">
      <c r="A868" s="12">
        <v>45748</v>
      </c>
      <c r="B868" s="13">
        <v>1110.6600000000001</v>
      </c>
      <c r="C868" s="13">
        <v>1127.5999999999999</v>
      </c>
      <c r="D868" s="5">
        <f t="shared" si="26"/>
        <v>7.0127097121996487</v>
      </c>
      <c r="E868" s="5">
        <f t="shared" si="26"/>
        <v>7.0278467592399574</v>
      </c>
      <c r="F868" s="5">
        <f t="shared" si="27"/>
        <v>8.3723353712672477E-3</v>
      </c>
      <c r="G868" s="5">
        <f t="shared" si="27"/>
        <v>4.0878045015144693E-3</v>
      </c>
    </row>
    <row r="869" spans="1:7" x14ac:dyDescent="0.25">
      <c r="A869" s="12">
        <v>45749</v>
      </c>
      <c r="B869" s="13">
        <v>1111.68</v>
      </c>
      <c r="C869" s="13">
        <v>1128.5999999999999</v>
      </c>
      <c r="D869" s="5">
        <f t="shared" si="26"/>
        <v>7.0136276636126853</v>
      </c>
      <c r="E869" s="5">
        <f t="shared" si="26"/>
        <v>7.0287332055350396</v>
      </c>
      <c r="F869" s="5">
        <f t="shared" si="27"/>
        <v>9.1795141303663286E-4</v>
      </c>
      <c r="G869" s="5">
        <f t="shared" si="27"/>
        <v>8.864462950821661E-4</v>
      </c>
    </row>
    <row r="870" spans="1:7" x14ac:dyDescent="0.25">
      <c r="A870" s="12">
        <v>45750</v>
      </c>
      <c r="B870" s="13">
        <v>1102.78</v>
      </c>
      <c r="C870" s="13">
        <v>1103.2</v>
      </c>
      <c r="D870" s="5">
        <f t="shared" si="26"/>
        <v>7.0055895433304913</v>
      </c>
      <c r="E870" s="5">
        <f t="shared" si="26"/>
        <v>7.0059703264790922</v>
      </c>
      <c r="F870" s="5">
        <f t="shared" si="27"/>
        <v>-8.0381202821939723E-3</v>
      </c>
      <c r="G870" s="5">
        <f t="shared" si="27"/>
        <v>-2.2762879055947316E-2</v>
      </c>
    </row>
    <row r="871" spans="1:7" x14ac:dyDescent="0.25">
      <c r="A871" s="12">
        <v>45751</v>
      </c>
      <c r="B871" s="13">
        <v>1087.5899999999999</v>
      </c>
      <c r="C871" s="13">
        <v>1039.5999999999999</v>
      </c>
      <c r="D871" s="5">
        <f t="shared" si="26"/>
        <v>6.9917195181592229</v>
      </c>
      <c r="E871" s="5">
        <f t="shared" si="26"/>
        <v>6.9465913027673354</v>
      </c>
      <c r="F871" s="5">
        <f t="shared" si="27"/>
        <v>-1.3870025171268452E-2</v>
      </c>
      <c r="G871" s="5">
        <f t="shared" si="27"/>
        <v>-5.9379023711756851E-2</v>
      </c>
    </row>
    <row r="872" spans="1:7" x14ac:dyDescent="0.25">
      <c r="A872" s="12">
        <v>45754</v>
      </c>
      <c r="B872" s="13">
        <v>1001.49</v>
      </c>
      <c r="C872" s="13">
        <v>1000.3</v>
      </c>
      <c r="D872" s="5">
        <f t="shared" si="26"/>
        <v>6.9092441700335563</v>
      </c>
      <c r="E872" s="5">
        <f t="shared" si="26"/>
        <v>6.908055233991135</v>
      </c>
      <c r="F872" s="5">
        <f t="shared" si="27"/>
        <v>-8.2475348125666592E-2</v>
      </c>
      <c r="G872" s="5">
        <f t="shared" si="27"/>
        <v>-3.8536068776200416E-2</v>
      </c>
    </row>
    <row r="873" spans="1:7" x14ac:dyDescent="0.25">
      <c r="A873" s="12">
        <v>45755</v>
      </c>
      <c r="B873" s="13">
        <v>1002.6</v>
      </c>
      <c r="C873" s="13">
        <v>987.4</v>
      </c>
      <c r="D873" s="5">
        <f t="shared" si="26"/>
        <v>6.9103519048294029</v>
      </c>
      <c r="E873" s="5">
        <f t="shared" si="26"/>
        <v>6.8950752258247627</v>
      </c>
      <c r="F873" s="5">
        <f t="shared" si="27"/>
        <v>1.1077347958465822E-3</v>
      </c>
      <c r="G873" s="5">
        <f t="shared" si="27"/>
        <v>-1.2980008166372237E-2</v>
      </c>
    </row>
    <row r="874" spans="1:7" x14ac:dyDescent="0.25">
      <c r="A874" s="12">
        <v>45756</v>
      </c>
      <c r="B874" s="13">
        <v>993.45</v>
      </c>
      <c r="C874" s="13">
        <v>1056.5</v>
      </c>
      <c r="D874" s="5">
        <f t="shared" si="26"/>
        <v>6.9011837335990984</v>
      </c>
      <c r="E874" s="5">
        <f t="shared" si="26"/>
        <v>6.962716837056111</v>
      </c>
      <c r="F874" s="5">
        <f t="shared" si="27"/>
        <v>-9.1681712303044449E-3</v>
      </c>
      <c r="G874" s="5">
        <f t="shared" si="27"/>
        <v>6.7641611231348264E-2</v>
      </c>
    </row>
    <row r="875" spans="1:7" x14ac:dyDescent="0.25">
      <c r="A875" s="12">
        <v>45757</v>
      </c>
      <c r="B875" s="13">
        <v>1028.8599999999999</v>
      </c>
      <c r="C875" s="13">
        <v>1038.8</v>
      </c>
      <c r="D875" s="5">
        <f t="shared" si="26"/>
        <v>6.9362066721560387</v>
      </c>
      <c r="E875" s="5">
        <f t="shared" si="26"/>
        <v>6.9458214797885933</v>
      </c>
      <c r="F875" s="5">
        <f t="shared" si="27"/>
        <v>3.5022938556940275E-2</v>
      </c>
      <c r="G875" s="5">
        <f t="shared" si="27"/>
        <v>-1.6895357267517674E-2</v>
      </c>
    </row>
    <row r="876" spans="1:7" x14ac:dyDescent="0.25">
      <c r="A876" s="12">
        <v>45758</v>
      </c>
      <c r="B876" s="13">
        <v>1045.2</v>
      </c>
      <c r="C876" s="13">
        <v>1071.9000000000001</v>
      </c>
      <c r="D876" s="5">
        <f t="shared" si="26"/>
        <v>6.9519635336464578</v>
      </c>
      <c r="E876" s="5">
        <f t="shared" si="26"/>
        <v>6.977188053697474</v>
      </c>
      <c r="F876" s="5">
        <f t="shared" si="27"/>
        <v>1.5756861490419105E-2</v>
      </c>
      <c r="G876" s="5">
        <f t="shared" si="27"/>
        <v>3.1366573908880646E-2</v>
      </c>
    </row>
    <row r="877" spans="1:7" x14ac:dyDescent="0.25">
      <c r="A877" s="12">
        <v>45761</v>
      </c>
      <c r="B877" s="13">
        <v>1060.22</v>
      </c>
      <c r="C877" s="13">
        <v>1080.8</v>
      </c>
      <c r="D877" s="5">
        <f t="shared" si="26"/>
        <v>6.9662317127409903</v>
      </c>
      <c r="E877" s="5">
        <f t="shared" si="26"/>
        <v>6.9854567866459893</v>
      </c>
      <c r="F877" s="5">
        <f t="shared" si="27"/>
        <v>1.4268179094532485E-2</v>
      </c>
      <c r="G877" s="5">
        <f t="shared" si="27"/>
        <v>8.2687329485153782E-3</v>
      </c>
    </row>
    <row r="878" spans="1:7" x14ac:dyDescent="0.25">
      <c r="A878" s="12">
        <v>45762</v>
      </c>
      <c r="B878" s="13">
        <v>1070.26</v>
      </c>
      <c r="C878" s="13">
        <v>1079.0999999999999</v>
      </c>
      <c r="D878" s="5">
        <f t="shared" si="26"/>
        <v>6.9756568885927104</v>
      </c>
      <c r="E878" s="5">
        <f t="shared" si="26"/>
        <v>6.9838826393696882</v>
      </c>
      <c r="F878" s="5">
        <f t="shared" si="27"/>
        <v>9.4251758517200912E-3</v>
      </c>
      <c r="G878" s="5">
        <f t="shared" si="27"/>
        <v>-1.5741472763011188E-3</v>
      </c>
    </row>
    <row r="879" spans="1:7" x14ac:dyDescent="0.25">
      <c r="A879" s="12">
        <v>45763</v>
      </c>
      <c r="B879" s="13">
        <v>1059.0999999999999</v>
      </c>
      <c r="C879" s="13">
        <v>1065.0999999999999</v>
      </c>
      <c r="D879" s="5">
        <f t="shared" si="26"/>
        <v>6.9651747698496234</v>
      </c>
      <c r="E879" s="5">
        <f t="shared" si="26"/>
        <v>6.9708239704491195</v>
      </c>
      <c r="F879" s="5">
        <f t="shared" si="27"/>
        <v>-1.0482118743087021E-2</v>
      </c>
      <c r="G879" s="5">
        <f t="shared" si="27"/>
        <v>-1.3058668920568728E-2</v>
      </c>
    </row>
    <row r="880" spans="1:7" x14ac:dyDescent="0.25">
      <c r="A880" s="12">
        <v>45764</v>
      </c>
      <c r="B880" s="13">
        <v>1067.07</v>
      </c>
      <c r="C880" s="13">
        <v>1073.5999999999999</v>
      </c>
      <c r="D880" s="5">
        <f t="shared" si="26"/>
        <v>6.9726718536484666</v>
      </c>
      <c r="E880" s="5">
        <f t="shared" si="26"/>
        <v>6.9787727662174168</v>
      </c>
      <c r="F880" s="5">
        <f t="shared" si="27"/>
        <v>7.4970837988432848E-3</v>
      </c>
      <c r="G880" s="5">
        <f t="shared" si="27"/>
        <v>7.9487957682973231E-3</v>
      </c>
    </row>
    <row r="881" spans="1:7" x14ac:dyDescent="0.25">
      <c r="A881" s="12">
        <v>45765</v>
      </c>
      <c r="B881" s="13">
        <v>1068.5899999999999</v>
      </c>
      <c r="C881" s="13">
        <v>1068.5899999999999</v>
      </c>
      <c r="D881" s="5">
        <f t="shared" si="26"/>
        <v>6.9740953014413289</v>
      </c>
      <c r="E881" s="5">
        <f t="shared" si="26"/>
        <v>6.9740953014413289</v>
      </c>
      <c r="F881" s="5">
        <f t="shared" si="27"/>
        <v>1.4234477928622979E-3</v>
      </c>
      <c r="G881" s="5">
        <f t="shared" si="27"/>
        <v>-4.6774647760878807E-3</v>
      </c>
    </row>
    <row r="882" spans="1:7" x14ac:dyDescent="0.25">
      <c r="A882" s="12">
        <v>45768</v>
      </c>
      <c r="B882" s="13">
        <v>1071.95</v>
      </c>
      <c r="C882" s="13">
        <v>1074.5999999999999</v>
      </c>
      <c r="D882" s="5">
        <f t="shared" si="26"/>
        <v>6.97723469875194</v>
      </c>
      <c r="E882" s="5">
        <f t="shared" si="26"/>
        <v>6.9797037782947209</v>
      </c>
      <c r="F882" s="5">
        <f t="shared" si="27"/>
        <v>3.1393973106110806E-3</v>
      </c>
      <c r="G882" s="5">
        <f t="shared" si="27"/>
        <v>5.6084768533919416E-3</v>
      </c>
    </row>
    <row r="883" spans="1:7" x14ac:dyDescent="0.25">
      <c r="A883" s="12">
        <v>45769</v>
      </c>
      <c r="B883" s="13">
        <v>1073.79</v>
      </c>
      <c r="C883" s="13">
        <v>1091.7</v>
      </c>
      <c r="D883" s="5">
        <f t="shared" si="26"/>
        <v>6.9789497252239281</v>
      </c>
      <c r="E883" s="5">
        <f t="shared" si="26"/>
        <v>6.9954913932862235</v>
      </c>
      <c r="F883" s="5">
        <f t="shared" si="27"/>
        <v>1.7150264719880681E-3</v>
      </c>
      <c r="G883" s="5">
        <f t="shared" si="27"/>
        <v>1.5787614991502608E-2</v>
      </c>
    </row>
    <row r="884" spans="1:7" x14ac:dyDescent="0.25">
      <c r="A884" s="12">
        <v>45770</v>
      </c>
      <c r="B884" s="13">
        <v>1096.05</v>
      </c>
      <c r="C884" s="13">
        <v>1105.2</v>
      </c>
      <c r="D884" s="5">
        <f t="shared" si="26"/>
        <v>6.9994680869053365</v>
      </c>
      <c r="E884" s="5">
        <f t="shared" si="26"/>
        <v>7.0077815930492617</v>
      </c>
      <c r="F884" s="5">
        <f t="shared" si="27"/>
        <v>2.0518361681408415E-2</v>
      </c>
      <c r="G884" s="5">
        <f t="shared" si="27"/>
        <v>1.2290199763038245E-2</v>
      </c>
    </row>
    <row r="885" spans="1:7" x14ac:dyDescent="0.25">
      <c r="A885" s="12">
        <v>45771</v>
      </c>
      <c r="B885" s="13">
        <v>1092.98</v>
      </c>
      <c r="C885" s="13">
        <v>1118</v>
      </c>
      <c r="D885" s="5">
        <f t="shared" si="26"/>
        <v>6.9966631897474585</v>
      </c>
      <c r="E885" s="5">
        <f t="shared" si="26"/>
        <v>7.0192966537150445</v>
      </c>
      <c r="F885" s="5">
        <f t="shared" si="27"/>
        <v>-2.8048971578780169E-3</v>
      </c>
      <c r="G885" s="5">
        <f t="shared" si="27"/>
        <v>1.1515060665782784E-2</v>
      </c>
    </row>
    <row r="886" spans="1:7" x14ac:dyDescent="0.25">
      <c r="A886" s="12">
        <v>45772</v>
      </c>
      <c r="B886" s="13">
        <v>1097.0999999999999</v>
      </c>
      <c r="C886" s="13">
        <v>1113.5999999999999</v>
      </c>
      <c r="D886" s="5">
        <f t="shared" si="26"/>
        <v>7.0004256138234453</v>
      </c>
      <c r="E886" s="5">
        <f t="shared" si="26"/>
        <v>7.0153532895801547</v>
      </c>
      <c r="F886" s="5">
        <f t="shared" si="27"/>
        <v>3.7624240759868144E-3</v>
      </c>
      <c r="G886" s="5">
        <f t="shared" si="27"/>
        <v>-3.9433641348898263E-3</v>
      </c>
    </row>
    <row r="887" spans="1:7" x14ac:dyDescent="0.25">
      <c r="A887" s="12">
        <v>45775</v>
      </c>
      <c r="B887" s="13">
        <v>1102.57</v>
      </c>
      <c r="C887" s="13">
        <v>1116</v>
      </c>
      <c r="D887" s="5">
        <f t="shared" si="26"/>
        <v>7.0053990973689571</v>
      </c>
      <c r="E887" s="5">
        <f t="shared" si="26"/>
        <v>7.0175061429412562</v>
      </c>
      <c r="F887" s="5">
        <f t="shared" si="27"/>
        <v>4.9734835455117476E-3</v>
      </c>
      <c r="G887" s="5">
        <f t="shared" si="27"/>
        <v>2.1528533611014922E-3</v>
      </c>
    </row>
    <row r="888" spans="1:7" x14ac:dyDescent="0.25">
      <c r="A888" s="12">
        <v>45776</v>
      </c>
      <c r="B888" s="13">
        <v>1105.99</v>
      </c>
      <c r="C888" s="13">
        <v>1118.9000000000001</v>
      </c>
      <c r="D888" s="5">
        <f t="shared" si="26"/>
        <v>7.0084961404500845</v>
      </c>
      <c r="E888" s="5">
        <f t="shared" si="26"/>
        <v>7.0201013388136753</v>
      </c>
      <c r="F888" s="5">
        <f t="shared" si="27"/>
        <v>3.0970430811274596E-3</v>
      </c>
      <c r="G888" s="5">
        <f t="shared" si="27"/>
        <v>2.595195872419076E-3</v>
      </c>
    </row>
    <row r="889" spans="1:7" x14ac:dyDescent="0.25">
      <c r="A889" s="12">
        <v>45777</v>
      </c>
      <c r="B889" s="13">
        <v>1112.8399999999999</v>
      </c>
      <c r="C889" s="13">
        <v>1120.9000000000001</v>
      </c>
      <c r="D889" s="5">
        <f t="shared" si="26"/>
        <v>7.0146705853262619</v>
      </c>
      <c r="E889" s="5">
        <f t="shared" si="26"/>
        <v>7.0218872130270498</v>
      </c>
      <c r="F889" s="5">
        <f t="shared" si="27"/>
        <v>6.174444876177354E-3</v>
      </c>
      <c r="G889" s="5">
        <f t="shared" si="27"/>
        <v>1.7858742133745054E-3</v>
      </c>
    </row>
    <row r="890" spans="1:7" x14ac:dyDescent="0.25">
      <c r="A890" s="12">
        <v>45778</v>
      </c>
      <c r="B890" s="13">
        <v>1111.97</v>
      </c>
      <c r="C890" s="13">
        <v>1120.5999999999999</v>
      </c>
      <c r="D890" s="5">
        <f t="shared" si="26"/>
        <v>7.0138884960293373</v>
      </c>
      <c r="E890" s="5">
        <f t="shared" si="26"/>
        <v>7.0216195351311841</v>
      </c>
      <c r="F890" s="5">
        <f t="shared" si="27"/>
        <v>-7.8208929692458184E-4</v>
      </c>
      <c r="G890" s="5">
        <f t="shared" si="27"/>
        <v>-2.6767789586568114E-4</v>
      </c>
    </row>
    <row r="891" spans="1:7" x14ac:dyDescent="0.25">
      <c r="A891" s="12">
        <v>45779</v>
      </c>
      <c r="B891" s="13">
        <v>1133.27</v>
      </c>
      <c r="C891" s="13">
        <v>1155.5</v>
      </c>
      <c r="D891" s="5">
        <f t="shared" si="26"/>
        <v>7.0328625380217247</v>
      </c>
      <c r="E891" s="5">
        <f t="shared" si="26"/>
        <v>7.0522884297144355</v>
      </c>
      <c r="F891" s="5">
        <f t="shared" si="27"/>
        <v>1.8974041992387392E-2</v>
      </c>
      <c r="G891" s="5">
        <f t="shared" si="27"/>
        <v>3.0668894583251394E-2</v>
      </c>
    </row>
    <row r="892" spans="1:7" x14ac:dyDescent="0.25">
      <c r="A892" s="12">
        <v>45782</v>
      </c>
      <c r="B892" s="13">
        <v>1139.5899999999999</v>
      </c>
      <c r="C892" s="13">
        <v>1164</v>
      </c>
      <c r="D892" s="5">
        <f t="shared" si="26"/>
        <v>7.0384238275764774</v>
      </c>
      <c r="E892" s="5">
        <f t="shared" si="26"/>
        <v>7.0596176282913827</v>
      </c>
      <c r="F892" s="5">
        <f t="shared" si="27"/>
        <v>5.5612895547527685E-3</v>
      </c>
      <c r="G892" s="5">
        <f t="shared" si="27"/>
        <v>7.329198576947249E-3</v>
      </c>
    </row>
    <row r="893" spans="1:7" x14ac:dyDescent="0.25">
      <c r="A893" s="12">
        <v>45783</v>
      </c>
      <c r="B893" s="13">
        <v>1137.42</v>
      </c>
      <c r="C893" s="13">
        <v>1158.5</v>
      </c>
      <c r="D893" s="5">
        <f t="shared" si="26"/>
        <v>7.0365178186815287</v>
      </c>
      <c r="E893" s="5">
        <f t="shared" si="26"/>
        <v>7.0548813438724309</v>
      </c>
      <c r="F893" s="5">
        <f t="shared" si="27"/>
        <v>-1.9060088949487408E-3</v>
      </c>
      <c r="G893" s="5">
        <f t="shared" si="27"/>
        <v>-4.7362844189517972E-3</v>
      </c>
    </row>
    <row r="894" spans="1:7" x14ac:dyDescent="0.25">
      <c r="A894" s="12">
        <v>45784</v>
      </c>
      <c r="B894" s="13">
        <v>1137.4100000000001</v>
      </c>
      <c r="C894" s="13">
        <v>1144.2</v>
      </c>
      <c r="D894" s="5">
        <f t="shared" si="26"/>
        <v>7.0365090268157626</v>
      </c>
      <c r="E894" s="5">
        <f t="shared" si="26"/>
        <v>7.0424609818344281</v>
      </c>
      <c r="F894" s="5">
        <f t="shared" si="27"/>
        <v>-8.7918657660779331E-6</v>
      </c>
      <c r="G894" s="5">
        <f t="shared" si="27"/>
        <v>-1.2420362038002786E-2</v>
      </c>
    </row>
    <row r="895" spans="1:7" x14ac:dyDescent="0.25">
      <c r="A895" s="12">
        <v>45785</v>
      </c>
      <c r="B895" s="13">
        <v>1133.58</v>
      </c>
      <c r="C895" s="13">
        <v>1142.9000000000001</v>
      </c>
      <c r="D895" s="5">
        <f t="shared" si="26"/>
        <v>7.0331360453132818</v>
      </c>
      <c r="E895" s="5">
        <f t="shared" si="26"/>
        <v>7.0413241709035521</v>
      </c>
      <c r="F895" s="5">
        <f t="shared" si="27"/>
        <v>-3.3729815024807763E-3</v>
      </c>
      <c r="G895" s="5">
        <f t="shared" si="27"/>
        <v>-1.136810930876031E-3</v>
      </c>
    </row>
    <row r="896" spans="1:7" x14ac:dyDescent="0.25">
      <c r="A896" s="12">
        <v>45786</v>
      </c>
      <c r="B896" s="13">
        <v>1138.4000000000001</v>
      </c>
      <c r="C896" s="13">
        <v>1151.4000000000001</v>
      </c>
      <c r="D896" s="5">
        <f t="shared" si="26"/>
        <v>7.0373790467756425</v>
      </c>
      <c r="E896" s="5">
        <f t="shared" si="26"/>
        <v>7.0487338722417094</v>
      </c>
      <c r="F896" s="5">
        <f t="shared" si="27"/>
        <v>4.2430014623606738E-3</v>
      </c>
      <c r="G896" s="5">
        <f t="shared" si="27"/>
        <v>7.4097013381573262E-3</v>
      </c>
    </row>
    <row r="897" spans="1:7" x14ac:dyDescent="0.25">
      <c r="A897" s="12">
        <v>45789</v>
      </c>
      <c r="B897" s="13">
        <v>1161.8499999999999</v>
      </c>
      <c r="C897" s="13">
        <v>1178.8</v>
      </c>
      <c r="D897" s="5">
        <f t="shared" si="26"/>
        <v>7.0577688412996213</v>
      </c>
      <c r="E897" s="5">
        <f t="shared" si="26"/>
        <v>7.0722522508635395</v>
      </c>
      <c r="F897" s="5">
        <f t="shared" si="27"/>
        <v>2.0389794523978821E-2</v>
      </c>
      <c r="G897" s="5">
        <f t="shared" si="27"/>
        <v>2.3518378621830038E-2</v>
      </c>
    </row>
    <row r="898" spans="1:7" x14ac:dyDescent="0.25">
      <c r="A898" s="12">
        <v>45790</v>
      </c>
      <c r="B898" s="13">
        <v>1156.82</v>
      </c>
      <c r="C898" s="13">
        <v>1180.2</v>
      </c>
      <c r="D898" s="5">
        <f t="shared" si="26"/>
        <v>7.0534301403283512</v>
      </c>
      <c r="E898" s="5">
        <f t="shared" si="26"/>
        <v>7.0734391946230684</v>
      </c>
      <c r="F898" s="5">
        <f t="shared" si="27"/>
        <v>-4.338700971270093E-3</v>
      </c>
      <c r="G898" s="5">
        <f t="shared" si="27"/>
        <v>1.1869437595288801E-3</v>
      </c>
    </row>
    <row r="899" spans="1:7" x14ac:dyDescent="0.25">
      <c r="A899" s="12">
        <v>45791</v>
      </c>
      <c r="B899" s="13">
        <v>1173.6500000000001</v>
      </c>
      <c r="C899" s="13">
        <v>1189.9000000000001</v>
      </c>
      <c r="D899" s="5">
        <f t="shared" si="26"/>
        <v>7.0678738298748964</v>
      </c>
      <c r="E899" s="5">
        <f t="shared" si="26"/>
        <v>7.0816245489611083</v>
      </c>
      <c r="F899" s="5">
        <f t="shared" si="27"/>
        <v>1.444368954654518E-2</v>
      </c>
      <c r="G899" s="5">
        <f t="shared" si="27"/>
        <v>8.1853543380399074E-3</v>
      </c>
    </row>
    <row r="900" spans="1:7" x14ac:dyDescent="0.25">
      <c r="A900" s="12">
        <v>45792</v>
      </c>
      <c r="B900" s="13">
        <v>1173.53</v>
      </c>
      <c r="C900" s="13">
        <v>1188.0999999999999</v>
      </c>
      <c r="D900" s="5">
        <f t="shared" ref="D900:E963" si="28">LN(B900)</f>
        <v>7.0677715795148002</v>
      </c>
      <c r="E900" s="5">
        <f t="shared" si="28"/>
        <v>7.0801106714642419</v>
      </c>
      <c r="F900" s="5">
        <f t="shared" ref="F900:G963" si="29">D900-D899</f>
        <v>-1.0225036009625654E-4</v>
      </c>
      <c r="G900" s="5">
        <f t="shared" si="29"/>
        <v>-1.5138774968663782E-3</v>
      </c>
    </row>
    <row r="901" spans="1:7" x14ac:dyDescent="0.25">
      <c r="A901" s="12">
        <v>45793</v>
      </c>
      <c r="B901" s="13">
        <v>1172.3800000000001</v>
      </c>
      <c r="C901" s="13">
        <v>1187.3</v>
      </c>
      <c r="D901" s="5">
        <f t="shared" si="28"/>
        <v>7.0667911496670071</v>
      </c>
      <c r="E901" s="5">
        <f t="shared" si="28"/>
        <v>7.0794371006717469</v>
      </c>
      <c r="F901" s="5">
        <f t="shared" si="29"/>
        <v>-9.8042984779311837E-4</v>
      </c>
      <c r="G901" s="5">
        <f t="shared" si="29"/>
        <v>-6.7357079249497076E-4</v>
      </c>
    </row>
    <row r="902" spans="1:7" x14ac:dyDescent="0.25">
      <c r="A902" s="12">
        <v>45796</v>
      </c>
      <c r="B902" s="13">
        <v>1166.6400000000001</v>
      </c>
      <c r="C902" s="13">
        <v>1189.9000000000001</v>
      </c>
      <c r="D902" s="5">
        <f t="shared" si="28"/>
        <v>7.0618831014053098</v>
      </c>
      <c r="E902" s="5">
        <f t="shared" si="28"/>
        <v>7.0816245489611083</v>
      </c>
      <c r="F902" s="5">
        <f t="shared" si="29"/>
        <v>-4.9080482616972176E-3</v>
      </c>
      <c r="G902" s="5">
        <f t="shared" si="29"/>
        <v>2.1874482893613489E-3</v>
      </c>
    </row>
    <row r="903" spans="1:7" x14ac:dyDescent="0.25">
      <c r="A903" s="12">
        <v>45797</v>
      </c>
      <c r="B903" s="13">
        <v>1167.46</v>
      </c>
      <c r="C903" s="13">
        <v>1187.0999999999999</v>
      </c>
      <c r="D903" s="5">
        <f t="shared" si="28"/>
        <v>7.0625857277141524</v>
      </c>
      <c r="E903" s="5">
        <f t="shared" si="28"/>
        <v>7.0792686370594886</v>
      </c>
      <c r="F903" s="5">
        <f t="shared" si="29"/>
        <v>7.0262630884254662E-4</v>
      </c>
      <c r="G903" s="5">
        <f t="shared" si="29"/>
        <v>-2.3559119016196561E-3</v>
      </c>
    </row>
    <row r="904" spans="1:7" x14ac:dyDescent="0.25">
      <c r="A904" s="12">
        <v>45798</v>
      </c>
      <c r="B904" s="13">
        <v>1174.56</v>
      </c>
      <c r="C904" s="13">
        <v>1185.0999999999999</v>
      </c>
      <c r="D904" s="5">
        <f t="shared" si="28"/>
        <v>7.0686488883624712</v>
      </c>
      <c r="E904" s="5">
        <f t="shared" si="28"/>
        <v>7.077582438194403</v>
      </c>
      <c r="F904" s="5">
        <f t="shared" si="29"/>
        <v>6.0631606483187994E-3</v>
      </c>
      <c r="G904" s="5">
        <f t="shared" si="29"/>
        <v>-1.6861988650855864E-3</v>
      </c>
    </row>
    <row r="905" spans="1:7" x14ac:dyDescent="0.25">
      <c r="A905" s="12">
        <v>45799</v>
      </c>
      <c r="B905" s="13">
        <v>1165.3800000000001</v>
      </c>
      <c r="C905" s="13">
        <v>1180.0999999999999</v>
      </c>
      <c r="D905" s="5">
        <f t="shared" si="28"/>
        <v>7.0608024930720967</v>
      </c>
      <c r="E905" s="5">
        <f t="shared" si="28"/>
        <v>7.0733544596317026</v>
      </c>
      <c r="F905" s="5">
        <f t="shared" si="29"/>
        <v>-7.8463952903744527E-3</v>
      </c>
      <c r="G905" s="5">
        <f t="shared" si="29"/>
        <v>-4.2279785627004074E-3</v>
      </c>
    </row>
    <row r="906" spans="1:7" x14ac:dyDescent="0.25">
      <c r="A906" s="12">
        <v>45800</v>
      </c>
      <c r="B906" s="13">
        <v>1170.98</v>
      </c>
      <c r="C906" s="13">
        <v>1185.2</v>
      </c>
      <c r="D906" s="5">
        <f t="shared" si="28"/>
        <v>7.065596284032563</v>
      </c>
      <c r="E906" s="5">
        <f t="shared" si="28"/>
        <v>7.07766681569941</v>
      </c>
      <c r="F906" s="5">
        <f t="shared" si="29"/>
        <v>4.7937909604662821E-3</v>
      </c>
      <c r="G906" s="5">
        <f t="shared" si="29"/>
        <v>4.3123560677074124E-3</v>
      </c>
    </row>
    <row r="907" spans="1:7" x14ac:dyDescent="0.25">
      <c r="A907" s="12">
        <v>45803</v>
      </c>
      <c r="B907" s="13">
        <v>1170.1300000000001</v>
      </c>
      <c r="C907" s="13">
        <v>1188</v>
      </c>
      <c r="D907" s="5">
        <f t="shared" si="28"/>
        <v>7.0648701327305305</v>
      </c>
      <c r="E907" s="5">
        <f t="shared" si="28"/>
        <v>7.0800264999225906</v>
      </c>
      <c r="F907" s="5">
        <f t="shared" si="29"/>
        <v>-7.2615130203246281E-4</v>
      </c>
      <c r="G907" s="5">
        <f t="shared" si="29"/>
        <v>2.3596842231805581E-3</v>
      </c>
    </row>
    <row r="908" spans="1:7" x14ac:dyDescent="0.25">
      <c r="A908" s="12">
        <v>45804</v>
      </c>
      <c r="B908" s="13">
        <v>1164.0999999999999</v>
      </c>
      <c r="C908" s="13">
        <v>1181.8</v>
      </c>
      <c r="D908" s="5">
        <f t="shared" si="28"/>
        <v>7.0597035352541955</v>
      </c>
      <c r="E908" s="5">
        <f t="shared" si="28"/>
        <v>7.0747939789115746</v>
      </c>
      <c r="F908" s="5">
        <f t="shared" si="29"/>
        <v>-5.1665974763350775E-3</v>
      </c>
      <c r="G908" s="5">
        <f t="shared" si="29"/>
        <v>-5.2325210110160114E-3</v>
      </c>
    </row>
    <row r="909" spans="1:7" x14ac:dyDescent="0.25">
      <c r="A909" s="12">
        <v>45805</v>
      </c>
      <c r="B909" s="13">
        <v>1163.8399999999999</v>
      </c>
      <c r="C909" s="13">
        <v>1176.2</v>
      </c>
      <c r="D909" s="5">
        <f t="shared" si="28"/>
        <v>7.059480161798624</v>
      </c>
      <c r="E909" s="5">
        <f t="shared" si="28"/>
        <v>7.0700441820258559</v>
      </c>
      <c r="F909" s="5">
        <f t="shared" si="29"/>
        <v>-2.2337345557144062E-4</v>
      </c>
      <c r="G909" s="5">
        <f t="shared" si="29"/>
        <v>-4.7497968857186379E-3</v>
      </c>
    </row>
    <row r="910" spans="1:7" x14ac:dyDescent="0.25">
      <c r="A910" s="12">
        <v>45806</v>
      </c>
      <c r="B910" s="13">
        <v>1170.1600000000001</v>
      </c>
      <c r="C910" s="13">
        <v>1180.5999999999999</v>
      </c>
      <c r="D910" s="5">
        <f t="shared" si="28"/>
        <v>7.0648957705788327</v>
      </c>
      <c r="E910" s="5">
        <f t="shared" si="28"/>
        <v>7.0737780628065892</v>
      </c>
      <c r="F910" s="5">
        <f t="shared" si="29"/>
        <v>5.4156087802086361E-3</v>
      </c>
      <c r="G910" s="5">
        <f t="shared" si="29"/>
        <v>3.733880780733223E-3</v>
      </c>
    </row>
    <row r="911" spans="1:7" x14ac:dyDescent="0.25">
      <c r="A911" s="12">
        <v>45807</v>
      </c>
      <c r="B911" s="13">
        <v>1157.3399999999999</v>
      </c>
      <c r="C911" s="13">
        <v>1166.7</v>
      </c>
      <c r="D911" s="5">
        <f t="shared" si="28"/>
        <v>7.053879547464204</v>
      </c>
      <c r="E911" s="5">
        <f t="shared" si="28"/>
        <v>7.0619345298298111</v>
      </c>
      <c r="F911" s="5">
        <f t="shared" si="29"/>
        <v>-1.1016223114628687E-2</v>
      </c>
      <c r="G911" s="5">
        <f t="shared" si="29"/>
        <v>-1.1843532976778093E-2</v>
      </c>
    </row>
    <row r="912" spans="1:7" x14ac:dyDescent="0.25">
      <c r="A912" s="12">
        <v>45810</v>
      </c>
      <c r="B912" s="13">
        <v>1153.77</v>
      </c>
      <c r="C912" s="13">
        <v>1176.9000000000001</v>
      </c>
      <c r="D912" s="5">
        <f t="shared" si="28"/>
        <v>7.0507901204447148</v>
      </c>
      <c r="E912" s="5">
        <f t="shared" si="28"/>
        <v>7.0706391418836168</v>
      </c>
      <c r="F912" s="5">
        <f t="shared" si="29"/>
        <v>-3.0894270194892215E-3</v>
      </c>
      <c r="G912" s="5">
        <f t="shared" si="29"/>
        <v>8.7046120538056826E-3</v>
      </c>
    </row>
    <row r="913" spans="1:7" x14ac:dyDescent="0.25">
      <c r="A913" s="12">
        <v>45811</v>
      </c>
      <c r="B913" s="13">
        <v>1158.1300000000001</v>
      </c>
      <c r="C913" s="13">
        <v>1179.3</v>
      </c>
      <c r="D913" s="5">
        <f t="shared" si="28"/>
        <v>7.0545619143535641</v>
      </c>
      <c r="E913" s="5">
        <f t="shared" si="28"/>
        <v>7.0726763210959245</v>
      </c>
      <c r="F913" s="5">
        <f t="shared" si="29"/>
        <v>3.7717939088492969E-3</v>
      </c>
      <c r="G913" s="5">
        <f t="shared" si="29"/>
        <v>2.037179212307727E-3</v>
      </c>
    </row>
    <row r="914" spans="1:7" x14ac:dyDescent="0.25">
      <c r="A914" s="12">
        <v>45812</v>
      </c>
      <c r="B914" s="13">
        <v>1172.45</v>
      </c>
      <c r="C914" s="13">
        <v>1193.2</v>
      </c>
      <c r="D914" s="5">
        <f t="shared" si="28"/>
        <v>7.0668508554879157</v>
      </c>
      <c r="E914" s="5">
        <f t="shared" si="28"/>
        <v>7.0843940526405937</v>
      </c>
      <c r="F914" s="5">
        <f t="shared" si="29"/>
        <v>1.2288941134351639E-2</v>
      </c>
      <c r="G914" s="5">
        <f t="shared" si="29"/>
        <v>1.1717731544669263E-2</v>
      </c>
    </row>
    <row r="915" spans="1:7" x14ac:dyDescent="0.25">
      <c r="A915" s="12">
        <v>45813</v>
      </c>
      <c r="B915" s="13">
        <v>1182.68</v>
      </c>
      <c r="C915" s="13">
        <v>1199</v>
      </c>
      <c r="D915" s="5">
        <f t="shared" si="28"/>
        <v>7.0755383286549689</v>
      </c>
      <c r="E915" s="5">
        <f t="shared" si="28"/>
        <v>7.0892431550275141</v>
      </c>
      <c r="F915" s="5">
        <f t="shared" si="29"/>
        <v>8.6874731670532057E-3</v>
      </c>
      <c r="G915" s="5">
        <f t="shared" si="29"/>
        <v>4.8491023869203786E-3</v>
      </c>
    </row>
    <row r="916" spans="1:7" x14ac:dyDescent="0.25">
      <c r="A916" s="12">
        <v>45814</v>
      </c>
      <c r="B916" s="13">
        <v>1182.93</v>
      </c>
      <c r="C916" s="13">
        <v>1205</v>
      </c>
      <c r="D916" s="5">
        <f t="shared" si="28"/>
        <v>7.0757496906300457</v>
      </c>
      <c r="E916" s="5">
        <f t="shared" si="28"/>
        <v>7.0942348459247553</v>
      </c>
      <c r="F916" s="5">
        <f t="shared" si="29"/>
        <v>2.1136197507676258E-4</v>
      </c>
      <c r="G916" s="5">
        <f t="shared" si="29"/>
        <v>4.9916908972411633E-3</v>
      </c>
    </row>
    <row r="917" spans="1:7" x14ac:dyDescent="0.25">
      <c r="A917" s="12">
        <v>45817</v>
      </c>
      <c r="B917" s="13">
        <v>1193.78</v>
      </c>
      <c r="C917" s="13">
        <v>1214.7</v>
      </c>
      <c r="D917" s="5">
        <f t="shared" si="28"/>
        <v>7.0848800223692168</v>
      </c>
      <c r="E917" s="5">
        <f t="shared" si="28"/>
        <v>7.1022524117062256</v>
      </c>
      <c r="F917" s="5">
        <f t="shared" si="29"/>
        <v>9.1303317391711047E-3</v>
      </c>
      <c r="G917" s="5">
        <f t="shared" si="29"/>
        <v>8.0175657814702816E-3</v>
      </c>
    </row>
    <row r="918" spans="1:7" x14ac:dyDescent="0.25">
      <c r="A918" s="12">
        <v>45818</v>
      </c>
      <c r="B918" s="13">
        <v>1201.1300000000001</v>
      </c>
      <c r="C918" s="13">
        <v>1222.8</v>
      </c>
      <c r="D918" s="5">
        <f t="shared" si="28"/>
        <v>7.0910180593528427</v>
      </c>
      <c r="E918" s="5">
        <f t="shared" si="28"/>
        <v>7.108898590016679</v>
      </c>
      <c r="F918" s="5">
        <f t="shared" si="29"/>
        <v>6.1380369836259163E-3</v>
      </c>
      <c r="G918" s="5">
        <f t="shared" si="29"/>
        <v>6.6461783104534433E-3</v>
      </c>
    </row>
    <row r="919" spans="1:7" x14ac:dyDescent="0.25">
      <c r="A919" s="12">
        <v>45819</v>
      </c>
      <c r="B919" s="13">
        <v>1208.98</v>
      </c>
      <c r="C919" s="13">
        <v>1228.3</v>
      </c>
      <c r="D919" s="5">
        <f t="shared" si="28"/>
        <v>7.0975323078807744</v>
      </c>
      <c r="E919" s="5">
        <f t="shared" si="28"/>
        <v>7.1133863785450488</v>
      </c>
      <c r="F919" s="5">
        <f t="shared" si="29"/>
        <v>6.5142485279316986E-3</v>
      </c>
      <c r="G919" s="5">
        <f t="shared" si="29"/>
        <v>4.4877885283698404E-3</v>
      </c>
    </row>
    <row r="920" spans="1:7" x14ac:dyDescent="0.25">
      <c r="A920" s="12">
        <v>45820</v>
      </c>
      <c r="B920" s="13">
        <v>1202.74</v>
      </c>
      <c r="C920" s="13">
        <v>1229.0999999999999</v>
      </c>
      <c r="D920" s="5">
        <f t="shared" si="28"/>
        <v>7.0923575662652238</v>
      </c>
      <c r="E920" s="5">
        <f t="shared" si="28"/>
        <v>7.114037473220935</v>
      </c>
      <c r="F920" s="5">
        <f t="shared" si="29"/>
        <v>-5.1747416155505377E-3</v>
      </c>
      <c r="G920" s="5">
        <f t="shared" si="29"/>
        <v>6.5109467588619907E-4</v>
      </c>
    </row>
    <row r="921" spans="1:7" x14ac:dyDescent="0.25">
      <c r="A921" s="12">
        <v>45821</v>
      </c>
      <c r="B921" s="13">
        <v>1190.03</v>
      </c>
      <c r="C921" s="13">
        <v>1209.5</v>
      </c>
      <c r="D921" s="5">
        <f t="shared" si="28"/>
        <v>7.0817337958718403</v>
      </c>
      <c r="E921" s="5">
        <f t="shared" si="28"/>
        <v>7.0979623300500823</v>
      </c>
      <c r="F921" s="5">
        <f t="shared" si="29"/>
        <v>-1.062377039338358E-2</v>
      </c>
      <c r="G921" s="5">
        <f t="shared" si="29"/>
        <v>-1.607514317085279E-2</v>
      </c>
    </row>
    <row r="922" spans="1:7" x14ac:dyDescent="0.25">
      <c r="A922" s="12">
        <v>45824</v>
      </c>
      <c r="B922" s="13">
        <v>1198.18</v>
      </c>
      <c r="C922" s="13">
        <v>1224</v>
      </c>
      <c r="D922" s="5">
        <f t="shared" si="28"/>
        <v>7.0885590178062934</v>
      </c>
      <c r="E922" s="5">
        <f t="shared" si="28"/>
        <v>7.1098794630722715</v>
      </c>
      <c r="F922" s="5">
        <f t="shared" si="29"/>
        <v>6.8252219344531184E-3</v>
      </c>
      <c r="G922" s="5">
        <f t="shared" si="29"/>
        <v>1.1917133022189219E-2</v>
      </c>
    </row>
    <row r="923" spans="1:7" x14ac:dyDescent="0.25">
      <c r="A923" s="12">
        <v>45825</v>
      </c>
      <c r="B923" s="13">
        <v>1196.96</v>
      </c>
      <c r="C923" s="13">
        <v>1208.2</v>
      </c>
      <c r="D923" s="5">
        <f t="shared" si="28"/>
        <v>7.087540288124095</v>
      </c>
      <c r="E923" s="5">
        <f t="shared" si="28"/>
        <v>7.0968869277046407</v>
      </c>
      <c r="F923" s="5">
        <f t="shared" si="29"/>
        <v>-1.0187296821984049E-3</v>
      </c>
      <c r="G923" s="5">
        <f t="shared" si="29"/>
        <v>-1.2992535367630786E-2</v>
      </c>
    </row>
    <row r="924" spans="1:7" x14ac:dyDescent="0.25">
      <c r="A924" s="12">
        <v>45826</v>
      </c>
      <c r="B924" s="13">
        <v>1193.45</v>
      </c>
      <c r="C924" s="13">
        <v>1206.4000000000001</v>
      </c>
      <c r="D924" s="5">
        <f t="shared" si="28"/>
        <v>7.0846035513110435</v>
      </c>
      <c r="E924" s="5">
        <f t="shared" si="28"/>
        <v>7.095395997253692</v>
      </c>
      <c r="F924" s="5">
        <f t="shared" si="29"/>
        <v>-2.9367368130515104E-3</v>
      </c>
      <c r="G924" s="5">
        <f t="shared" si="29"/>
        <v>-1.4909304509487242E-3</v>
      </c>
    </row>
    <row r="925" spans="1:7" x14ac:dyDescent="0.25">
      <c r="A925" s="12">
        <v>45827</v>
      </c>
      <c r="B925" s="13">
        <v>1177.31</v>
      </c>
      <c r="C925" s="13">
        <v>1190.3</v>
      </c>
      <c r="D925" s="5">
        <f t="shared" si="28"/>
        <v>7.0709874540597992</v>
      </c>
      <c r="E925" s="5">
        <f t="shared" si="28"/>
        <v>7.0819606551738339</v>
      </c>
      <c r="F925" s="5">
        <f t="shared" si="29"/>
        <v>-1.3616097251244241E-2</v>
      </c>
      <c r="G925" s="5">
        <f t="shared" si="29"/>
        <v>-1.3435342079858081E-2</v>
      </c>
    </row>
    <row r="926" spans="1:7" x14ac:dyDescent="0.25">
      <c r="A926" s="12">
        <v>45828</v>
      </c>
      <c r="B926" s="13">
        <v>1189.8499999999999</v>
      </c>
      <c r="C926" s="13">
        <v>1199.7</v>
      </c>
      <c r="D926" s="5">
        <f t="shared" si="28"/>
        <v>7.0815825277403848</v>
      </c>
      <c r="E926" s="5">
        <f t="shared" si="28"/>
        <v>7.0898268045208823</v>
      </c>
      <c r="F926" s="5">
        <f t="shared" si="29"/>
        <v>1.0595073680585543E-2</v>
      </c>
      <c r="G926" s="5">
        <f t="shared" si="29"/>
        <v>7.8661493470484345E-3</v>
      </c>
    </row>
    <row r="927" spans="1:7" x14ac:dyDescent="0.25">
      <c r="A927" s="12">
        <v>45831</v>
      </c>
      <c r="B927" s="13">
        <v>1182.25</v>
      </c>
      <c r="C927" s="13">
        <v>1208.9000000000001</v>
      </c>
      <c r="D927" s="5">
        <f t="shared" si="28"/>
        <v>7.0751746815239853</v>
      </c>
      <c r="E927" s="5">
        <f t="shared" si="28"/>
        <v>7.0974661342079459</v>
      </c>
      <c r="F927" s="5">
        <f t="shared" si="29"/>
        <v>-6.4078462163994487E-3</v>
      </c>
      <c r="G927" s="5">
        <f t="shared" si="29"/>
        <v>7.6393296870636007E-3</v>
      </c>
    </row>
    <row r="928" spans="1:7" x14ac:dyDescent="0.25">
      <c r="A928" s="12">
        <v>45832</v>
      </c>
      <c r="B928" s="13">
        <v>1211.8399999999999</v>
      </c>
      <c r="C928" s="13">
        <v>1239.2</v>
      </c>
      <c r="D928" s="5">
        <f t="shared" si="28"/>
        <v>7.0998951447134298</v>
      </c>
      <c r="E928" s="5">
        <f t="shared" si="28"/>
        <v>7.1222212891026588</v>
      </c>
      <c r="F928" s="5">
        <f t="shared" si="29"/>
        <v>2.472046318944443E-2</v>
      </c>
      <c r="G928" s="5">
        <f t="shared" si="29"/>
        <v>2.4755154894712916E-2</v>
      </c>
    </row>
    <row r="929" spans="1:7" x14ac:dyDescent="0.25">
      <c r="A929" s="12">
        <v>45833</v>
      </c>
      <c r="B929" s="13">
        <v>1220.72</v>
      </c>
      <c r="C929" s="13">
        <v>1241.0999999999999</v>
      </c>
      <c r="D929" s="5">
        <f t="shared" si="28"/>
        <v>7.1071961275834798</v>
      </c>
      <c r="E929" s="5">
        <f t="shared" si="28"/>
        <v>7.1237533621354752</v>
      </c>
      <c r="F929" s="5">
        <f t="shared" si="29"/>
        <v>7.3009828700500989E-3</v>
      </c>
      <c r="G929" s="5">
        <f t="shared" si="29"/>
        <v>1.5320730328163279E-3</v>
      </c>
    </row>
    <row r="930" spans="1:7" x14ac:dyDescent="0.25">
      <c r="A930" s="12">
        <v>45834</v>
      </c>
      <c r="B930" s="13">
        <v>1226.95</v>
      </c>
      <c r="C930" s="13">
        <v>1249.0999999999999</v>
      </c>
      <c r="D930" s="5">
        <f t="shared" si="28"/>
        <v>7.1122866940843652</v>
      </c>
      <c r="E930" s="5">
        <f t="shared" si="28"/>
        <v>7.1301785709718635</v>
      </c>
      <c r="F930" s="5">
        <f t="shared" si="29"/>
        <v>5.0905665008853518E-3</v>
      </c>
      <c r="G930" s="5">
        <f t="shared" si="29"/>
        <v>6.4252088363883075E-3</v>
      </c>
    </row>
    <row r="931" spans="1:7" x14ac:dyDescent="0.25">
      <c r="A931" s="12">
        <v>45835</v>
      </c>
      <c r="B931" s="13">
        <v>1228.53</v>
      </c>
      <c r="C931" s="13">
        <v>1245.2</v>
      </c>
      <c r="D931" s="5">
        <f t="shared" si="28"/>
        <v>7.1135736116874897</v>
      </c>
      <c r="E931" s="5">
        <f t="shared" si="28"/>
        <v>7.1270514385674533</v>
      </c>
      <c r="F931" s="5">
        <f t="shared" si="29"/>
        <v>1.2869176031244933E-3</v>
      </c>
      <c r="G931" s="5">
        <f t="shared" si="29"/>
        <v>-3.1271324044102045E-3</v>
      </c>
    </row>
    <row r="932" spans="1:7" x14ac:dyDescent="0.25">
      <c r="A932" s="12">
        <v>45838</v>
      </c>
      <c r="B932" s="13">
        <v>1222.78</v>
      </c>
      <c r="C932" s="13">
        <v>1247.5</v>
      </c>
      <c r="D932" s="5">
        <f t="shared" si="28"/>
        <v>7.1088822339784388</v>
      </c>
      <c r="E932" s="5">
        <f t="shared" si="28"/>
        <v>7.1288968276256739</v>
      </c>
      <c r="F932" s="5">
        <f t="shared" si="29"/>
        <v>-4.6913777090509257E-3</v>
      </c>
      <c r="G932" s="5">
        <f t="shared" si="29"/>
        <v>1.8453890582206256E-3</v>
      </c>
    </row>
    <row r="933" spans="1:7" x14ac:dyDescent="0.25">
      <c r="A933" s="12">
        <v>45839</v>
      </c>
      <c r="B933" s="13">
        <v>1229.25</v>
      </c>
      <c r="C933" s="13">
        <v>1250.5</v>
      </c>
      <c r="D933" s="5">
        <f t="shared" si="28"/>
        <v>7.1141595062920491</v>
      </c>
      <c r="E933" s="5">
        <f t="shared" si="28"/>
        <v>7.1312987503176739</v>
      </c>
      <c r="F933" s="5">
        <f t="shared" si="29"/>
        <v>5.2772723136103039E-3</v>
      </c>
      <c r="G933" s="5">
        <f t="shared" si="29"/>
        <v>2.4019226920000136E-3</v>
      </c>
    </row>
    <row r="934" spans="1:7" x14ac:dyDescent="0.25">
      <c r="A934" s="12">
        <v>45840</v>
      </c>
      <c r="B934" s="13">
        <v>1230.24</v>
      </c>
      <c r="C934" s="13">
        <v>1255.3</v>
      </c>
      <c r="D934" s="5">
        <f t="shared" si="28"/>
        <v>7.1149645512838706</v>
      </c>
      <c r="E934" s="5">
        <f t="shared" si="28"/>
        <v>7.1351298668241627</v>
      </c>
      <c r="F934" s="5">
        <f t="shared" si="29"/>
        <v>8.0504499182154632E-4</v>
      </c>
      <c r="G934" s="5">
        <f t="shared" si="29"/>
        <v>3.8311165064888186E-3</v>
      </c>
    </row>
    <row r="935" spans="1:7" x14ac:dyDescent="0.25">
      <c r="A935" s="12">
        <v>45841</v>
      </c>
      <c r="B935" s="13">
        <v>1236.97</v>
      </c>
      <c r="C935" s="13">
        <v>1261.5999999999999</v>
      </c>
      <c r="D935" s="5">
        <f t="shared" si="28"/>
        <v>7.1204201198752779</v>
      </c>
      <c r="E935" s="5">
        <f t="shared" si="28"/>
        <v>7.1401360356488288</v>
      </c>
      <c r="F935" s="5">
        <f t="shared" si="29"/>
        <v>5.4555685914072782E-3</v>
      </c>
      <c r="G935" s="5">
        <f t="shared" si="29"/>
        <v>5.0061688246660907E-3</v>
      </c>
    </row>
    <row r="936" spans="1:7" x14ac:dyDescent="0.25">
      <c r="A936" s="12">
        <v>45842</v>
      </c>
      <c r="B936" s="13">
        <v>1231.6300000000001</v>
      </c>
      <c r="C936" s="13">
        <v>1249.5</v>
      </c>
      <c r="D936" s="5">
        <f t="shared" si="28"/>
        <v>7.1160937743116541</v>
      </c>
      <c r="E936" s="5">
        <f t="shared" si="28"/>
        <v>7.1304987502750068</v>
      </c>
      <c r="F936" s="5">
        <f t="shared" si="29"/>
        <v>-4.326345563623768E-3</v>
      </c>
      <c r="G936" s="5">
        <f t="shared" si="29"/>
        <v>-9.6372853738220243E-3</v>
      </c>
    </row>
    <row r="937" spans="1:7" x14ac:dyDescent="0.25">
      <c r="A937" s="12">
        <v>45845</v>
      </c>
      <c r="B937" s="13">
        <v>1226.19</v>
      </c>
      <c r="C937" s="13">
        <v>1243.7</v>
      </c>
      <c r="D937" s="5">
        <f t="shared" si="28"/>
        <v>7.1116670800188695</v>
      </c>
      <c r="E937" s="5">
        <f t="shared" si="28"/>
        <v>7.1258460866596955</v>
      </c>
      <c r="F937" s="5">
        <f t="shared" si="29"/>
        <v>-4.4266942927846387E-3</v>
      </c>
      <c r="G937" s="5">
        <f t="shared" si="29"/>
        <v>-4.6526636153112477E-3</v>
      </c>
    </row>
    <row r="938" spans="1:7" x14ac:dyDescent="0.25">
      <c r="A938" s="12">
        <v>45846</v>
      </c>
      <c r="B938" s="13">
        <v>1231.54</v>
      </c>
      <c r="C938" s="13">
        <v>1251.5</v>
      </c>
      <c r="D938" s="5">
        <f t="shared" si="28"/>
        <v>7.1160206977476816</v>
      </c>
      <c r="E938" s="5">
        <f t="shared" si="28"/>
        <v>7.1320981108718291</v>
      </c>
      <c r="F938" s="5">
        <f t="shared" si="29"/>
        <v>4.3536177288121536E-3</v>
      </c>
      <c r="G938" s="5">
        <f t="shared" si="29"/>
        <v>6.2520242121335556E-3</v>
      </c>
    </row>
    <row r="939" spans="1:7" x14ac:dyDescent="0.25">
      <c r="A939" s="12">
        <v>45847</v>
      </c>
      <c r="B939" s="13">
        <v>1227.8699999999999</v>
      </c>
      <c r="C939" s="13">
        <v>1248.4000000000001</v>
      </c>
      <c r="D939" s="5">
        <f t="shared" si="28"/>
        <v>7.1130362399110023</v>
      </c>
      <c r="E939" s="5">
        <f t="shared" si="28"/>
        <v>7.1296180103966247</v>
      </c>
      <c r="F939" s="5">
        <f t="shared" si="29"/>
        <v>-2.9844578366793328E-3</v>
      </c>
      <c r="G939" s="5">
        <f t="shared" si="29"/>
        <v>-2.4801004752044165E-3</v>
      </c>
    </row>
    <row r="940" spans="1:7" x14ac:dyDescent="0.25">
      <c r="A940" s="12">
        <v>45848</v>
      </c>
      <c r="B940" s="13">
        <v>1231.26</v>
      </c>
      <c r="C940" s="13">
        <v>1251.5</v>
      </c>
      <c r="D940" s="5">
        <f t="shared" si="28"/>
        <v>7.1157933142807277</v>
      </c>
      <c r="E940" s="5">
        <f t="shared" si="28"/>
        <v>7.1320981108718291</v>
      </c>
      <c r="F940" s="5">
        <f t="shared" si="29"/>
        <v>2.7570743697253874E-3</v>
      </c>
      <c r="G940" s="5">
        <f t="shared" si="29"/>
        <v>2.4801004752044165E-3</v>
      </c>
    </row>
    <row r="941" spans="1:7" x14ac:dyDescent="0.25">
      <c r="A941" s="12">
        <v>45849</v>
      </c>
      <c r="B941" s="13">
        <v>1229.1300000000001</v>
      </c>
      <c r="C941" s="13">
        <v>1247.0999999999999</v>
      </c>
      <c r="D941" s="5">
        <f t="shared" si="28"/>
        <v>7.1140618810265526</v>
      </c>
      <c r="E941" s="5">
        <f t="shared" si="28"/>
        <v>7.1285761349267016</v>
      </c>
      <c r="F941" s="5">
        <f t="shared" si="29"/>
        <v>-1.7314332541751298E-3</v>
      </c>
      <c r="G941" s="5">
        <f t="shared" si="29"/>
        <v>-3.5219759451274868E-3</v>
      </c>
    </row>
    <row r="942" spans="1:7" x14ac:dyDescent="0.25">
      <c r="A942" s="12">
        <v>45852</v>
      </c>
      <c r="B942" s="13">
        <v>1228.5899999999999</v>
      </c>
      <c r="C942" s="13">
        <v>1250</v>
      </c>
      <c r="D942" s="5">
        <f t="shared" si="28"/>
        <v>7.113622449351106</v>
      </c>
      <c r="E942" s="5">
        <f t="shared" si="28"/>
        <v>7.1308988302963465</v>
      </c>
      <c r="F942" s="5">
        <f t="shared" si="29"/>
        <v>-4.3943167544657769E-4</v>
      </c>
      <c r="G942" s="5">
        <f t="shared" si="29"/>
        <v>2.3226953696449115E-3</v>
      </c>
    </row>
    <row r="943" spans="1:7" x14ac:dyDescent="0.25">
      <c r="A943" s="12">
        <v>45853</v>
      </c>
      <c r="B943" s="13">
        <v>1240.45</v>
      </c>
      <c r="C943" s="13">
        <v>1258.5999999999999</v>
      </c>
      <c r="D943" s="5">
        <f t="shared" si="28"/>
        <v>7.1232294959914402</v>
      </c>
      <c r="E943" s="5">
        <f t="shared" si="28"/>
        <v>7.1377552710928329</v>
      </c>
      <c r="F943" s="5">
        <f t="shared" si="29"/>
        <v>9.6070466403341825E-3</v>
      </c>
      <c r="G943" s="5">
        <f t="shared" si="29"/>
        <v>6.856440796486396E-3</v>
      </c>
    </row>
    <row r="944" spans="1:7" x14ac:dyDescent="0.25">
      <c r="A944" s="12">
        <v>45854</v>
      </c>
      <c r="B944" s="13">
        <v>1239.53</v>
      </c>
      <c r="C944" s="13">
        <v>1264.4000000000001</v>
      </c>
      <c r="D944" s="5">
        <f t="shared" si="28"/>
        <v>7.1224875544901352</v>
      </c>
      <c r="E944" s="5">
        <f t="shared" si="28"/>
        <v>7.1423529803414629</v>
      </c>
      <c r="F944" s="5">
        <f t="shared" si="29"/>
        <v>-7.4194150130502123E-4</v>
      </c>
      <c r="G944" s="5">
        <f t="shared" si="29"/>
        <v>4.5977092486300108E-3</v>
      </c>
    </row>
    <row r="945" spans="1:7" x14ac:dyDescent="0.25">
      <c r="A945" s="12">
        <v>45855</v>
      </c>
      <c r="B945" s="13">
        <v>1241.25</v>
      </c>
      <c r="C945" s="13">
        <v>1271.7</v>
      </c>
      <c r="D945" s="5">
        <f t="shared" si="28"/>
        <v>7.1238742153593826</v>
      </c>
      <c r="E945" s="5">
        <f t="shared" si="28"/>
        <v>7.1481098670267009</v>
      </c>
      <c r="F945" s="5">
        <f t="shared" si="29"/>
        <v>1.3866608692474358E-3</v>
      </c>
      <c r="G945" s="5">
        <f t="shared" si="29"/>
        <v>5.7568866852379941E-3</v>
      </c>
    </row>
    <row r="946" spans="1:7" x14ac:dyDescent="0.25">
      <c r="A946" s="12">
        <v>45856</v>
      </c>
      <c r="B946" s="13">
        <v>1249.3800000000001</v>
      </c>
      <c r="C946" s="13">
        <v>1268.5</v>
      </c>
      <c r="D946" s="5">
        <f t="shared" si="28"/>
        <v>7.130402707247657</v>
      </c>
      <c r="E946" s="5">
        <f t="shared" si="28"/>
        <v>7.1455903790393362</v>
      </c>
      <c r="F946" s="5">
        <f t="shared" si="29"/>
        <v>6.5284918882744236E-3</v>
      </c>
      <c r="G946" s="5">
        <f t="shared" si="29"/>
        <v>-2.5194879873646769E-3</v>
      </c>
    </row>
    <row r="947" spans="1:7" x14ac:dyDescent="0.25">
      <c r="A947" s="12">
        <v>45859</v>
      </c>
      <c r="B947" s="13">
        <v>1253.46</v>
      </c>
      <c r="C947" s="13">
        <v>1277.0999999999999</v>
      </c>
      <c r="D947" s="5">
        <f t="shared" si="28"/>
        <v>7.1336630064390132</v>
      </c>
      <c r="E947" s="5">
        <f t="shared" si="28"/>
        <v>7.1523471615022167</v>
      </c>
      <c r="F947" s="5">
        <f t="shared" si="29"/>
        <v>3.2602991913561752E-3</v>
      </c>
      <c r="G947" s="5">
        <f t="shared" si="29"/>
        <v>6.7567824628804729E-3</v>
      </c>
    </row>
    <row r="948" spans="1:7" x14ac:dyDescent="0.25">
      <c r="A948" s="12">
        <v>45860</v>
      </c>
      <c r="B948" s="13">
        <v>1248.05</v>
      </c>
      <c r="C948" s="13">
        <v>1276.5</v>
      </c>
      <c r="D948" s="5">
        <f t="shared" si="28"/>
        <v>7.1293376122293921</v>
      </c>
      <c r="E948" s="5">
        <f t="shared" si="28"/>
        <v>7.1518772366815382</v>
      </c>
      <c r="F948" s="5">
        <f t="shared" si="29"/>
        <v>-4.3253942096210807E-3</v>
      </c>
      <c r="G948" s="5">
        <f t="shared" si="29"/>
        <v>-4.6992482067853558E-4</v>
      </c>
    </row>
    <row r="949" spans="1:7" x14ac:dyDescent="0.25">
      <c r="A949" s="12">
        <v>45861</v>
      </c>
      <c r="B949" s="13">
        <v>1265.1600000000001</v>
      </c>
      <c r="C949" s="13">
        <v>1290.5999999999999</v>
      </c>
      <c r="D949" s="5">
        <f t="shared" si="28"/>
        <v>7.1429538753768584</v>
      </c>
      <c r="E949" s="5">
        <f t="shared" si="28"/>
        <v>7.1628625055017396</v>
      </c>
      <c r="F949" s="5">
        <f t="shared" si="29"/>
        <v>1.3616263147466334E-2</v>
      </c>
      <c r="G949" s="5">
        <f t="shared" si="29"/>
        <v>1.0985268820201455E-2</v>
      </c>
    </row>
    <row r="950" spans="1:7" x14ac:dyDescent="0.25">
      <c r="A950" s="12">
        <v>45862</v>
      </c>
      <c r="B950" s="13">
        <v>1267.29</v>
      </c>
      <c r="C950" s="13">
        <v>1282.5</v>
      </c>
      <c r="D950" s="5">
        <f t="shared" si="28"/>
        <v>7.1446360412654393</v>
      </c>
      <c r="E950" s="5">
        <f t="shared" si="28"/>
        <v>7.1565665770449245</v>
      </c>
      <c r="F950" s="5">
        <f t="shared" si="29"/>
        <v>1.6821658885808333E-3</v>
      </c>
      <c r="G950" s="5">
        <f t="shared" si="29"/>
        <v>-6.2959284568151475E-3</v>
      </c>
    </row>
    <row r="951" spans="1:7" x14ac:dyDescent="0.25">
      <c r="A951" s="12">
        <v>45863</v>
      </c>
      <c r="B951" s="13">
        <v>1257.78</v>
      </c>
      <c r="C951" s="13">
        <v>1278.8</v>
      </c>
      <c r="D951" s="5">
        <f t="shared" si="28"/>
        <v>7.1371035412038459</v>
      </c>
      <c r="E951" s="5">
        <f t="shared" si="28"/>
        <v>7.1536774171856861</v>
      </c>
      <c r="F951" s="5">
        <f t="shared" si="29"/>
        <v>-7.5325000615933391E-3</v>
      </c>
      <c r="G951" s="5">
        <f t="shared" si="29"/>
        <v>-2.8891598592384327E-3</v>
      </c>
    </row>
    <row r="952" spans="1:7" x14ac:dyDescent="0.25">
      <c r="A952" s="12">
        <v>45866</v>
      </c>
      <c r="B952" s="13">
        <v>1255.44</v>
      </c>
      <c r="C952" s="13">
        <v>1269.9000000000001</v>
      </c>
      <c r="D952" s="5">
        <f t="shared" si="28"/>
        <v>7.1352413877304652</v>
      </c>
      <c r="E952" s="5">
        <f t="shared" si="28"/>
        <v>7.1466934361949876</v>
      </c>
      <c r="F952" s="5">
        <f t="shared" si="29"/>
        <v>-1.862153473380701E-3</v>
      </c>
      <c r="G952" s="5">
        <f t="shared" si="29"/>
        <v>-6.9839809906984129E-3</v>
      </c>
    </row>
    <row r="953" spans="1:7" x14ac:dyDescent="0.25">
      <c r="A953" s="12">
        <v>45867</v>
      </c>
      <c r="B953" s="13">
        <v>1252.31</v>
      </c>
      <c r="C953" s="13">
        <v>1269.8</v>
      </c>
      <c r="D953" s="5">
        <f t="shared" si="28"/>
        <v>7.1327451248451395</v>
      </c>
      <c r="E953" s="5">
        <f t="shared" si="28"/>
        <v>7.1466146867363491</v>
      </c>
      <c r="F953" s="5">
        <f t="shared" si="29"/>
        <v>-2.496262885325784E-3</v>
      </c>
      <c r="G953" s="5">
        <f t="shared" si="29"/>
        <v>-7.8749458638505132E-5</v>
      </c>
    </row>
    <row r="954" spans="1:7" x14ac:dyDescent="0.25">
      <c r="A954" s="12">
        <v>45868</v>
      </c>
      <c r="B954" s="13">
        <v>1252.47</v>
      </c>
      <c r="C954" s="13">
        <v>1261.3</v>
      </c>
      <c r="D954" s="5">
        <f t="shared" si="28"/>
        <v>7.1328728805763557</v>
      </c>
      <c r="E954" s="5">
        <f t="shared" si="28"/>
        <v>7.1398982140931473</v>
      </c>
      <c r="F954" s="5">
        <f t="shared" si="29"/>
        <v>1.2775573121626138E-4</v>
      </c>
      <c r="G954" s="5">
        <f t="shared" si="29"/>
        <v>-6.716472643201854E-3</v>
      </c>
    </row>
    <row r="955" spans="1:7" x14ac:dyDescent="0.25">
      <c r="A955" s="12">
        <v>45869</v>
      </c>
      <c r="B955" s="13">
        <v>1243.23</v>
      </c>
      <c r="C955" s="13">
        <v>1254.2</v>
      </c>
      <c r="D955" s="5">
        <f t="shared" si="28"/>
        <v>7.1254681105963602</v>
      </c>
      <c r="E955" s="5">
        <f t="shared" si="28"/>
        <v>7.1342531981089206</v>
      </c>
      <c r="F955" s="5">
        <f t="shared" si="29"/>
        <v>-7.4047699799955069E-3</v>
      </c>
      <c r="G955" s="5">
        <f t="shared" si="29"/>
        <v>-5.6450159842267311E-3</v>
      </c>
    </row>
    <row r="956" spans="1:7" x14ac:dyDescent="0.25">
      <c r="A956" s="12">
        <v>45870</v>
      </c>
      <c r="B956" s="13">
        <v>1226.18</v>
      </c>
      <c r="C956" s="13">
        <v>1242.7</v>
      </c>
      <c r="D956" s="5">
        <f t="shared" si="28"/>
        <v>7.1116589246426409</v>
      </c>
      <c r="E956" s="5">
        <f t="shared" si="28"/>
        <v>7.1250417108119493</v>
      </c>
      <c r="F956" s="5">
        <f t="shared" si="29"/>
        <v>-1.3809185953719272E-2</v>
      </c>
      <c r="G956" s="5">
        <f t="shared" si="29"/>
        <v>-9.2114872969712991E-3</v>
      </c>
    </row>
    <row r="957" spans="1:7" x14ac:dyDescent="0.25">
      <c r="A957" s="12">
        <v>45873</v>
      </c>
      <c r="B957" s="13">
        <v>1237.05</v>
      </c>
      <c r="C957" s="13">
        <v>1255.5</v>
      </c>
      <c r="D957" s="5">
        <f t="shared" si="28"/>
        <v>7.1204847919474741</v>
      </c>
      <c r="E957" s="5">
        <f t="shared" si="28"/>
        <v>7.13528917859764</v>
      </c>
      <c r="F957" s="5">
        <f t="shared" si="29"/>
        <v>8.825867304833146E-3</v>
      </c>
      <c r="G957" s="5">
        <f t="shared" si="29"/>
        <v>1.0247467785690745E-2</v>
      </c>
    </row>
    <row r="958" spans="1:7" x14ac:dyDescent="0.25">
      <c r="A958" s="12">
        <v>45874</v>
      </c>
      <c r="B958" s="13">
        <v>1246.0999999999999</v>
      </c>
      <c r="C958" s="13">
        <v>1259.3</v>
      </c>
      <c r="D958" s="5">
        <f t="shared" si="28"/>
        <v>7.1277739529488215</v>
      </c>
      <c r="E958" s="5">
        <f t="shared" si="28"/>
        <v>7.1383112900118011</v>
      </c>
      <c r="F958" s="5">
        <f t="shared" si="29"/>
        <v>7.2891610013474661E-3</v>
      </c>
      <c r="G958" s="5">
        <f t="shared" si="29"/>
        <v>3.0221114141610883E-3</v>
      </c>
    </row>
    <row r="959" spans="1:7" x14ac:dyDescent="0.25">
      <c r="A959" s="12">
        <v>45875</v>
      </c>
      <c r="B959" s="13">
        <v>1244.43</v>
      </c>
      <c r="C959" s="13">
        <v>1264.2</v>
      </c>
      <c r="D959" s="5">
        <f t="shared" si="28"/>
        <v>7.1264328727367463</v>
      </c>
      <c r="E959" s="5">
        <f t="shared" si="28"/>
        <v>7.1421947900381983</v>
      </c>
      <c r="F959" s="5">
        <f t="shared" si="29"/>
        <v>-1.3410802120752408E-3</v>
      </c>
      <c r="G959" s="5">
        <f t="shared" si="29"/>
        <v>3.8835000263972574E-3</v>
      </c>
    </row>
    <row r="960" spans="1:7" x14ac:dyDescent="0.25">
      <c r="A960" s="12">
        <v>45876</v>
      </c>
      <c r="B960" s="13">
        <v>1260.46</v>
      </c>
      <c r="C960" s="13">
        <v>1275</v>
      </c>
      <c r="D960" s="5">
        <f t="shared" si="28"/>
        <v>7.1392320126853468</v>
      </c>
      <c r="E960" s="5">
        <f t="shared" si="28"/>
        <v>7.1507014575925263</v>
      </c>
      <c r="F960" s="5">
        <f t="shared" si="29"/>
        <v>1.2799139948600491E-2</v>
      </c>
      <c r="G960" s="5">
        <f t="shared" si="29"/>
        <v>8.5066675543279402E-3</v>
      </c>
    </row>
    <row r="961" spans="1:7" x14ac:dyDescent="0.25">
      <c r="A961" s="12">
        <v>45877</v>
      </c>
      <c r="B961" s="13">
        <v>1253.79</v>
      </c>
      <c r="C961" s="13">
        <v>1273.2</v>
      </c>
      <c r="D961" s="5">
        <f t="shared" si="28"/>
        <v>7.1339262430543533</v>
      </c>
      <c r="E961" s="5">
        <f t="shared" si="28"/>
        <v>7.1492886954079378</v>
      </c>
      <c r="F961" s="5">
        <f t="shared" si="29"/>
        <v>-5.3057696309934954E-3</v>
      </c>
      <c r="G961" s="5">
        <f t="shared" si="29"/>
        <v>-1.412762184588523E-3</v>
      </c>
    </row>
    <row r="962" spans="1:7" x14ac:dyDescent="0.25">
      <c r="A962" s="12">
        <v>45880</v>
      </c>
      <c r="B962" s="13">
        <v>1255.6500000000001</v>
      </c>
      <c r="C962" s="13">
        <v>1270</v>
      </c>
      <c r="D962" s="5">
        <f t="shared" si="28"/>
        <v>7.1354086457741754</v>
      </c>
      <c r="E962" s="5">
        <f t="shared" si="28"/>
        <v>7.1467721794526371</v>
      </c>
      <c r="F962" s="5">
        <f t="shared" si="29"/>
        <v>1.4824027198221401E-3</v>
      </c>
      <c r="G962" s="5">
        <f t="shared" si="29"/>
        <v>-2.5165159553006688E-3</v>
      </c>
    </row>
    <row r="963" spans="1:7" x14ac:dyDescent="0.25">
      <c r="A963" s="12">
        <v>45881</v>
      </c>
      <c r="B963" s="13">
        <v>1257.27</v>
      </c>
      <c r="C963" s="13">
        <v>1285.3</v>
      </c>
      <c r="D963" s="5">
        <f t="shared" si="28"/>
        <v>7.1366979826606833</v>
      </c>
      <c r="E963" s="5">
        <f t="shared" si="28"/>
        <v>7.1587474331160861</v>
      </c>
      <c r="F963" s="5">
        <f t="shared" si="29"/>
        <v>1.2893368865078969E-3</v>
      </c>
      <c r="G963" s="5">
        <f t="shared" si="29"/>
        <v>1.1975253663448981E-2</v>
      </c>
    </row>
    <row r="964" spans="1:7" x14ac:dyDescent="0.25">
      <c r="A964" s="12">
        <v>45882</v>
      </c>
      <c r="B964" s="13">
        <v>1276.97</v>
      </c>
      <c r="C964" s="13">
        <v>1300.0999999999999</v>
      </c>
      <c r="D964" s="5">
        <f t="shared" ref="D964:E1027" si="30">LN(B964)</f>
        <v>7.1522453631958953</v>
      </c>
      <c r="E964" s="5">
        <f t="shared" si="30"/>
        <v>7.1701964635681232</v>
      </c>
      <c r="F964" s="5">
        <f t="shared" ref="F964:G1027" si="31">D964-D963</f>
        <v>1.5547380535211985E-2</v>
      </c>
      <c r="G964" s="5">
        <f t="shared" si="31"/>
        <v>1.1449030452037157E-2</v>
      </c>
    </row>
    <row r="965" spans="1:7" x14ac:dyDescent="0.25">
      <c r="A965" s="12">
        <v>45883</v>
      </c>
      <c r="B965" s="13">
        <v>1271.97</v>
      </c>
      <c r="C965" s="13">
        <v>1283.5</v>
      </c>
      <c r="D965" s="5">
        <f t="shared" si="30"/>
        <v>7.1483221587162786</v>
      </c>
      <c r="E965" s="5">
        <f t="shared" si="30"/>
        <v>7.1573460003111951</v>
      </c>
      <c r="F965" s="5">
        <f t="shared" si="31"/>
        <v>-3.9232044796166932E-3</v>
      </c>
      <c r="G965" s="5">
        <f t="shared" si="31"/>
        <v>-1.285046325692818E-2</v>
      </c>
    </row>
    <row r="966" spans="1:7" x14ac:dyDescent="0.25">
      <c r="A966" s="12">
        <v>45884</v>
      </c>
      <c r="B966" s="13">
        <v>1272.43</v>
      </c>
      <c r="C966" s="13">
        <v>1285.0999999999999</v>
      </c>
      <c r="D966" s="5">
        <f t="shared" si="30"/>
        <v>7.1486837370883993</v>
      </c>
      <c r="E966" s="5">
        <f t="shared" si="30"/>
        <v>7.1585918153130956</v>
      </c>
      <c r="F966" s="5">
        <f t="shared" si="31"/>
        <v>3.6157837212069666E-4</v>
      </c>
      <c r="G966" s="5">
        <f t="shared" si="31"/>
        <v>1.2458150019005743E-3</v>
      </c>
    </row>
    <row r="967" spans="1:7" x14ac:dyDescent="0.25">
      <c r="A967" s="12">
        <v>45887</v>
      </c>
      <c r="B967" s="13">
        <v>1273.0899999999999</v>
      </c>
      <c r="C967" s="13">
        <v>1292.9000000000001</v>
      </c>
      <c r="D967" s="5">
        <f t="shared" si="30"/>
        <v>7.1492022951942396</v>
      </c>
      <c r="E967" s="5">
        <f t="shared" si="30"/>
        <v>7.1646430362605074</v>
      </c>
      <c r="F967" s="5">
        <f t="shared" si="31"/>
        <v>5.1855810584022777E-4</v>
      </c>
      <c r="G967" s="5">
        <f t="shared" si="31"/>
        <v>6.0512209474117284E-3</v>
      </c>
    </row>
    <row r="968" spans="1:7" x14ac:dyDescent="0.25">
      <c r="A968" s="12">
        <v>45888</v>
      </c>
      <c r="B968" s="13">
        <v>1270.73</v>
      </c>
      <c r="C968" s="13">
        <v>1281.8</v>
      </c>
      <c r="D968" s="5">
        <f t="shared" si="30"/>
        <v>7.1473468174661905</v>
      </c>
      <c r="E968" s="5">
        <f t="shared" si="30"/>
        <v>7.1560206190701265</v>
      </c>
      <c r="F968" s="5">
        <f t="shared" si="31"/>
        <v>-1.8554777280490597E-3</v>
      </c>
      <c r="G968" s="5">
        <f t="shared" si="31"/>
        <v>-8.6224171903808156E-3</v>
      </c>
    </row>
    <row r="969" spans="1:7" x14ac:dyDescent="0.25">
      <c r="A969" s="12">
        <v>45889</v>
      </c>
      <c r="B969" s="13">
        <v>1259.8800000000001</v>
      </c>
      <c r="C969" s="13">
        <v>1280.2</v>
      </c>
      <c r="D969" s="5">
        <f t="shared" si="30"/>
        <v>7.1387717573148501</v>
      </c>
      <c r="E969" s="5">
        <f t="shared" si="30"/>
        <v>7.1547715947079027</v>
      </c>
      <c r="F969" s="5">
        <f t="shared" si="31"/>
        <v>-8.5750601513403524E-3</v>
      </c>
      <c r="G969" s="5">
        <f t="shared" si="31"/>
        <v>-1.2490243622238495E-3</v>
      </c>
    </row>
    <row r="970" spans="1:7" x14ac:dyDescent="0.25">
      <c r="A970" s="12">
        <v>45890</v>
      </c>
      <c r="B970" s="13">
        <v>1261.74</v>
      </c>
      <c r="C970" s="13">
        <v>1278.5</v>
      </c>
      <c r="D970" s="5">
        <f t="shared" si="30"/>
        <v>7.1402469996886673</v>
      </c>
      <c r="E970" s="5">
        <f t="shared" si="30"/>
        <v>7.1534427947312409</v>
      </c>
      <c r="F970" s="5">
        <f t="shared" si="31"/>
        <v>1.4752423738171316E-3</v>
      </c>
      <c r="G970" s="5">
        <f t="shared" si="31"/>
        <v>-1.3287999766617986E-3</v>
      </c>
    </row>
    <row r="971" spans="1:7" x14ac:dyDescent="0.25">
      <c r="A971" s="12">
        <v>45891</v>
      </c>
      <c r="B971" s="13">
        <v>1266.55</v>
      </c>
      <c r="C971" s="13">
        <v>1302.2</v>
      </c>
      <c r="D971" s="5">
        <f t="shared" si="30"/>
        <v>7.1440519475412589</v>
      </c>
      <c r="E971" s="5">
        <f t="shared" si="30"/>
        <v>7.1718104208027613</v>
      </c>
      <c r="F971" s="5">
        <f t="shared" si="31"/>
        <v>3.8049478525916669E-3</v>
      </c>
      <c r="G971" s="5">
        <f t="shared" si="31"/>
        <v>1.8367626071520426E-2</v>
      </c>
    </row>
    <row r="972" spans="1:7" x14ac:dyDescent="0.25">
      <c r="A972" s="12">
        <v>45894</v>
      </c>
      <c r="B972" s="13">
        <v>1285.46</v>
      </c>
      <c r="C972" s="13">
        <v>1295.4000000000001</v>
      </c>
      <c r="D972" s="5">
        <f t="shared" si="30"/>
        <v>7.1588719099246614</v>
      </c>
      <c r="E972" s="5">
        <f t="shared" si="30"/>
        <v>7.1665748067488169</v>
      </c>
      <c r="F972" s="5">
        <f t="shared" si="31"/>
        <v>1.4819962383402441E-2</v>
      </c>
      <c r="G972" s="5">
        <f t="shared" si="31"/>
        <v>-5.2356140539444596E-3</v>
      </c>
    </row>
    <row r="973" spans="1:7" x14ac:dyDescent="0.25">
      <c r="A973" s="12">
        <v>45895</v>
      </c>
      <c r="B973" s="13">
        <v>1274.21</v>
      </c>
      <c r="C973" s="13">
        <v>1291.5999999999999</v>
      </c>
      <c r="D973" s="5">
        <f t="shared" si="30"/>
        <v>7.1500816577131205</v>
      </c>
      <c r="E973" s="5">
        <f t="shared" si="30"/>
        <v>7.1636370388841204</v>
      </c>
      <c r="F973" s="5">
        <f t="shared" si="31"/>
        <v>-8.7902522115408388E-3</v>
      </c>
      <c r="G973" s="5">
        <f t="shared" si="31"/>
        <v>-2.9377678646964611E-3</v>
      </c>
    </row>
    <row r="974" spans="1:7" x14ac:dyDescent="0.25">
      <c r="A974" s="12">
        <v>45896</v>
      </c>
      <c r="B974" s="13">
        <v>1269.1099999999999</v>
      </c>
      <c r="C974" s="13">
        <v>1282.8</v>
      </c>
      <c r="D974" s="5">
        <f t="shared" si="30"/>
        <v>7.1460711463847915</v>
      </c>
      <c r="E974" s="5">
        <f t="shared" si="30"/>
        <v>7.156800467819</v>
      </c>
      <c r="F974" s="5">
        <f t="shared" si="31"/>
        <v>-4.0105113283290805E-3</v>
      </c>
      <c r="G974" s="5">
        <f t="shared" si="31"/>
        <v>-6.8365710651203671E-3</v>
      </c>
    </row>
    <row r="975" spans="1:7" x14ac:dyDescent="0.25">
      <c r="A975" s="12">
        <v>45897</v>
      </c>
      <c r="B975" s="13">
        <v>1261.26</v>
      </c>
      <c r="C975" s="13">
        <v>1287.5</v>
      </c>
      <c r="D975" s="5">
        <f t="shared" si="30"/>
        <v>7.1398665002786075</v>
      </c>
      <c r="E975" s="5">
        <f t="shared" si="30"/>
        <v>7.1604576325378915</v>
      </c>
      <c r="F975" s="5">
        <f t="shared" si="31"/>
        <v>-6.2046461061839864E-3</v>
      </c>
      <c r="G975" s="5">
        <f t="shared" si="31"/>
        <v>3.6571647188914369E-3</v>
      </c>
    </row>
    <row r="976" spans="1:7" x14ac:dyDescent="0.25">
      <c r="A976" s="12">
        <v>45898</v>
      </c>
      <c r="B976" s="13">
        <v>1258.44</v>
      </c>
      <c r="C976" s="13">
        <v>1280</v>
      </c>
      <c r="D976" s="5">
        <f t="shared" si="30"/>
        <v>7.137628137634314</v>
      </c>
      <c r="E976" s="5">
        <f t="shared" si="30"/>
        <v>7.1546153569136628</v>
      </c>
      <c r="F976" s="5">
        <f t="shared" si="31"/>
        <v>-2.2383626442934457E-3</v>
      </c>
      <c r="G976" s="5">
        <f t="shared" si="31"/>
        <v>-5.8422756242286766E-3</v>
      </c>
    </row>
    <row r="977" spans="1:7" x14ac:dyDescent="0.25">
      <c r="A977" s="12">
        <v>45901</v>
      </c>
      <c r="B977" s="13">
        <v>1266.58</v>
      </c>
      <c r="C977" s="13">
        <v>1283.5999999999999</v>
      </c>
      <c r="D977" s="5">
        <f t="shared" si="30"/>
        <v>7.1440756336529088</v>
      </c>
      <c r="E977" s="5">
        <f t="shared" si="30"/>
        <v>7.1574239092357015</v>
      </c>
      <c r="F977" s="5">
        <f t="shared" si="31"/>
        <v>6.4474960185947339E-3</v>
      </c>
      <c r="G977" s="5">
        <f t="shared" si="31"/>
        <v>2.8085523220386932E-3</v>
      </c>
    </row>
    <row r="978" spans="1:7" x14ac:dyDescent="0.25">
      <c r="A978" s="12">
        <v>45902</v>
      </c>
      <c r="B978" s="13">
        <v>1265.44</v>
      </c>
      <c r="C978" s="13">
        <v>1279.4000000000001</v>
      </c>
      <c r="D978" s="5">
        <f t="shared" si="30"/>
        <v>7.1431751667711074</v>
      </c>
      <c r="E978" s="5">
        <f t="shared" si="30"/>
        <v>7.1541464970160371</v>
      </c>
      <c r="F978" s="5">
        <f t="shared" si="31"/>
        <v>-9.0046688180134282E-4</v>
      </c>
      <c r="G978" s="5">
        <f t="shared" si="31"/>
        <v>-3.2774122196643773E-3</v>
      </c>
    </row>
    <row r="979" spans="1:7" x14ac:dyDescent="0.25">
      <c r="A979" s="12">
        <v>45903</v>
      </c>
      <c r="B979" s="13">
        <v>1267</v>
      </c>
      <c r="C979" s="13">
        <v>1285.2</v>
      </c>
      <c r="D979" s="5">
        <f t="shared" si="30"/>
        <v>7.1444071803211386</v>
      </c>
      <c r="E979" s="5">
        <f t="shared" si="30"/>
        <v>7.1586696272417036</v>
      </c>
      <c r="F979" s="5">
        <f t="shared" si="31"/>
        <v>1.232013550031219E-3</v>
      </c>
      <c r="G979" s="5">
        <f t="shared" si="31"/>
        <v>4.5231302256665273E-3</v>
      </c>
    </row>
    <row r="980" spans="1:7" x14ac:dyDescent="0.25">
      <c r="A980" s="12">
        <v>45904</v>
      </c>
      <c r="B980" s="13">
        <v>1261.56</v>
      </c>
      <c r="C980" s="13">
        <v>1280.5</v>
      </c>
      <c r="D980" s="5">
        <f t="shared" si="30"/>
        <v>7.14010432937574</v>
      </c>
      <c r="E980" s="5">
        <f t="shared" si="30"/>
        <v>7.1550059056395803</v>
      </c>
      <c r="F980" s="5">
        <f t="shared" si="31"/>
        <v>-4.3028509453986175E-3</v>
      </c>
      <c r="G980" s="5">
        <f t="shared" si="31"/>
        <v>-3.6637216021233598E-3</v>
      </c>
    </row>
    <row r="981" spans="1:7" x14ac:dyDescent="0.25">
      <c r="A981" s="12">
        <v>45905</v>
      </c>
      <c r="B981" s="13">
        <v>1276.05</v>
      </c>
      <c r="C981" s="13">
        <v>1295.3</v>
      </c>
      <c r="D981" s="5">
        <f t="shared" si="30"/>
        <v>7.1515246480900032</v>
      </c>
      <c r="E981" s="5">
        <f t="shared" si="30"/>
        <v>7.1664976075362103</v>
      </c>
      <c r="F981" s="5">
        <f t="shared" si="31"/>
        <v>1.1420318714263189E-2</v>
      </c>
      <c r="G981" s="5">
        <f t="shared" si="31"/>
        <v>1.1491701896630069E-2</v>
      </c>
    </row>
    <row r="982" spans="1:7" x14ac:dyDescent="0.25">
      <c r="A982" s="12">
        <v>45908</v>
      </c>
      <c r="B982" s="13">
        <v>1282.2</v>
      </c>
      <c r="C982" s="13">
        <v>1308</v>
      </c>
      <c r="D982" s="5">
        <f t="shared" si="30"/>
        <v>7.1563326315531572</v>
      </c>
      <c r="E982" s="5">
        <f t="shared" si="30"/>
        <v>7.1762545320171442</v>
      </c>
      <c r="F982" s="5">
        <f t="shared" si="31"/>
        <v>4.8079834631540308E-3</v>
      </c>
      <c r="G982" s="5">
        <f t="shared" si="31"/>
        <v>9.756924480933904E-3</v>
      </c>
    </row>
    <row r="983" spans="1:7" x14ac:dyDescent="0.25">
      <c r="A983" s="12">
        <v>45909</v>
      </c>
      <c r="B983" s="13">
        <v>1295.3800000000001</v>
      </c>
      <c r="C983" s="13">
        <v>1315.2</v>
      </c>
      <c r="D983" s="5">
        <f t="shared" si="30"/>
        <v>7.1665593673830656</v>
      </c>
      <c r="E983" s="5">
        <f t="shared" si="30"/>
        <v>7.1817440243019153</v>
      </c>
      <c r="F983" s="5">
        <f t="shared" si="31"/>
        <v>1.0226735829908407E-2</v>
      </c>
      <c r="G983" s="5">
        <f t="shared" si="31"/>
        <v>5.4894922847710248E-3</v>
      </c>
    </row>
    <row r="984" spans="1:7" x14ac:dyDescent="0.25">
      <c r="A984" s="12">
        <v>45910</v>
      </c>
      <c r="B984" s="13">
        <v>1307.49</v>
      </c>
      <c r="C984" s="13">
        <v>1324.2</v>
      </c>
      <c r="D984" s="5">
        <f t="shared" si="30"/>
        <v>7.1758645477262739</v>
      </c>
      <c r="E984" s="5">
        <f t="shared" si="30"/>
        <v>7.1885637824907453</v>
      </c>
      <c r="F984" s="5">
        <f t="shared" si="31"/>
        <v>9.3051803432082636E-3</v>
      </c>
      <c r="G984" s="5">
        <f t="shared" si="31"/>
        <v>6.8197581888300718E-3</v>
      </c>
    </row>
    <row r="985" spans="1:7" x14ac:dyDescent="0.25">
      <c r="A985" s="12">
        <v>45911</v>
      </c>
      <c r="B985" s="13">
        <v>1310.08</v>
      </c>
      <c r="C985" s="13">
        <v>1341.9</v>
      </c>
      <c r="D985" s="5">
        <f t="shared" si="30"/>
        <v>7.1778434830328699</v>
      </c>
      <c r="E985" s="5">
        <f t="shared" si="30"/>
        <v>7.2018417991069121</v>
      </c>
      <c r="F985" s="5">
        <f t="shared" si="31"/>
        <v>1.9789353065959858E-3</v>
      </c>
      <c r="G985" s="5">
        <f t="shared" si="31"/>
        <v>1.3278016616166788E-2</v>
      </c>
    </row>
    <row r="986" spans="1:7" x14ac:dyDescent="0.25">
      <c r="A986" s="12">
        <v>45912</v>
      </c>
      <c r="B986" s="13">
        <v>1325.73</v>
      </c>
      <c r="C986" s="13">
        <v>1341.8</v>
      </c>
      <c r="D986" s="5">
        <f t="shared" si="30"/>
        <v>7.1897185301029571</v>
      </c>
      <c r="E986" s="5">
        <f t="shared" si="30"/>
        <v>7.2017672751287876</v>
      </c>
      <c r="F986" s="5">
        <f t="shared" si="31"/>
        <v>1.1875047070087241E-2</v>
      </c>
      <c r="G986" s="5">
        <f t="shared" si="31"/>
        <v>-7.4523978124574342E-5</v>
      </c>
    </row>
    <row r="987" spans="1:7" x14ac:dyDescent="0.25">
      <c r="A987" s="12">
        <v>45915</v>
      </c>
      <c r="B987" s="13">
        <v>1328.79</v>
      </c>
      <c r="C987" s="13">
        <v>1352.1</v>
      </c>
      <c r="D987" s="5">
        <f t="shared" si="30"/>
        <v>7.1920240326837721</v>
      </c>
      <c r="E987" s="5">
        <f t="shared" si="30"/>
        <v>7.2094142183647119</v>
      </c>
      <c r="F987" s="5">
        <f t="shared" si="31"/>
        <v>2.3055025808149665E-3</v>
      </c>
      <c r="G987" s="5">
        <f t="shared" si="31"/>
        <v>7.6469432359242973E-3</v>
      </c>
    </row>
    <row r="988" spans="1:7" x14ac:dyDescent="0.25">
      <c r="A988" s="12">
        <v>45916</v>
      </c>
      <c r="B988" s="13">
        <v>1339.91</v>
      </c>
      <c r="C988" s="13">
        <v>1361.7</v>
      </c>
      <c r="D988" s="5">
        <f t="shared" si="30"/>
        <v>7.2003577265102381</v>
      </c>
      <c r="E988" s="5">
        <f t="shared" si="30"/>
        <v>7.2164891981305299</v>
      </c>
      <c r="F988" s="5">
        <f t="shared" si="31"/>
        <v>8.3336938264659821E-3</v>
      </c>
      <c r="G988" s="5">
        <f t="shared" si="31"/>
        <v>7.0749797658180569E-3</v>
      </c>
    </row>
    <row r="989" spans="1:7" x14ac:dyDescent="0.25">
      <c r="A989" s="12">
        <v>45917</v>
      </c>
      <c r="B989" s="13">
        <v>1347.85</v>
      </c>
      <c r="C989" s="13">
        <v>1368.2</v>
      </c>
      <c r="D989" s="5">
        <f t="shared" si="30"/>
        <v>7.2062660093162307</v>
      </c>
      <c r="E989" s="5">
        <f t="shared" si="30"/>
        <v>7.2212512863268978</v>
      </c>
      <c r="F989" s="5">
        <f t="shared" si="31"/>
        <v>5.9082828059926484E-3</v>
      </c>
      <c r="G989" s="5">
        <f t="shared" si="31"/>
        <v>4.7620881963679196E-3</v>
      </c>
    </row>
    <row r="990" spans="1:7" x14ac:dyDescent="0.25">
      <c r="A990" s="12">
        <v>45918</v>
      </c>
      <c r="B990" s="13">
        <v>1345.83</v>
      </c>
      <c r="C990" s="13">
        <v>1363.8</v>
      </c>
      <c r="D990" s="5">
        <f t="shared" si="30"/>
        <v>7.2047662020795489</v>
      </c>
      <c r="E990" s="5">
        <f t="shared" si="30"/>
        <v>7.2180302000865524</v>
      </c>
      <c r="F990" s="5">
        <f t="shared" si="31"/>
        <v>-1.4998072366818604E-3</v>
      </c>
      <c r="G990" s="5">
        <f t="shared" si="31"/>
        <v>-3.2210862403454499E-3</v>
      </c>
    </row>
    <row r="991" spans="1:7" x14ac:dyDescent="0.25">
      <c r="A991" s="12">
        <v>45919</v>
      </c>
      <c r="B991" s="13">
        <v>1340.91</v>
      </c>
      <c r="C991" s="13">
        <v>1359.7</v>
      </c>
      <c r="D991" s="5">
        <f t="shared" si="30"/>
        <v>7.2011037669354669</v>
      </c>
      <c r="E991" s="5">
        <f t="shared" si="30"/>
        <v>7.2150193661616404</v>
      </c>
      <c r="F991" s="5">
        <f t="shared" si="31"/>
        <v>-3.6624351440819325E-3</v>
      </c>
      <c r="G991" s="5">
        <f t="shared" si="31"/>
        <v>-3.0108339249119709E-3</v>
      </c>
    </row>
    <row r="992" spans="1:7" x14ac:dyDescent="0.25">
      <c r="A992" s="12">
        <v>45922</v>
      </c>
      <c r="B992" s="13">
        <v>1343.73</v>
      </c>
      <c r="C992" s="13">
        <v>1365.7</v>
      </c>
      <c r="D992" s="5">
        <f t="shared" si="30"/>
        <v>7.2032046080442793</v>
      </c>
      <c r="E992" s="5">
        <f t="shared" si="30"/>
        <v>7.2194223966843785</v>
      </c>
      <c r="F992" s="5">
        <f t="shared" si="31"/>
        <v>2.100841108812368E-3</v>
      </c>
      <c r="G992" s="5">
        <f t="shared" si="31"/>
        <v>4.4030305227380495E-3</v>
      </c>
    </row>
    <row r="993" spans="1:7" x14ac:dyDescent="0.25">
      <c r="A993" s="12">
        <v>45923</v>
      </c>
      <c r="B993" s="13">
        <v>1346.55</v>
      </c>
      <c r="C993" s="13">
        <v>1365.8</v>
      </c>
      <c r="D993" s="5">
        <f t="shared" si="30"/>
        <v>7.205301044870807</v>
      </c>
      <c r="E993" s="5">
        <f t="shared" si="30"/>
        <v>7.2194956165269888</v>
      </c>
      <c r="F993" s="5">
        <f t="shared" si="31"/>
        <v>2.0964368265277145E-3</v>
      </c>
      <c r="G993" s="5">
        <f t="shared" si="31"/>
        <v>7.3219842610328101E-5</v>
      </c>
    </row>
    <row r="994" spans="1:7" x14ac:dyDescent="0.25">
      <c r="A994" s="12">
        <v>45924</v>
      </c>
      <c r="B994" s="13">
        <v>1351.91</v>
      </c>
      <c r="C994" s="13">
        <v>1359.8</v>
      </c>
      <c r="D994" s="5">
        <f t="shared" si="30"/>
        <v>7.209273686339821</v>
      </c>
      <c r="E994" s="5">
        <f t="shared" si="30"/>
        <v>7.215092909092359</v>
      </c>
      <c r="F994" s="5">
        <f t="shared" si="31"/>
        <v>3.9726414690139933E-3</v>
      </c>
      <c r="G994" s="5">
        <f t="shared" si="31"/>
        <v>-4.4027074346297823E-3</v>
      </c>
    </row>
    <row r="995" spans="1:7" x14ac:dyDescent="0.25">
      <c r="A995" s="12">
        <v>45925</v>
      </c>
      <c r="B995" s="13">
        <v>1343.82</v>
      </c>
      <c r="C995" s="13">
        <v>1353.4</v>
      </c>
      <c r="D995" s="5">
        <f t="shared" si="30"/>
        <v>7.2032715835424339</v>
      </c>
      <c r="E995" s="5">
        <f t="shared" si="30"/>
        <v>7.2103752237981249</v>
      </c>
      <c r="F995" s="5">
        <f t="shared" si="31"/>
        <v>-6.0021027973871099E-3</v>
      </c>
      <c r="G995" s="5">
        <f t="shared" si="31"/>
        <v>-4.7176852942341085E-3</v>
      </c>
    </row>
    <row r="996" spans="1:7" x14ac:dyDescent="0.25">
      <c r="A996" s="12">
        <v>45926</v>
      </c>
      <c r="B996" s="13">
        <v>1325.58</v>
      </c>
      <c r="C996" s="13">
        <v>1350</v>
      </c>
      <c r="D996" s="5">
        <f t="shared" si="30"/>
        <v>7.1896053784909917</v>
      </c>
      <c r="E996" s="5">
        <f t="shared" si="30"/>
        <v>7.2078598714324755</v>
      </c>
      <c r="F996" s="5">
        <f t="shared" si="31"/>
        <v>-1.3666205051442226E-2</v>
      </c>
      <c r="G996" s="5">
        <f t="shared" si="31"/>
        <v>-2.5153523656493704E-3</v>
      </c>
    </row>
    <row r="997" spans="1:7" x14ac:dyDescent="0.25">
      <c r="A997" s="12">
        <v>45929</v>
      </c>
      <c r="B997" s="13">
        <v>1339.71</v>
      </c>
      <c r="C997" s="13">
        <v>1361.2</v>
      </c>
      <c r="D997" s="5">
        <f t="shared" si="30"/>
        <v>7.2002084516127738</v>
      </c>
      <c r="E997" s="5">
        <f t="shared" si="30"/>
        <v>7.2161219426267511</v>
      </c>
      <c r="F997" s="5">
        <f t="shared" si="31"/>
        <v>1.0603073121782103E-2</v>
      </c>
      <c r="G997" s="5">
        <f t="shared" si="31"/>
        <v>8.2620711942755776E-3</v>
      </c>
    </row>
    <row r="998" spans="1:7" x14ac:dyDescent="0.25">
      <c r="A998" s="12">
        <v>45930</v>
      </c>
      <c r="B998" s="13">
        <v>1346.05</v>
      </c>
      <c r="C998" s="13">
        <v>1365.6</v>
      </c>
      <c r="D998" s="5">
        <f t="shared" si="30"/>
        <v>7.2049296566172627</v>
      </c>
      <c r="E998" s="5">
        <f t="shared" si="30"/>
        <v>7.2193491714802311</v>
      </c>
      <c r="F998" s="5">
        <f t="shared" si="31"/>
        <v>4.7212050044889153E-3</v>
      </c>
      <c r="G998" s="5">
        <f t="shared" si="31"/>
        <v>3.2272288534800353E-3</v>
      </c>
    </row>
    <row r="999" spans="1:7" x14ac:dyDescent="0.25">
      <c r="A999" s="12">
        <v>45931</v>
      </c>
      <c r="B999" s="13">
        <v>1352.73</v>
      </c>
      <c r="C999" s="13">
        <v>1375.5</v>
      </c>
      <c r="D999" s="5">
        <f t="shared" si="30"/>
        <v>7.2098800517157118</v>
      </c>
      <c r="E999" s="5">
        <f t="shared" si="30"/>
        <v>7.2265725803646292</v>
      </c>
      <c r="F999" s="5">
        <f t="shared" si="31"/>
        <v>4.9503950984490785E-3</v>
      </c>
      <c r="G999" s="5">
        <f t="shared" si="31"/>
        <v>7.223408884398097E-3</v>
      </c>
    </row>
    <row r="1000" spans="1:7" x14ac:dyDescent="0.25">
      <c r="A1000" s="12">
        <v>45932</v>
      </c>
      <c r="B1000" s="13">
        <v>1367.71</v>
      </c>
      <c r="C1000" s="13">
        <v>1383.7</v>
      </c>
      <c r="D1000" s="5">
        <f t="shared" si="30"/>
        <v>7.220893087405706</v>
      </c>
      <c r="E1000" s="5">
        <f t="shared" si="30"/>
        <v>7.2325163496753389</v>
      </c>
      <c r="F1000" s="5">
        <f t="shared" si="31"/>
        <v>1.1013035689994233E-2</v>
      </c>
      <c r="G1000" s="5">
        <f t="shared" si="31"/>
        <v>5.9437693107096123E-3</v>
      </c>
    </row>
    <row r="1001" spans="1:7" x14ac:dyDescent="0.25">
      <c r="A1001" s="12">
        <v>45933</v>
      </c>
      <c r="B1001" s="13">
        <v>1373.89</v>
      </c>
      <c r="C1001" s="13">
        <v>1386.2</v>
      </c>
      <c r="D1001" s="5">
        <f t="shared" si="30"/>
        <v>7.2254014113533014</v>
      </c>
      <c r="E1001" s="5">
        <f t="shared" si="30"/>
        <v>7.2343214694838842</v>
      </c>
      <c r="F1001" s="5">
        <f t="shared" si="31"/>
        <v>4.5083239475953718E-3</v>
      </c>
      <c r="G1001" s="5">
        <f t="shared" si="31"/>
        <v>1.8051198085453635E-3</v>
      </c>
    </row>
    <row r="1002" spans="1:7" x14ac:dyDescent="0.25">
      <c r="A1002" s="12">
        <v>45936</v>
      </c>
      <c r="B1002" s="13">
        <v>1372.25</v>
      </c>
      <c r="C1002" s="13">
        <v>1392.9</v>
      </c>
      <c r="D1002" s="5">
        <f t="shared" si="30"/>
        <v>7.2242070074299987</v>
      </c>
      <c r="E1002" s="5">
        <f t="shared" si="30"/>
        <v>7.2391431836939857</v>
      </c>
      <c r="F1002" s="5">
        <f t="shared" si="31"/>
        <v>-1.1944039233027226E-3</v>
      </c>
      <c r="G1002" s="5">
        <f t="shared" si="31"/>
        <v>4.8217142101014687E-3</v>
      </c>
    </row>
    <row r="1003" spans="1:7" x14ac:dyDescent="0.25">
      <c r="A1003" s="12">
        <v>45937</v>
      </c>
      <c r="B1003" s="13">
        <v>1375.23</v>
      </c>
      <c r="C1003" s="13">
        <v>1382.8</v>
      </c>
      <c r="D1003" s="5">
        <f t="shared" si="30"/>
        <v>7.226376268839422</v>
      </c>
      <c r="E1003" s="5">
        <f t="shared" si="30"/>
        <v>7.2318657080474695</v>
      </c>
      <c r="F1003" s="5">
        <f t="shared" si="31"/>
        <v>2.1692614094233065E-3</v>
      </c>
      <c r="G1003" s="5">
        <f t="shared" si="31"/>
        <v>-7.2774756465161516E-3</v>
      </c>
    </row>
    <row r="1004" spans="1:7" x14ac:dyDescent="0.25">
      <c r="A1004" s="12">
        <v>45938</v>
      </c>
      <c r="B1004" s="13">
        <v>1372.04</v>
      </c>
      <c r="C1004" s="13">
        <v>1392.7</v>
      </c>
      <c r="D1004" s="5">
        <f t="shared" si="30"/>
        <v>7.2240539623797959</v>
      </c>
      <c r="E1004" s="5">
        <f t="shared" si="30"/>
        <v>7.2389995880590465</v>
      </c>
      <c r="F1004" s="5">
        <f t="shared" si="31"/>
        <v>-2.3223064596260556E-3</v>
      </c>
      <c r="G1004" s="5">
        <f t="shared" si="31"/>
        <v>7.1338800115769985E-3</v>
      </c>
    </row>
    <row r="1005" spans="1:7" x14ac:dyDescent="0.25">
      <c r="A1005" s="12">
        <v>45939</v>
      </c>
      <c r="B1005" s="13">
        <v>1375.9</v>
      </c>
      <c r="C1005" s="13">
        <v>1378.1</v>
      </c>
      <c r="D1005" s="5">
        <f t="shared" si="30"/>
        <v>7.2268633414337708</v>
      </c>
      <c r="E1005" s="5">
        <f t="shared" si="30"/>
        <v>7.2284610178810995</v>
      </c>
      <c r="F1005" s="5">
        <f t="shared" si="31"/>
        <v>2.8093790539749364E-3</v>
      </c>
      <c r="G1005" s="5">
        <f t="shared" si="31"/>
        <v>-1.0538570177947015E-2</v>
      </c>
    </row>
    <row r="1006" spans="1:7" x14ac:dyDescent="0.25">
      <c r="A1006" s="12">
        <v>45940</v>
      </c>
      <c r="B1006" s="13">
        <v>1365.67</v>
      </c>
      <c r="C1006" s="13">
        <v>1327.6</v>
      </c>
      <c r="D1006" s="5">
        <f t="shared" si="30"/>
        <v>7.2194004296861314</v>
      </c>
      <c r="E1006" s="5">
        <f t="shared" si="30"/>
        <v>7.1911280798458197</v>
      </c>
      <c r="F1006" s="5">
        <f t="shared" si="31"/>
        <v>-7.4629117476394669E-3</v>
      </c>
      <c r="G1006" s="5">
        <f t="shared" si="31"/>
        <v>-3.7332938035279817E-2</v>
      </c>
    </row>
    <row r="1007" spans="1:7" x14ac:dyDescent="0.25">
      <c r="A1007" s="12">
        <v>45943</v>
      </c>
      <c r="B1007" s="13">
        <v>1353.31</v>
      </c>
      <c r="C1007" s="13">
        <v>1366.1</v>
      </c>
      <c r="D1007" s="5">
        <f t="shared" si="30"/>
        <v>7.2103087223997235</v>
      </c>
      <c r="E1007" s="5">
        <f t="shared" si="30"/>
        <v>7.2197152438934413</v>
      </c>
      <c r="F1007" s="5">
        <f t="shared" si="31"/>
        <v>-9.0917072864078463E-3</v>
      </c>
      <c r="G1007" s="5">
        <f t="shared" si="31"/>
        <v>2.8587164047621627E-2</v>
      </c>
    </row>
    <row r="1008" spans="1:7" x14ac:dyDescent="0.25">
      <c r="A1008" s="12">
        <v>45944</v>
      </c>
      <c r="B1008" s="13">
        <v>1338.98</v>
      </c>
      <c r="C1008" s="13">
        <v>1354.6</v>
      </c>
      <c r="D1008" s="5">
        <f t="shared" si="30"/>
        <v>7.1996634090598306</v>
      </c>
      <c r="E1008" s="5">
        <f t="shared" si="30"/>
        <v>7.2112614867808036</v>
      </c>
      <c r="F1008" s="5">
        <f t="shared" si="31"/>
        <v>-1.0645313339892937E-2</v>
      </c>
      <c r="G1008" s="5">
        <f t="shared" si="31"/>
        <v>-8.4537571126377387E-3</v>
      </c>
    </row>
    <row r="1009" spans="1:7" x14ac:dyDescent="0.25">
      <c r="A1009" s="12">
        <v>45945</v>
      </c>
      <c r="B1009" s="13">
        <v>1365.69</v>
      </c>
      <c r="C1009" s="13">
        <v>1377.3</v>
      </c>
      <c r="D1009" s="5">
        <f t="shared" si="30"/>
        <v>7.2194150744052461</v>
      </c>
      <c r="E1009" s="5">
        <f t="shared" si="30"/>
        <v>7.2278803399232858</v>
      </c>
      <c r="F1009" s="5">
        <f t="shared" si="31"/>
        <v>1.9751665345415503E-2</v>
      </c>
      <c r="G1009" s="5">
        <f t="shared" si="31"/>
        <v>1.6618853142482237E-2</v>
      </c>
    </row>
    <row r="1010" spans="1:7" x14ac:dyDescent="0.25">
      <c r="A1010" s="12">
        <v>45946</v>
      </c>
      <c r="B1010" s="13">
        <v>1378.96</v>
      </c>
      <c r="C1010" s="13">
        <v>1386.3</v>
      </c>
      <c r="D1010" s="5">
        <f t="shared" si="30"/>
        <v>7.2290848708461359</v>
      </c>
      <c r="E1010" s="5">
        <f t="shared" si="30"/>
        <v>7.2343936065443302</v>
      </c>
      <c r="F1010" s="5">
        <f t="shared" si="31"/>
        <v>9.6697964408898329E-3</v>
      </c>
      <c r="G1010" s="5">
        <f t="shared" si="31"/>
        <v>6.5132666210443446E-3</v>
      </c>
    </row>
    <row r="1011" spans="1:7" x14ac:dyDescent="0.25">
      <c r="A1011" s="12">
        <v>45947</v>
      </c>
      <c r="B1011" s="13">
        <v>1361.6</v>
      </c>
      <c r="C1011" s="13">
        <v>1386.1</v>
      </c>
      <c r="D1011" s="5">
        <f t="shared" si="30"/>
        <v>7.2164157578191093</v>
      </c>
      <c r="E1011" s="5">
        <f t="shared" si="30"/>
        <v>7.2342493272193069</v>
      </c>
      <c r="F1011" s="5">
        <f t="shared" si="31"/>
        <v>-1.2669113027026668E-2</v>
      </c>
      <c r="G1011" s="5">
        <f t="shared" si="31"/>
        <v>-1.4427932502325547E-4</v>
      </c>
    </row>
    <row r="1012" spans="1:7" x14ac:dyDescent="0.25">
      <c r="A1012" s="12">
        <v>45950</v>
      </c>
      <c r="B1012" s="13">
        <v>1383.26</v>
      </c>
      <c r="C1012" s="13">
        <v>1404.9</v>
      </c>
      <c r="D1012" s="5">
        <f t="shared" si="30"/>
        <v>7.2321983111032528</v>
      </c>
      <c r="E1012" s="5">
        <f t="shared" si="30"/>
        <v>7.2477214048576055</v>
      </c>
      <c r="F1012" s="5">
        <f t="shared" si="31"/>
        <v>1.5782553284143575E-2</v>
      </c>
      <c r="G1012" s="5">
        <f t="shared" si="31"/>
        <v>1.3472077638298607E-2</v>
      </c>
    </row>
    <row r="1013" spans="1:7" x14ac:dyDescent="0.25">
      <c r="A1013" s="12">
        <v>45951</v>
      </c>
      <c r="B1013" s="13">
        <v>1383.64</v>
      </c>
      <c r="C1013" s="13">
        <v>1389.1</v>
      </c>
      <c r="D1013" s="5">
        <f t="shared" si="30"/>
        <v>7.2324729867347468</v>
      </c>
      <c r="E1013" s="5">
        <f t="shared" si="30"/>
        <v>7.2364113344033436</v>
      </c>
      <c r="F1013" s="5">
        <f t="shared" si="31"/>
        <v>2.7467563149397023E-4</v>
      </c>
      <c r="G1013" s="5">
        <f t="shared" si="31"/>
        <v>-1.1310070454261911E-2</v>
      </c>
    </row>
    <row r="1014" spans="1:7" x14ac:dyDescent="0.25">
      <c r="A1014" s="12">
        <v>45952</v>
      </c>
      <c r="B1014" s="13">
        <v>1380.07</v>
      </c>
      <c r="C1014" s="13">
        <v>1388.7</v>
      </c>
      <c r="D1014" s="5">
        <f t="shared" si="30"/>
        <v>7.2298895015024804</v>
      </c>
      <c r="E1014" s="5">
        <f t="shared" si="30"/>
        <v>7.2361233367053348</v>
      </c>
      <c r="F1014" s="5">
        <f t="shared" si="31"/>
        <v>-2.5834852322663693E-3</v>
      </c>
      <c r="G1014" s="5">
        <f t="shared" si="31"/>
        <v>-2.8799769800880171E-4</v>
      </c>
    </row>
    <row r="1015" spans="1:7" x14ac:dyDescent="0.25">
      <c r="A1015" s="12">
        <v>45953</v>
      </c>
      <c r="B1015" s="13">
        <v>1381.37</v>
      </c>
      <c r="C1015" s="13">
        <v>1400.3</v>
      </c>
      <c r="D1015" s="5">
        <f t="shared" si="30"/>
        <v>7.2308310393204573</v>
      </c>
      <c r="E1015" s="5">
        <f t="shared" si="30"/>
        <v>7.2444417783617316</v>
      </c>
      <c r="F1015" s="5">
        <f t="shared" si="31"/>
        <v>9.4153781797690073E-4</v>
      </c>
      <c r="G1015" s="5">
        <f t="shared" si="31"/>
        <v>8.3184416563968355E-3</v>
      </c>
    </row>
    <row r="1016" spans="1:7" x14ac:dyDescent="0.25">
      <c r="A1016" s="12">
        <v>45954</v>
      </c>
      <c r="B1016" s="13">
        <v>1389.39</v>
      </c>
      <c r="C1016" s="13">
        <v>1409.9</v>
      </c>
      <c r="D1016" s="5">
        <f t="shared" si="30"/>
        <v>7.2366200808815044</v>
      </c>
      <c r="E1016" s="5">
        <f t="shared" si="30"/>
        <v>7.2512740588713154</v>
      </c>
      <c r="F1016" s="5">
        <f t="shared" si="31"/>
        <v>5.7890415610470924E-3</v>
      </c>
      <c r="G1016" s="5">
        <f t="shared" si="31"/>
        <v>6.8322805095837325E-3</v>
      </c>
    </row>
    <row r="1017" spans="1:7" x14ac:dyDescent="0.25">
      <c r="A1017" s="12">
        <v>45957</v>
      </c>
      <c r="B1017" s="13">
        <v>1407.94</v>
      </c>
      <c r="C1017" s="13">
        <v>1426.1</v>
      </c>
      <c r="D1017" s="5">
        <f t="shared" si="30"/>
        <v>7.2498829221736374</v>
      </c>
      <c r="E1017" s="5">
        <f t="shared" si="30"/>
        <v>7.2626987247427213</v>
      </c>
      <c r="F1017" s="5">
        <f t="shared" si="31"/>
        <v>1.3262841292132954E-2</v>
      </c>
      <c r="G1017" s="5">
        <f t="shared" si="31"/>
        <v>1.1424665871405892E-2</v>
      </c>
    </row>
    <row r="1018" spans="1:7" x14ac:dyDescent="0.25">
      <c r="A1018" s="12">
        <v>45958</v>
      </c>
      <c r="B1018" s="13">
        <v>1402.66</v>
      </c>
      <c r="C1018" s="13">
        <v>1424.9</v>
      </c>
      <c r="D1018" s="5">
        <f t="shared" si="30"/>
        <v>7.24612571288643</v>
      </c>
      <c r="E1018" s="5">
        <f t="shared" si="30"/>
        <v>7.2618569148017436</v>
      </c>
      <c r="F1018" s="5">
        <f t="shared" si="31"/>
        <v>-3.7572092872073526E-3</v>
      </c>
      <c r="G1018" s="5">
        <f t="shared" si="31"/>
        <v>-8.4180994097771134E-4</v>
      </c>
    </row>
    <row r="1019" spans="1:7" x14ac:dyDescent="0.25">
      <c r="A1019" s="12">
        <v>45959</v>
      </c>
      <c r="B1019" s="13">
        <v>1416.39</v>
      </c>
      <c r="C1019" s="13">
        <v>1433.3</v>
      </c>
      <c r="D1019" s="5">
        <f t="shared" si="30"/>
        <v>7.2558666600603265</v>
      </c>
      <c r="E1019" s="5">
        <f t="shared" si="30"/>
        <v>7.2677347569291699</v>
      </c>
      <c r="F1019" s="5">
        <f t="shared" si="31"/>
        <v>9.7409471738965081E-3</v>
      </c>
      <c r="G1019" s="5">
        <f t="shared" si="31"/>
        <v>5.8778421274263692E-3</v>
      </c>
    </row>
    <row r="1020" spans="1:7" x14ac:dyDescent="0.25">
      <c r="A1020" s="12">
        <v>45960</v>
      </c>
      <c r="B1020" s="13">
        <v>1411.65</v>
      </c>
      <c r="C1020" s="13">
        <v>1417.2</v>
      </c>
      <c r="D1020" s="5">
        <f t="shared" si="30"/>
        <v>7.2525145119729064</v>
      </c>
      <c r="E1020" s="5">
        <f t="shared" si="30"/>
        <v>7.2564383729913171</v>
      </c>
      <c r="F1020" s="5">
        <f t="shared" si="31"/>
        <v>-3.3521480874201259E-3</v>
      </c>
      <c r="G1020" s="5">
        <f t="shared" si="31"/>
        <v>-1.1296383937852816E-2</v>
      </c>
    </row>
    <row r="1021" spans="1:7" x14ac:dyDescent="0.25">
      <c r="A1021" s="12">
        <v>45961</v>
      </c>
      <c r="B1021" s="13">
        <v>1401.55</v>
      </c>
      <c r="C1021" s="13">
        <v>1413.9</v>
      </c>
      <c r="D1021" s="5">
        <f t="shared" si="30"/>
        <v>7.2453340460298303</v>
      </c>
      <c r="E1021" s="5">
        <f t="shared" si="30"/>
        <v>7.2541071225977953</v>
      </c>
      <c r="F1021" s="5">
        <f t="shared" si="31"/>
        <v>-7.1804659430760864E-3</v>
      </c>
      <c r="G1021" s="5">
        <f t="shared" si="31"/>
        <v>-2.3312503935217777E-3</v>
      </c>
    </row>
    <row r="1022" spans="1:7" x14ac:dyDescent="0.25">
      <c r="A1022" s="12">
        <v>45964</v>
      </c>
      <c r="B1022" s="13">
        <v>1410.43</v>
      </c>
      <c r="C1022" s="13">
        <v>1423.2</v>
      </c>
      <c r="D1022" s="5">
        <f t="shared" si="30"/>
        <v>7.2516499014189879</v>
      </c>
      <c r="E1022" s="5">
        <f t="shared" si="30"/>
        <v>7.2606631363516252</v>
      </c>
      <c r="F1022" s="5">
        <f t="shared" si="31"/>
        <v>6.3158553891575764E-3</v>
      </c>
      <c r="G1022" s="5">
        <f t="shared" si="31"/>
        <v>6.5560137538298591E-3</v>
      </c>
    </row>
    <row r="1023" spans="1:7" x14ac:dyDescent="0.25">
      <c r="A1023" s="12">
        <v>45965</v>
      </c>
      <c r="B1023" s="13">
        <v>1393.38</v>
      </c>
      <c r="C1023" s="13">
        <v>1396.5</v>
      </c>
      <c r="D1023" s="5">
        <f t="shared" si="30"/>
        <v>7.2394877291127866</v>
      </c>
      <c r="E1023" s="5">
        <f t="shared" si="30"/>
        <v>7.2417243853852318</v>
      </c>
      <c r="F1023" s="5">
        <f t="shared" si="31"/>
        <v>-1.2162172306201313E-2</v>
      </c>
      <c r="G1023" s="5">
        <f t="shared" si="31"/>
        <v>-1.8938750966393414E-2</v>
      </c>
    </row>
    <row r="1024" spans="1:7" x14ac:dyDescent="0.25">
      <c r="A1024" s="12">
        <v>45966</v>
      </c>
      <c r="B1024" s="13">
        <v>1382.96</v>
      </c>
      <c r="C1024" s="13">
        <v>1409.2</v>
      </c>
      <c r="D1024" s="5">
        <f t="shared" si="30"/>
        <v>7.2319814086145318</v>
      </c>
      <c r="E1024" s="5">
        <f t="shared" si="30"/>
        <v>7.2507774464670822</v>
      </c>
      <c r="F1024" s="5">
        <f t="shared" si="31"/>
        <v>-7.506320498254837E-3</v>
      </c>
      <c r="G1024" s="5">
        <f t="shared" si="31"/>
        <v>9.0530610818504442E-3</v>
      </c>
    </row>
    <row r="1025" spans="1:7" x14ac:dyDescent="0.25">
      <c r="A1025" s="12">
        <v>45967</v>
      </c>
      <c r="B1025" s="13">
        <v>1393.77</v>
      </c>
      <c r="C1025" s="13">
        <v>1398.4</v>
      </c>
      <c r="D1025" s="5">
        <f t="shared" si="30"/>
        <v>7.2397675848812568</v>
      </c>
      <c r="E1025" s="5">
        <f t="shared" si="30"/>
        <v>7.243084004901271</v>
      </c>
      <c r="F1025" s="5">
        <f t="shared" si="31"/>
        <v>7.7861762667250645E-3</v>
      </c>
      <c r="G1025" s="5">
        <f t="shared" si="31"/>
        <v>-7.6934415658111988E-3</v>
      </c>
    </row>
    <row r="1026" spans="1:7" x14ac:dyDescent="0.25">
      <c r="A1026" s="12">
        <v>45968</v>
      </c>
      <c r="B1026" s="13">
        <v>1381.63</v>
      </c>
      <c r="C1026" s="13">
        <v>1392.5</v>
      </c>
      <c r="D1026" s="5">
        <f t="shared" si="30"/>
        <v>7.231019240551559</v>
      </c>
      <c r="E1026" s="5">
        <f t="shared" si="30"/>
        <v>7.2388559718014394</v>
      </c>
      <c r="F1026" s="5">
        <f t="shared" si="31"/>
        <v>-8.7483443296978436E-3</v>
      </c>
      <c r="G1026" s="5">
        <f t="shared" si="31"/>
        <v>-4.2280330998316629E-3</v>
      </c>
    </row>
    <row r="1027" spans="1:7" x14ac:dyDescent="0.25">
      <c r="A1027" s="12">
        <v>45971</v>
      </c>
      <c r="B1027" s="13">
        <v>1400.21</v>
      </c>
      <c r="C1027" s="13">
        <v>1416</v>
      </c>
      <c r="D1027" s="5">
        <f t="shared" si="30"/>
        <v>7.2443775043544747</v>
      </c>
      <c r="E1027" s="5">
        <f t="shared" si="30"/>
        <v>7.255591274253665</v>
      </c>
      <c r="F1027" s="5">
        <f t="shared" si="31"/>
        <v>1.3358263802915715E-2</v>
      </c>
      <c r="G1027" s="5">
        <f t="shared" si="31"/>
        <v>1.6735302452225653E-2</v>
      </c>
    </row>
    <row r="1028" spans="1:7" x14ac:dyDescent="0.25">
      <c r="A1028" s="12">
        <v>45972</v>
      </c>
      <c r="B1028" s="13">
        <v>1402.67</v>
      </c>
      <c r="C1028" s="13">
        <v>1417.9</v>
      </c>
      <c r="D1028" s="5">
        <f t="shared" ref="D1028:E1064" si="32">LN(B1028)</f>
        <v>7.246132842172468</v>
      </c>
      <c r="E1028" s="5">
        <f t="shared" si="32"/>
        <v>7.2569321827435127</v>
      </c>
      <c r="F1028" s="5">
        <f t="shared" ref="F1028:G1064" si="33">D1028-D1027</f>
        <v>1.7553378179933077E-3</v>
      </c>
      <c r="G1028" s="5">
        <f t="shared" si="33"/>
        <v>1.340908489847692E-3</v>
      </c>
    </row>
    <row r="1029" spans="1:7" x14ac:dyDescent="0.25">
      <c r="A1029" s="12">
        <v>45973</v>
      </c>
      <c r="B1029" s="13">
        <v>1407.73</v>
      </c>
      <c r="C1029" s="13">
        <v>1417.4</v>
      </c>
      <c r="D1029" s="5">
        <f t="shared" si="32"/>
        <v>7.2497337569657905</v>
      </c>
      <c r="E1029" s="5">
        <f t="shared" si="32"/>
        <v>7.2565794863761557</v>
      </c>
      <c r="F1029" s="5">
        <f t="shared" si="33"/>
        <v>3.6009147933224739E-3</v>
      </c>
      <c r="G1029" s="5">
        <f t="shared" si="33"/>
        <v>-3.5269636735701937E-4</v>
      </c>
    </row>
    <row r="1030" spans="1:7" x14ac:dyDescent="0.25">
      <c r="A1030" s="12">
        <v>45974</v>
      </c>
      <c r="B1030" s="13">
        <v>1409.8</v>
      </c>
      <c r="C1030" s="13">
        <v>1401.2</v>
      </c>
      <c r="D1030" s="5">
        <f t="shared" si="32"/>
        <v>7.2512031293397756</v>
      </c>
      <c r="E1030" s="5">
        <f t="shared" si="32"/>
        <v>7.245084291323332</v>
      </c>
      <c r="F1030" s="5">
        <f t="shared" si="33"/>
        <v>1.469372373985145E-3</v>
      </c>
      <c r="G1030" s="5">
        <f t="shared" si="33"/>
        <v>-1.1495195052823703E-2</v>
      </c>
    </row>
    <row r="1031" spans="1:7" x14ac:dyDescent="0.25">
      <c r="A1031" s="12">
        <v>45975</v>
      </c>
      <c r="B1031" s="13">
        <v>1385.61</v>
      </c>
      <c r="C1031" s="13">
        <v>1402.3</v>
      </c>
      <c r="D1031" s="5">
        <f t="shared" si="32"/>
        <v>7.2338957548721972</v>
      </c>
      <c r="E1031" s="5">
        <f t="shared" si="32"/>
        <v>7.2458690247326052</v>
      </c>
      <c r="F1031" s="5">
        <f t="shared" si="33"/>
        <v>-1.7307374467578462E-2</v>
      </c>
      <c r="G1031" s="5">
        <f t="shared" si="33"/>
        <v>7.8473340927320834E-4</v>
      </c>
    </row>
    <row r="1032" spans="1:7" x14ac:dyDescent="0.25">
      <c r="A1032" s="12">
        <v>45978</v>
      </c>
      <c r="B1032" s="13">
        <v>1387.85</v>
      </c>
      <c r="C1032" s="13">
        <v>1384.8</v>
      </c>
      <c r="D1032" s="5">
        <f t="shared" si="32"/>
        <v>7.2355110660625916</v>
      </c>
      <c r="E1032" s="5">
        <f t="shared" si="32"/>
        <v>7.2333110038619992</v>
      </c>
      <c r="F1032" s="5">
        <f t="shared" si="33"/>
        <v>1.6153111903944861E-3</v>
      </c>
      <c r="G1032" s="5">
        <f t="shared" si="33"/>
        <v>-1.2558020870605979E-2</v>
      </c>
    </row>
    <row r="1033" spans="1:7" x14ac:dyDescent="0.25">
      <c r="A1033" s="12">
        <v>45979</v>
      </c>
      <c r="B1033" s="13">
        <v>1361.75</v>
      </c>
      <c r="C1033" s="13">
        <v>1377.8</v>
      </c>
      <c r="D1033" s="5">
        <f t="shared" si="32"/>
        <v>7.2165259162637838</v>
      </c>
      <c r="E1033" s="5">
        <f t="shared" si="32"/>
        <v>7.2282433031590951</v>
      </c>
      <c r="F1033" s="5">
        <f t="shared" si="33"/>
        <v>-1.8985149798807832E-2</v>
      </c>
      <c r="G1033" s="5">
        <f t="shared" si="33"/>
        <v>-5.0677007029040766E-3</v>
      </c>
    </row>
    <row r="1034" spans="1:7" x14ac:dyDescent="0.25">
      <c r="A1034" s="12">
        <v>45980</v>
      </c>
      <c r="B1034" s="13">
        <v>1360.31</v>
      </c>
      <c r="C1034" s="13">
        <v>1372.8</v>
      </c>
      <c r="D1034" s="5">
        <f t="shared" si="32"/>
        <v>7.2154678939319252</v>
      </c>
      <c r="E1034" s="5">
        <f t="shared" si="32"/>
        <v>7.2246077287336981</v>
      </c>
      <c r="F1034" s="5">
        <f t="shared" si="33"/>
        <v>-1.058022331858588E-3</v>
      </c>
      <c r="G1034" s="5">
        <f t="shared" si="33"/>
        <v>-3.6355744253970812E-3</v>
      </c>
    </row>
    <row r="1035" spans="1:7" x14ac:dyDescent="0.25">
      <c r="A1035" s="12">
        <v>45981</v>
      </c>
      <c r="B1035" s="13">
        <v>1371.54</v>
      </c>
      <c r="C1035" s="13">
        <v>1354.6</v>
      </c>
      <c r="D1035" s="5">
        <f t="shared" si="32"/>
        <v>7.223689475100012</v>
      </c>
      <c r="E1035" s="5">
        <f t="shared" si="32"/>
        <v>7.2112614867808036</v>
      </c>
      <c r="F1035" s="5">
        <f t="shared" si="33"/>
        <v>8.2215811680868001E-3</v>
      </c>
      <c r="G1035" s="5">
        <f t="shared" si="33"/>
        <v>-1.3346241952894466E-2</v>
      </c>
    </row>
    <row r="1036" spans="1:7" x14ac:dyDescent="0.25">
      <c r="A1036" s="12">
        <v>45982</v>
      </c>
      <c r="B1036" s="13">
        <v>1333.96</v>
      </c>
      <c r="C1036" s="13">
        <v>1354</v>
      </c>
      <c r="D1036" s="5">
        <f t="shared" si="32"/>
        <v>7.1959072410185136</v>
      </c>
      <c r="E1036" s="5">
        <f t="shared" si="32"/>
        <v>7.2108184534722204</v>
      </c>
      <c r="F1036" s="5">
        <f t="shared" si="33"/>
        <v>-2.778223408149838E-2</v>
      </c>
      <c r="G1036" s="5">
        <f t="shared" si="33"/>
        <v>-4.4303330858319612E-4</v>
      </c>
    </row>
    <row r="1037" spans="1:7" x14ac:dyDescent="0.25">
      <c r="A1037" s="12">
        <v>45985</v>
      </c>
      <c r="B1037" s="13">
        <v>1342.1</v>
      </c>
      <c r="C1037" s="13">
        <v>1366.7</v>
      </c>
      <c r="D1037" s="5">
        <f t="shared" si="32"/>
        <v>7.2019908304037603</v>
      </c>
      <c r="E1037" s="5">
        <f t="shared" si="32"/>
        <v>7.2201543539707549</v>
      </c>
      <c r="F1037" s="5">
        <f t="shared" si="33"/>
        <v>6.0835893852466683E-3</v>
      </c>
      <c r="G1037" s="5">
        <f t="shared" si="33"/>
        <v>9.3359004985344995E-3</v>
      </c>
    </row>
    <row r="1038" spans="1:7" x14ac:dyDescent="0.25">
      <c r="A1038" s="12">
        <v>45986</v>
      </c>
      <c r="B1038" s="13">
        <v>1353.84</v>
      </c>
      <c r="C1038" s="13">
        <v>1371.7</v>
      </c>
      <c r="D1038" s="5">
        <f t="shared" si="32"/>
        <v>7.2107002780998304</v>
      </c>
      <c r="E1038" s="5">
        <f t="shared" si="32"/>
        <v>7.2238061254843613</v>
      </c>
      <c r="F1038" s="5">
        <f t="shared" si="33"/>
        <v>8.7094476960700717E-3</v>
      </c>
      <c r="G1038" s="5">
        <f t="shared" si="33"/>
        <v>3.6517715136064055E-3</v>
      </c>
    </row>
    <row r="1039" spans="1:7" x14ac:dyDescent="0.25">
      <c r="A1039" s="12">
        <v>45987</v>
      </c>
      <c r="B1039" s="13">
        <v>1371.46</v>
      </c>
      <c r="C1039" s="13">
        <v>1383.8</v>
      </c>
      <c r="D1039" s="5">
        <f t="shared" si="32"/>
        <v>7.2236311448046981</v>
      </c>
      <c r="E1039" s="5">
        <f t="shared" si="32"/>
        <v>7.2325886170647102</v>
      </c>
      <c r="F1039" s="5">
        <f t="shared" si="33"/>
        <v>1.2930866704867761E-2</v>
      </c>
      <c r="G1039" s="5">
        <f t="shared" si="33"/>
        <v>8.782491580348939E-3</v>
      </c>
    </row>
    <row r="1040" spans="1:7" x14ac:dyDescent="0.25">
      <c r="A1040" s="12">
        <v>45988</v>
      </c>
      <c r="B1040" s="13">
        <v>1370.39</v>
      </c>
      <c r="C1040" s="13">
        <v>1381.4</v>
      </c>
      <c r="D1040" s="5">
        <f t="shared" si="32"/>
        <v>7.2228506498437648</v>
      </c>
      <c r="E1040" s="5">
        <f t="shared" si="32"/>
        <v>7.2308527566548726</v>
      </c>
      <c r="F1040" s="5">
        <f t="shared" si="33"/>
        <v>-7.8049496093335335E-4</v>
      </c>
      <c r="G1040" s="5">
        <f t="shared" si="33"/>
        <v>-1.7358604098376418E-3</v>
      </c>
    </row>
    <row r="1041" spans="1:7" x14ac:dyDescent="0.25">
      <c r="A1041" s="12">
        <v>45989</v>
      </c>
      <c r="B1041" s="13">
        <v>1366.92</v>
      </c>
      <c r="C1041" s="13">
        <v>1388.6</v>
      </c>
      <c r="D1041" s="5">
        <f t="shared" si="32"/>
        <v>7.220315312699821</v>
      </c>
      <c r="E1041" s="5">
        <f t="shared" si="32"/>
        <v>7.2360513243191731</v>
      </c>
      <c r="F1041" s="5">
        <f t="shared" si="33"/>
        <v>-2.5353371439438277E-3</v>
      </c>
      <c r="G1041" s="5">
        <f t="shared" si="33"/>
        <v>5.1985676643004908E-3</v>
      </c>
    </row>
    <row r="1042" spans="1:7" x14ac:dyDescent="0.25">
      <c r="A1042" s="12">
        <v>45992</v>
      </c>
      <c r="B1042" s="13">
        <v>1368.27</v>
      </c>
      <c r="C1042" s="13">
        <v>1386.8</v>
      </c>
      <c r="D1042" s="5">
        <f t="shared" si="32"/>
        <v>7.2213024471289637</v>
      </c>
      <c r="E1042" s="5">
        <f t="shared" si="32"/>
        <v>7.2347542138108683</v>
      </c>
      <c r="F1042" s="5">
        <f t="shared" si="33"/>
        <v>9.8713442914277749E-4</v>
      </c>
      <c r="G1042" s="5">
        <f t="shared" si="33"/>
        <v>-1.2971105083048329E-3</v>
      </c>
    </row>
    <row r="1043" spans="1:7" x14ac:dyDescent="0.25">
      <c r="A1043" s="12">
        <v>45993</v>
      </c>
      <c r="B1043" s="13">
        <v>1373.87</v>
      </c>
      <c r="C1043" s="13">
        <v>1386.3</v>
      </c>
      <c r="D1043" s="5">
        <f t="shared" si="32"/>
        <v>7.2253868540411625</v>
      </c>
      <c r="E1043" s="5">
        <f t="shared" si="32"/>
        <v>7.2343936065443302</v>
      </c>
      <c r="F1043" s="5">
        <f t="shared" si="33"/>
        <v>4.0844069121988014E-3</v>
      </c>
      <c r="G1043" s="5">
        <f t="shared" si="33"/>
        <v>-3.6060726653808217E-4</v>
      </c>
    </row>
    <row r="1044" spans="1:7" x14ac:dyDescent="0.25">
      <c r="A1044" s="12">
        <v>45994</v>
      </c>
      <c r="B1044" s="13">
        <v>1372.95</v>
      </c>
      <c r="C1044" s="13">
        <v>1386.4</v>
      </c>
      <c r="D1044" s="5">
        <f t="shared" si="32"/>
        <v>7.2247169884988978</v>
      </c>
      <c r="E1044" s="5">
        <f t="shared" si="32"/>
        <v>7.2344657384013962</v>
      </c>
      <c r="F1044" s="5">
        <f t="shared" si="33"/>
        <v>-6.6986554226478034E-4</v>
      </c>
      <c r="G1044" s="5">
        <f t="shared" si="33"/>
        <v>7.2131857066004557E-5</v>
      </c>
    </row>
    <row r="1045" spans="1:7" x14ac:dyDescent="0.25">
      <c r="A1045" s="12">
        <v>45995</v>
      </c>
      <c r="B1045" s="13">
        <v>1376.79</v>
      </c>
      <c r="C1045" s="13">
        <v>1387</v>
      </c>
      <c r="D1045" s="5">
        <f t="shared" si="32"/>
        <v>7.2275099816518935</v>
      </c>
      <c r="E1045" s="5">
        <f t="shared" si="32"/>
        <v>7.2348984203148312</v>
      </c>
      <c r="F1045" s="5">
        <f t="shared" si="33"/>
        <v>2.7929931529957486E-3</v>
      </c>
      <c r="G1045" s="5">
        <f t="shared" si="33"/>
        <v>4.3268191343504014E-4</v>
      </c>
    </row>
    <row r="1046" spans="1:7" x14ac:dyDescent="0.25">
      <c r="A1046" s="12">
        <v>45996</v>
      </c>
      <c r="B1046" s="13">
        <v>1385.48</v>
      </c>
      <c r="C1046" s="13">
        <v>1396.8</v>
      </c>
      <c r="D1046" s="5">
        <f t="shared" si="32"/>
        <v>7.2338019289769031</v>
      </c>
      <c r="E1046" s="5">
        <f t="shared" si="32"/>
        <v>7.2419391850853376</v>
      </c>
      <c r="F1046" s="5">
        <f t="shared" si="33"/>
        <v>6.2919473250095947E-3</v>
      </c>
      <c r="G1046" s="5">
        <f t="shared" si="33"/>
        <v>7.0407647705064136E-3</v>
      </c>
    </row>
    <row r="1047" spans="1:7" x14ac:dyDescent="0.25">
      <c r="A1047" s="12">
        <v>45999</v>
      </c>
      <c r="B1047" s="13">
        <v>1386.62</v>
      </c>
      <c r="C1047" s="13">
        <v>1392.8</v>
      </c>
      <c r="D1047" s="5">
        <f t="shared" si="32"/>
        <v>7.2346244101747423</v>
      </c>
      <c r="E1047" s="5">
        <f t="shared" si="32"/>
        <v>7.2390713884539792</v>
      </c>
      <c r="F1047" s="5">
        <f t="shared" si="33"/>
        <v>8.2248119783923102E-4</v>
      </c>
      <c r="G1047" s="5">
        <f t="shared" si="33"/>
        <v>-2.867796631358388E-3</v>
      </c>
    </row>
    <row r="1048" spans="1:7" x14ac:dyDescent="0.25">
      <c r="A1048" s="12">
        <v>46000</v>
      </c>
      <c r="B1048" s="13">
        <v>1378.93</v>
      </c>
      <c r="C1048" s="13">
        <v>1390.9</v>
      </c>
      <c r="D1048" s="5">
        <f t="shared" si="32"/>
        <v>7.2290631150835774</v>
      </c>
      <c r="E1048" s="5">
        <f t="shared" si="32"/>
        <v>7.2377062986130847</v>
      </c>
      <c r="F1048" s="5">
        <f t="shared" si="33"/>
        <v>-5.5612950911649861E-3</v>
      </c>
      <c r="G1048" s="5">
        <f t="shared" si="33"/>
        <v>-1.3650898408945622E-3</v>
      </c>
    </row>
    <row r="1049" spans="1:7" x14ac:dyDescent="0.25">
      <c r="A1049" s="12">
        <v>46001</v>
      </c>
      <c r="B1049" s="13">
        <v>1382.51</v>
      </c>
      <c r="C1049" s="13">
        <v>1406</v>
      </c>
      <c r="D1049" s="5">
        <f t="shared" si="32"/>
        <v>7.2316559666433857</v>
      </c>
      <c r="E1049" s="5">
        <f t="shared" si="32"/>
        <v>7.2485040723706105</v>
      </c>
      <c r="F1049" s="5">
        <f t="shared" si="33"/>
        <v>2.5928515598083735E-3</v>
      </c>
      <c r="G1049" s="5">
        <f t="shared" si="33"/>
        <v>1.0797773757525775E-2</v>
      </c>
    </row>
    <row r="1050" spans="1:7" x14ac:dyDescent="0.25">
      <c r="A1050" s="12">
        <v>46002</v>
      </c>
      <c r="B1050" s="13">
        <v>1376.73</v>
      </c>
      <c r="C1050" s="13">
        <v>1400.4</v>
      </c>
      <c r="D1050" s="5">
        <f t="shared" si="32"/>
        <v>7.2274664010713936</v>
      </c>
      <c r="E1050" s="5">
        <f t="shared" si="32"/>
        <v>7.2445131890805108</v>
      </c>
      <c r="F1050" s="5">
        <f t="shared" si="33"/>
        <v>-4.1895655719921265E-3</v>
      </c>
      <c r="G1050" s="5">
        <f t="shared" si="33"/>
        <v>-3.9908832900996671E-3</v>
      </c>
    </row>
    <row r="1051" spans="1:7" x14ac:dyDescent="0.25">
      <c r="A1051" s="12">
        <v>46003</v>
      </c>
      <c r="B1051" s="13">
        <v>1389.99</v>
      </c>
      <c r="C1051" s="13">
        <v>1383.6</v>
      </c>
      <c r="D1051" s="5">
        <f t="shared" si="32"/>
        <v>7.237051831854254</v>
      </c>
      <c r="E1051" s="5">
        <f t="shared" si="32"/>
        <v>7.2324440770630138</v>
      </c>
      <c r="F1051" s="5">
        <f t="shared" si="33"/>
        <v>9.585430782860449E-3</v>
      </c>
      <c r="G1051" s="5">
        <f t="shared" si="33"/>
        <v>-1.2069112017496941E-2</v>
      </c>
    </row>
    <row r="1052" spans="1:7" x14ac:dyDescent="0.25">
      <c r="A1052" s="12">
        <v>46006</v>
      </c>
      <c r="B1052" s="13">
        <v>1373.88</v>
      </c>
      <c r="C1052" s="13">
        <v>1379.8</v>
      </c>
      <c r="D1052" s="5">
        <f t="shared" si="32"/>
        <v>7.2253941327237214</v>
      </c>
      <c r="E1052" s="5">
        <f t="shared" si="32"/>
        <v>7.2296938401120086</v>
      </c>
      <c r="F1052" s="5">
        <f t="shared" si="33"/>
        <v>-1.1657699130532606E-2</v>
      </c>
      <c r="G1052" s="5">
        <f t="shared" si="33"/>
        <v>-2.7502369510052915E-3</v>
      </c>
    </row>
    <row r="1053" spans="1:7" x14ac:dyDescent="0.25">
      <c r="A1053" s="12">
        <v>46007</v>
      </c>
      <c r="B1053" s="13">
        <v>1352.66</v>
      </c>
      <c r="C1053" s="13">
        <v>1369.7</v>
      </c>
      <c r="D1053" s="5">
        <f t="shared" si="32"/>
        <v>7.2098283031692807</v>
      </c>
      <c r="E1053" s="5">
        <f t="shared" si="32"/>
        <v>7.2223470167407759</v>
      </c>
      <c r="F1053" s="5">
        <f t="shared" si="33"/>
        <v>-1.5565829554440747E-2</v>
      </c>
      <c r="G1053" s="5">
        <f t="shared" si="33"/>
        <v>-7.3468233712326025E-3</v>
      </c>
    </row>
    <row r="1054" spans="1:7" x14ac:dyDescent="0.25">
      <c r="A1054" s="12">
        <v>46008</v>
      </c>
      <c r="B1054" s="13">
        <v>1358.97</v>
      </c>
      <c r="C1054" s="13">
        <v>1358.9</v>
      </c>
      <c r="D1054" s="5">
        <f t="shared" si="32"/>
        <v>7.2144823388522985</v>
      </c>
      <c r="E1054" s="5">
        <f t="shared" si="32"/>
        <v>7.214430827926452</v>
      </c>
      <c r="F1054" s="5">
        <f t="shared" si="33"/>
        <v>4.6540356830178098E-3</v>
      </c>
      <c r="G1054" s="5">
        <f t="shared" si="33"/>
        <v>-7.9161888143239878E-3</v>
      </c>
    </row>
    <row r="1055" spans="1:7" x14ac:dyDescent="0.25">
      <c r="A1055" s="12">
        <v>46009</v>
      </c>
      <c r="B1055" s="13">
        <v>1358.18</v>
      </c>
      <c r="C1055" s="13">
        <v>1373</v>
      </c>
      <c r="D1055" s="5">
        <f t="shared" si="32"/>
        <v>7.2139008471994561</v>
      </c>
      <c r="E1055" s="5">
        <f t="shared" si="32"/>
        <v>7.224753405767971</v>
      </c>
      <c r="F1055" s="5">
        <f t="shared" si="33"/>
        <v>-5.814916528423808E-4</v>
      </c>
      <c r="G1055" s="5">
        <f t="shared" si="33"/>
        <v>1.0322577841519021E-2</v>
      </c>
    </row>
    <row r="1056" spans="1:7" x14ac:dyDescent="0.25">
      <c r="A1056" s="12">
        <v>46010</v>
      </c>
      <c r="B1056" s="13">
        <v>1368.48</v>
      </c>
      <c r="C1056" s="13">
        <v>1388.7</v>
      </c>
      <c r="D1056" s="5">
        <f t="shared" si="32"/>
        <v>7.2214559138324717</v>
      </c>
      <c r="E1056" s="5">
        <f t="shared" si="32"/>
        <v>7.2361233367053348</v>
      </c>
      <c r="F1056" s="5">
        <f t="shared" si="33"/>
        <v>7.5550666330155281E-3</v>
      </c>
      <c r="G1056" s="5">
        <f t="shared" si="33"/>
        <v>1.1369930937363826E-2</v>
      </c>
    </row>
    <row r="1057" spans="1:7" x14ac:dyDescent="0.25">
      <c r="A1057" s="12">
        <v>46013</v>
      </c>
      <c r="B1057" s="13">
        <v>1383.83</v>
      </c>
      <c r="C1057" s="13">
        <v>1395</v>
      </c>
      <c r="D1057" s="5">
        <f t="shared" si="32"/>
        <v>7.2326102962631591</v>
      </c>
      <c r="E1057" s="5">
        <f t="shared" si="32"/>
        <v>7.2406496942554659</v>
      </c>
      <c r="F1057" s="5">
        <f t="shared" si="33"/>
        <v>1.1154382430687448E-2</v>
      </c>
      <c r="G1057" s="5">
        <f t="shared" si="33"/>
        <v>4.5263575501310882E-3</v>
      </c>
    </row>
    <row r="1058" spans="1:7" x14ac:dyDescent="0.25">
      <c r="A1058" s="12">
        <v>46014</v>
      </c>
      <c r="B1058" s="13">
        <v>1387.13</v>
      </c>
      <c r="C1058" s="13">
        <v>1403.2</v>
      </c>
      <c r="D1058" s="5">
        <f t="shared" si="32"/>
        <v>7.234992143392045</v>
      </c>
      <c r="E1058" s="5">
        <f t="shared" si="32"/>
        <v>7.2465106216179187</v>
      </c>
      <c r="F1058" s="5">
        <f t="shared" si="33"/>
        <v>2.3818471288858944E-3</v>
      </c>
      <c r="G1058" s="5">
        <f t="shared" si="33"/>
        <v>5.8609273624528058E-3</v>
      </c>
    </row>
    <row r="1059" spans="1:7" x14ac:dyDescent="0.25">
      <c r="A1059" s="12">
        <v>46015</v>
      </c>
      <c r="B1059" s="13">
        <v>1392.07</v>
      </c>
      <c r="C1059" s="13">
        <v>1404.6</v>
      </c>
      <c r="D1059" s="5">
        <f t="shared" si="32"/>
        <v>7.2385471269863197</v>
      </c>
      <c r="E1059" s="5">
        <f t="shared" si="32"/>
        <v>7.2475078437249199</v>
      </c>
      <c r="F1059" s="5">
        <f t="shared" si="33"/>
        <v>3.5549835942747521E-3</v>
      </c>
      <c r="G1059" s="5">
        <f t="shared" si="33"/>
        <v>9.9722210700114999E-4</v>
      </c>
    </row>
    <row r="1060" spans="1:7" x14ac:dyDescent="0.25">
      <c r="A1060" s="12">
        <v>46016</v>
      </c>
      <c r="B1060" s="13">
        <v>1391.79</v>
      </c>
      <c r="C1060" s="13">
        <v>1391.79</v>
      </c>
      <c r="D1060" s="5">
        <f t="shared" si="32"/>
        <v>7.2383459674445731</v>
      </c>
      <c r="E1060" s="5">
        <f t="shared" si="32"/>
        <v>7.2383459674445731</v>
      </c>
      <c r="F1060" s="5">
        <f t="shared" si="33"/>
        <v>-2.0115954174659834E-4</v>
      </c>
      <c r="G1060" s="5">
        <f t="shared" si="33"/>
        <v>-9.1618762803467035E-3</v>
      </c>
    </row>
    <row r="1061" spans="1:7" x14ac:dyDescent="0.25">
      <c r="A1061" s="12">
        <v>46017</v>
      </c>
      <c r="B1061" s="13">
        <v>1397.4</v>
      </c>
      <c r="C1061" s="13">
        <v>1415.3</v>
      </c>
      <c r="D1061" s="5">
        <f t="shared" si="32"/>
        <v>7.2423686461183507</v>
      </c>
      <c r="E1061" s="5">
        <f t="shared" si="32"/>
        <v>7.2550968017397928</v>
      </c>
      <c r="F1061" s="5">
        <f t="shared" si="33"/>
        <v>4.022678673777591E-3</v>
      </c>
      <c r="G1061" s="5">
        <f t="shared" si="33"/>
        <v>1.6750834295219619E-2</v>
      </c>
    </row>
    <row r="1062" spans="1:7" x14ac:dyDescent="0.25">
      <c r="A1062" s="12">
        <v>46020</v>
      </c>
      <c r="B1062" s="13">
        <v>1401.66</v>
      </c>
      <c r="C1062" s="13">
        <v>1411.5</v>
      </c>
      <c r="D1062" s="5">
        <f t="shared" si="32"/>
        <v>7.2454125274850592</v>
      </c>
      <c r="E1062" s="5">
        <f t="shared" si="32"/>
        <v>7.2524082476935439</v>
      </c>
      <c r="F1062" s="5">
        <f t="shared" si="33"/>
        <v>3.0438813667084119E-3</v>
      </c>
      <c r="G1062" s="5">
        <f t="shared" si="33"/>
        <v>-2.6885540462489033E-3</v>
      </c>
    </row>
    <row r="1063" spans="1:7" x14ac:dyDescent="0.25">
      <c r="A1063" s="12">
        <v>46021</v>
      </c>
      <c r="B1063" s="13">
        <v>1402.53</v>
      </c>
      <c r="C1063" s="13">
        <v>1416</v>
      </c>
      <c r="D1063" s="5">
        <f t="shared" si="32"/>
        <v>7.2460330275424125</v>
      </c>
      <c r="E1063" s="5">
        <f t="shared" si="32"/>
        <v>7.255591274253665</v>
      </c>
      <c r="F1063" s="5">
        <f t="shared" si="33"/>
        <v>6.2050005735336811E-4</v>
      </c>
      <c r="G1063" s="5">
        <f t="shared" si="33"/>
        <v>3.1830265601211494E-3</v>
      </c>
    </row>
    <row r="1064" spans="1:7" x14ac:dyDescent="0.25">
      <c r="A1064" s="12">
        <v>46022</v>
      </c>
      <c r="B1064" s="13">
        <v>1404.37</v>
      </c>
      <c r="C1064" s="13">
        <v>1411.4</v>
      </c>
      <c r="D1064" s="5">
        <f t="shared" si="32"/>
        <v>7.2473440826306303</v>
      </c>
      <c r="E1064" s="5">
        <f t="shared" si="32"/>
        <v>7.2523373985667297</v>
      </c>
      <c r="F1064" s="5">
        <f t="shared" si="33"/>
        <v>1.3110550882178273E-3</v>
      </c>
      <c r="G1064" s="5">
        <f t="shared" si="33"/>
        <v>-3.2538756869353591E-3</v>
      </c>
    </row>
    <row r="1065" spans="1:7" x14ac:dyDescent="0.25">
      <c r="A1065" s="12"/>
      <c r="B1065" s="13"/>
      <c r="C1065" s="13"/>
      <c r="D1065" s="5"/>
      <c r="E1065" s="5"/>
      <c r="F1065" s="5"/>
      <c r="G1065" s="5"/>
    </row>
    <row r="1066" spans="1:7" x14ac:dyDescent="0.25">
      <c r="A1066"/>
      <c r="B1066"/>
    </row>
    <row r="1067" spans="1:7" x14ac:dyDescent="0.25">
      <c r="A1067"/>
      <c r="B1067"/>
    </row>
    <row r="1068" spans="1:7" x14ac:dyDescent="0.25">
      <c r="A1068"/>
      <c r="B1068"/>
    </row>
    <row r="1069" spans="1:7" x14ac:dyDescent="0.25">
      <c r="A1069"/>
      <c r="B1069"/>
    </row>
    <row r="1070" spans="1:7" x14ac:dyDescent="0.25">
      <c r="A1070"/>
      <c r="B1070"/>
    </row>
    <row r="1071" spans="1:7" x14ac:dyDescent="0.25">
      <c r="A1071"/>
      <c r="B1071"/>
    </row>
    <row r="1072" spans="1:7" x14ac:dyDescent="0.25">
      <c r="A1072"/>
      <c r="B1072"/>
    </row>
    <row r="1073" spans="1:11" x14ac:dyDescent="0.25">
      <c r="A1073"/>
      <c r="B1073"/>
    </row>
    <row r="1074" spans="1:11" x14ac:dyDescent="0.25">
      <c r="A1074"/>
      <c r="B1074"/>
    </row>
    <row r="1075" spans="1:11" x14ac:dyDescent="0.25">
      <c r="A1075"/>
      <c r="B1075"/>
    </row>
    <row r="1076" spans="1:11" x14ac:dyDescent="0.25">
      <c r="A1076"/>
      <c r="B1076"/>
    </row>
    <row r="1077" spans="1:11" x14ac:dyDescent="0.25">
      <c r="A1077"/>
      <c r="B1077"/>
    </row>
    <row r="1078" spans="1:11" x14ac:dyDescent="0.25">
      <c r="A1078"/>
      <c r="B1078"/>
      <c r="K1078" s="20"/>
    </row>
    <row r="1079" spans="1:11" x14ac:dyDescent="0.25">
      <c r="A1079"/>
      <c r="B1079"/>
      <c r="K1079" s="20"/>
    </row>
    <row r="1080" spans="1:11" x14ac:dyDescent="0.25">
      <c r="A1080"/>
      <c r="B1080"/>
      <c r="K1080" s="20"/>
    </row>
    <row r="1081" spans="1:11" x14ac:dyDescent="0.25">
      <c r="A1081"/>
      <c r="B1081"/>
      <c r="K1081" s="20"/>
    </row>
    <row r="1082" spans="1:11" x14ac:dyDescent="0.25">
      <c r="A1082"/>
      <c r="B1082"/>
      <c r="K1082" s="20"/>
    </row>
    <row r="1083" spans="1:11" x14ac:dyDescent="0.25">
      <c r="A1083"/>
      <c r="B1083"/>
      <c r="K1083" s="20"/>
    </row>
    <row r="1084" spans="1:11" x14ac:dyDescent="0.25">
      <c r="A1084"/>
      <c r="B1084"/>
      <c r="K1084" s="20"/>
    </row>
    <row r="1085" spans="1:11" x14ac:dyDescent="0.25">
      <c r="A1085"/>
      <c r="B1085"/>
      <c r="K1085" s="20"/>
    </row>
    <row r="1086" spans="1:11" x14ac:dyDescent="0.25">
      <c r="A1086"/>
      <c r="B1086"/>
      <c r="K1086" s="20"/>
    </row>
    <row r="1087" spans="1:11" x14ac:dyDescent="0.25">
      <c r="A1087"/>
      <c r="B1087"/>
      <c r="K1087" s="20"/>
    </row>
    <row r="1088" spans="1:11" x14ac:dyDescent="0.25">
      <c r="A1088"/>
      <c r="B1088"/>
      <c r="K1088" s="20"/>
    </row>
    <row r="1089" spans="1:11" x14ac:dyDescent="0.25">
      <c r="A1089"/>
      <c r="B1089"/>
      <c r="K1089" s="20"/>
    </row>
    <row r="1090" spans="1:11" x14ac:dyDescent="0.25">
      <c r="A1090"/>
      <c r="B1090"/>
      <c r="K1090" s="20"/>
    </row>
    <row r="1091" spans="1:11" x14ac:dyDescent="0.25">
      <c r="A1091"/>
      <c r="B1091"/>
      <c r="K1091" s="20"/>
    </row>
    <row r="1092" spans="1:11" x14ac:dyDescent="0.25">
      <c r="A1092"/>
      <c r="B1092"/>
      <c r="K1092" s="20"/>
    </row>
    <row r="1093" spans="1:11" x14ac:dyDescent="0.25">
      <c r="A1093"/>
      <c r="B1093"/>
      <c r="K1093" s="20"/>
    </row>
    <row r="1094" spans="1:11" x14ac:dyDescent="0.25">
      <c r="A1094"/>
      <c r="B1094"/>
      <c r="K1094" s="20"/>
    </row>
    <row r="1095" spans="1:11" x14ac:dyDescent="0.25">
      <c r="A1095"/>
      <c r="B1095"/>
      <c r="K1095" s="20"/>
    </row>
    <row r="1096" spans="1:11" x14ac:dyDescent="0.25">
      <c r="A1096"/>
      <c r="B1096"/>
      <c r="K1096" s="20"/>
    </row>
    <row r="1097" spans="1:11" x14ac:dyDescent="0.25">
      <c r="A1097"/>
      <c r="B1097"/>
      <c r="K1097" s="20"/>
    </row>
    <row r="1098" spans="1:11" x14ac:dyDescent="0.25">
      <c r="A1098"/>
      <c r="B1098"/>
      <c r="K1098" s="20"/>
    </row>
    <row r="1099" spans="1:11" x14ac:dyDescent="0.25">
      <c r="A1099"/>
      <c r="B1099"/>
      <c r="K1099" s="20"/>
    </row>
    <row r="1100" spans="1:11" x14ac:dyDescent="0.25">
      <c r="A1100"/>
      <c r="B1100"/>
      <c r="K1100" s="20"/>
    </row>
    <row r="1101" spans="1:11" x14ac:dyDescent="0.25">
      <c r="A1101"/>
      <c r="B1101"/>
      <c r="K1101" s="20"/>
    </row>
    <row r="1102" spans="1:11" x14ac:dyDescent="0.25">
      <c r="A1102"/>
      <c r="B1102"/>
      <c r="K1102" s="20"/>
    </row>
    <row r="1103" spans="1:11" x14ac:dyDescent="0.25">
      <c r="A1103"/>
      <c r="B1103"/>
      <c r="K1103" s="20"/>
    </row>
    <row r="1104" spans="1:11" x14ac:dyDescent="0.25">
      <c r="A1104"/>
      <c r="B1104"/>
      <c r="K1104" s="20"/>
    </row>
    <row r="1105" spans="1:11" x14ac:dyDescent="0.25">
      <c r="A1105"/>
      <c r="B1105"/>
      <c r="K1105" s="20"/>
    </row>
    <row r="1106" spans="1:11" x14ac:dyDescent="0.25">
      <c r="A1106"/>
      <c r="B1106"/>
      <c r="K1106" s="20"/>
    </row>
    <row r="1107" spans="1:11" x14ac:dyDescent="0.25">
      <c r="A1107"/>
      <c r="B1107"/>
      <c r="K1107" s="20"/>
    </row>
    <row r="1108" spans="1:11" x14ac:dyDescent="0.25">
      <c r="A1108"/>
      <c r="B1108"/>
      <c r="K1108" s="20"/>
    </row>
    <row r="1109" spans="1:11" x14ac:dyDescent="0.25">
      <c r="A1109"/>
      <c r="B1109"/>
      <c r="K1109" s="20"/>
    </row>
    <row r="1110" spans="1:11" x14ac:dyDescent="0.25">
      <c r="A1110"/>
      <c r="B1110"/>
      <c r="K1110" s="20"/>
    </row>
    <row r="1111" spans="1:11" x14ac:dyDescent="0.25">
      <c r="A1111"/>
      <c r="B1111"/>
      <c r="K1111" s="20"/>
    </row>
    <row r="1112" spans="1:11" x14ac:dyDescent="0.25">
      <c r="A1112"/>
      <c r="B1112"/>
      <c r="K1112" s="20"/>
    </row>
    <row r="1113" spans="1:11" x14ac:dyDescent="0.25">
      <c r="A1113"/>
      <c r="B1113"/>
      <c r="K1113" s="20"/>
    </row>
    <row r="1114" spans="1:11" x14ac:dyDescent="0.25">
      <c r="A1114"/>
      <c r="B1114"/>
      <c r="K1114" s="20"/>
    </row>
    <row r="1115" spans="1:11" x14ac:dyDescent="0.25">
      <c r="A1115"/>
      <c r="B1115"/>
      <c r="K1115" s="20"/>
    </row>
    <row r="1116" spans="1:11" x14ac:dyDescent="0.25">
      <c r="A1116"/>
      <c r="B1116"/>
      <c r="K1116" s="20"/>
    </row>
    <row r="1117" spans="1:11" x14ac:dyDescent="0.25">
      <c r="A1117"/>
      <c r="B1117"/>
      <c r="K1117" s="20"/>
    </row>
    <row r="1118" spans="1:11" x14ac:dyDescent="0.25">
      <c r="A1118"/>
      <c r="B1118"/>
      <c r="K1118" s="20"/>
    </row>
    <row r="1119" spans="1:11" x14ac:dyDescent="0.25">
      <c r="A1119"/>
      <c r="B1119"/>
      <c r="K1119" s="20"/>
    </row>
    <row r="1120" spans="1:11" x14ac:dyDescent="0.25">
      <c r="A1120"/>
      <c r="B1120"/>
      <c r="K1120" s="20"/>
    </row>
    <row r="1121" spans="1:11" x14ac:dyDescent="0.25">
      <c r="A1121"/>
      <c r="B1121"/>
      <c r="K1121" s="20"/>
    </row>
    <row r="1122" spans="1:11" x14ac:dyDescent="0.25">
      <c r="A1122"/>
      <c r="B1122"/>
      <c r="K1122" s="20"/>
    </row>
    <row r="1123" spans="1:11" x14ac:dyDescent="0.25">
      <c r="A1123"/>
      <c r="B1123"/>
      <c r="K1123" s="20"/>
    </row>
    <row r="1124" spans="1:11" x14ac:dyDescent="0.25">
      <c r="A1124"/>
      <c r="B1124"/>
      <c r="K1124" s="20"/>
    </row>
    <row r="1125" spans="1:11" x14ac:dyDescent="0.25">
      <c r="A1125"/>
      <c r="B1125"/>
      <c r="K1125" s="20"/>
    </row>
    <row r="1126" spans="1:11" x14ac:dyDescent="0.25">
      <c r="A1126"/>
      <c r="B1126"/>
      <c r="K1126" s="20"/>
    </row>
    <row r="1127" spans="1:11" x14ac:dyDescent="0.25">
      <c r="A1127"/>
      <c r="B1127"/>
      <c r="K1127" s="20"/>
    </row>
    <row r="1128" spans="1:11" x14ac:dyDescent="0.25">
      <c r="A1128"/>
      <c r="B1128"/>
      <c r="K1128" s="20"/>
    </row>
    <row r="1129" spans="1:11" x14ac:dyDescent="0.25">
      <c r="A1129"/>
      <c r="B1129"/>
      <c r="K1129" s="20"/>
    </row>
    <row r="1130" spans="1:11" x14ac:dyDescent="0.25">
      <c r="A1130"/>
      <c r="B1130"/>
      <c r="K1130" s="20"/>
    </row>
    <row r="1131" spans="1:11" x14ac:dyDescent="0.25">
      <c r="A1131"/>
      <c r="B1131"/>
      <c r="K1131" s="20"/>
    </row>
    <row r="1132" spans="1:11" x14ac:dyDescent="0.25">
      <c r="A1132"/>
      <c r="B1132"/>
      <c r="K1132" s="20"/>
    </row>
    <row r="1133" spans="1:11" x14ac:dyDescent="0.25">
      <c r="A1133"/>
      <c r="B1133"/>
      <c r="K1133" s="20"/>
    </row>
    <row r="1134" spans="1:11" x14ac:dyDescent="0.25">
      <c r="A1134"/>
      <c r="B1134"/>
      <c r="K1134" s="20"/>
    </row>
    <row r="1135" spans="1:11" x14ac:dyDescent="0.25">
      <c r="A1135"/>
      <c r="B1135"/>
      <c r="K1135" s="20"/>
    </row>
    <row r="1136" spans="1:11" x14ac:dyDescent="0.25">
      <c r="A1136"/>
      <c r="B1136"/>
      <c r="K1136" s="20"/>
    </row>
    <row r="1137" spans="1:11" x14ac:dyDescent="0.25">
      <c r="A1137"/>
      <c r="B1137"/>
      <c r="K1137" s="20"/>
    </row>
    <row r="1138" spans="1:11" x14ac:dyDescent="0.25">
      <c r="A1138"/>
      <c r="B1138"/>
      <c r="K1138" s="20"/>
    </row>
    <row r="1139" spans="1:11" x14ac:dyDescent="0.25">
      <c r="A1139"/>
      <c r="B1139"/>
      <c r="K1139" s="20"/>
    </row>
    <row r="1140" spans="1:11" x14ac:dyDescent="0.25">
      <c r="A1140"/>
      <c r="B1140"/>
      <c r="K1140" s="20"/>
    </row>
    <row r="1141" spans="1:11" x14ac:dyDescent="0.25">
      <c r="A1141"/>
      <c r="B1141"/>
      <c r="K1141" s="20"/>
    </row>
    <row r="1142" spans="1:11" x14ac:dyDescent="0.25">
      <c r="A1142"/>
      <c r="B1142"/>
      <c r="K1142" s="20"/>
    </row>
    <row r="1143" spans="1:11" x14ac:dyDescent="0.25">
      <c r="A1143"/>
      <c r="B1143"/>
      <c r="K1143" s="20"/>
    </row>
    <row r="1144" spans="1:11" x14ac:dyDescent="0.25">
      <c r="A1144"/>
      <c r="B1144"/>
      <c r="K1144" s="20"/>
    </row>
    <row r="1145" spans="1:11" x14ac:dyDescent="0.25">
      <c r="A1145"/>
      <c r="B1145"/>
      <c r="K1145" s="20"/>
    </row>
    <row r="1146" spans="1:11" x14ac:dyDescent="0.25">
      <c r="A1146"/>
      <c r="B1146"/>
      <c r="K1146" s="20"/>
    </row>
    <row r="1147" spans="1:11" x14ac:dyDescent="0.25">
      <c r="A1147"/>
      <c r="B1147"/>
      <c r="K1147" s="20"/>
    </row>
    <row r="1148" spans="1:11" x14ac:dyDescent="0.25">
      <c r="A1148"/>
      <c r="B1148"/>
      <c r="K1148" s="20"/>
    </row>
    <row r="1149" spans="1:11" x14ac:dyDescent="0.25">
      <c r="A1149"/>
      <c r="B1149"/>
      <c r="K1149" s="20"/>
    </row>
    <row r="1150" spans="1:11" x14ac:dyDescent="0.25">
      <c r="A1150"/>
      <c r="B1150"/>
      <c r="K1150" s="20"/>
    </row>
    <row r="1151" spans="1:11" x14ac:dyDescent="0.25">
      <c r="A1151"/>
      <c r="B1151"/>
      <c r="K1151" s="20"/>
    </row>
    <row r="1152" spans="1:11" x14ac:dyDescent="0.25">
      <c r="A1152"/>
      <c r="B1152"/>
      <c r="K1152" s="20"/>
    </row>
    <row r="1153" spans="1:11" x14ac:dyDescent="0.25">
      <c r="A1153"/>
      <c r="B1153"/>
      <c r="K1153" s="20"/>
    </row>
    <row r="1154" spans="1:11" x14ac:dyDescent="0.25">
      <c r="A1154"/>
      <c r="B1154"/>
      <c r="K1154" s="20"/>
    </row>
    <row r="1155" spans="1:11" x14ac:dyDescent="0.25">
      <c r="A1155"/>
      <c r="B1155"/>
      <c r="K1155" s="20"/>
    </row>
    <row r="1156" spans="1:11" x14ac:dyDescent="0.25">
      <c r="A1156"/>
      <c r="B1156"/>
      <c r="K1156" s="20"/>
    </row>
    <row r="1157" spans="1:11" x14ac:dyDescent="0.25">
      <c r="A1157"/>
      <c r="B1157"/>
      <c r="K1157" s="20"/>
    </row>
    <row r="1158" spans="1:11" x14ac:dyDescent="0.25">
      <c r="A1158"/>
      <c r="B1158"/>
      <c r="K1158" s="20"/>
    </row>
    <row r="1159" spans="1:11" x14ac:dyDescent="0.25">
      <c r="A1159"/>
      <c r="B1159"/>
      <c r="K1159" s="20"/>
    </row>
    <row r="1160" spans="1:11" x14ac:dyDescent="0.25">
      <c r="A1160"/>
      <c r="B1160"/>
      <c r="K1160" s="20"/>
    </row>
    <row r="1161" spans="1:11" x14ac:dyDescent="0.25">
      <c r="A1161"/>
      <c r="B1161"/>
      <c r="K1161" s="20"/>
    </row>
    <row r="1162" spans="1:11" x14ac:dyDescent="0.25">
      <c r="A1162"/>
      <c r="B1162"/>
      <c r="K1162" s="20"/>
    </row>
    <row r="1163" spans="1:11" x14ac:dyDescent="0.25">
      <c r="A1163"/>
      <c r="B1163"/>
      <c r="K1163" s="20"/>
    </row>
    <row r="1164" spans="1:11" x14ac:dyDescent="0.25">
      <c r="A1164"/>
      <c r="B1164"/>
      <c r="K1164" s="20"/>
    </row>
    <row r="1165" spans="1:11" x14ac:dyDescent="0.25">
      <c r="A1165"/>
      <c r="B1165"/>
      <c r="K1165" s="20"/>
    </row>
    <row r="1166" spans="1:11" x14ac:dyDescent="0.25">
      <c r="A1166"/>
      <c r="B1166"/>
      <c r="K1166" s="20"/>
    </row>
    <row r="1167" spans="1:11" x14ac:dyDescent="0.25">
      <c r="A1167"/>
      <c r="B1167"/>
      <c r="K1167" s="20"/>
    </row>
    <row r="1168" spans="1:11" x14ac:dyDescent="0.25">
      <c r="A1168"/>
      <c r="B1168"/>
      <c r="K1168" s="20"/>
    </row>
    <row r="1169" spans="1:11" x14ac:dyDescent="0.25">
      <c r="A1169"/>
      <c r="B1169"/>
      <c r="K1169" s="20"/>
    </row>
    <row r="1170" spans="1:11" x14ac:dyDescent="0.25">
      <c r="A1170"/>
      <c r="B1170"/>
      <c r="K1170" s="20"/>
    </row>
    <row r="1171" spans="1:11" x14ac:dyDescent="0.25">
      <c r="A1171"/>
      <c r="B1171"/>
      <c r="K1171" s="20"/>
    </row>
    <row r="1172" spans="1:11" x14ac:dyDescent="0.25">
      <c r="A1172"/>
      <c r="B1172"/>
      <c r="K1172" s="20"/>
    </row>
    <row r="1173" spans="1:11" x14ac:dyDescent="0.25">
      <c r="A1173"/>
      <c r="B1173"/>
      <c r="K1173" s="20"/>
    </row>
    <row r="1174" spans="1:11" x14ac:dyDescent="0.25">
      <c r="A1174"/>
      <c r="B1174"/>
      <c r="K1174" s="20"/>
    </row>
    <row r="1175" spans="1:11" x14ac:dyDescent="0.25">
      <c r="A1175"/>
      <c r="B1175"/>
      <c r="K1175" s="20"/>
    </row>
    <row r="1176" spans="1:11" x14ac:dyDescent="0.25">
      <c r="A1176"/>
      <c r="B1176"/>
      <c r="K1176" s="20"/>
    </row>
    <row r="1177" spans="1:11" x14ac:dyDescent="0.25">
      <c r="A1177"/>
      <c r="B1177"/>
      <c r="K1177" s="20"/>
    </row>
    <row r="1178" spans="1:11" x14ac:dyDescent="0.25">
      <c r="A1178"/>
      <c r="B1178"/>
      <c r="K1178" s="20"/>
    </row>
    <row r="1179" spans="1:11" x14ac:dyDescent="0.25">
      <c r="A1179"/>
      <c r="B1179"/>
      <c r="K1179" s="20"/>
    </row>
    <row r="1180" spans="1:11" x14ac:dyDescent="0.25">
      <c r="A1180"/>
      <c r="B1180"/>
      <c r="K1180" s="20"/>
    </row>
    <row r="1181" spans="1:11" x14ac:dyDescent="0.25">
      <c r="A1181"/>
      <c r="B1181"/>
      <c r="K1181" s="20"/>
    </row>
    <row r="1182" spans="1:11" x14ac:dyDescent="0.25">
      <c r="A1182"/>
      <c r="B1182"/>
      <c r="K1182" s="20"/>
    </row>
    <row r="1183" spans="1:11" x14ac:dyDescent="0.25">
      <c r="A1183"/>
      <c r="B1183"/>
      <c r="K1183" s="20"/>
    </row>
    <row r="1184" spans="1:11" x14ac:dyDescent="0.25">
      <c r="A1184"/>
      <c r="B1184"/>
      <c r="K1184" s="20"/>
    </row>
    <row r="1185" spans="1:11" x14ac:dyDescent="0.25">
      <c r="A1185"/>
      <c r="B1185"/>
      <c r="K1185" s="20"/>
    </row>
    <row r="1186" spans="1:11" x14ac:dyDescent="0.25">
      <c r="A1186"/>
      <c r="B1186"/>
      <c r="K1186" s="20"/>
    </row>
    <row r="1187" spans="1:11" x14ac:dyDescent="0.25">
      <c r="A1187"/>
      <c r="B1187"/>
      <c r="K1187" s="20"/>
    </row>
    <row r="1188" spans="1:11" x14ac:dyDescent="0.25">
      <c r="A1188"/>
      <c r="B1188"/>
      <c r="K1188" s="20"/>
    </row>
    <row r="1189" spans="1:11" x14ac:dyDescent="0.25">
      <c r="A1189"/>
      <c r="B1189"/>
      <c r="K1189" s="20"/>
    </row>
    <row r="1190" spans="1:11" x14ac:dyDescent="0.25">
      <c r="A1190"/>
      <c r="B1190"/>
      <c r="K1190" s="20"/>
    </row>
    <row r="1191" spans="1:11" x14ac:dyDescent="0.25">
      <c r="A1191"/>
      <c r="B1191"/>
      <c r="K1191" s="20"/>
    </row>
    <row r="1192" spans="1:11" x14ac:dyDescent="0.25">
      <c r="A1192"/>
      <c r="B1192"/>
      <c r="K1192" s="20"/>
    </row>
    <row r="1193" spans="1:11" x14ac:dyDescent="0.25">
      <c r="A1193"/>
      <c r="B1193"/>
      <c r="K1193" s="20"/>
    </row>
    <row r="1194" spans="1:11" x14ac:dyDescent="0.25">
      <c r="A1194"/>
      <c r="B1194"/>
      <c r="K1194" s="20"/>
    </row>
    <row r="1195" spans="1:11" x14ac:dyDescent="0.25">
      <c r="A1195"/>
      <c r="B1195"/>
      <c r="K1195" s="20"/>
    </row>
    <row r="1196" spans="1:11" x14ac:dyDescent="0.25">
      <c r="A1196"/>
      <c r="B1196"/>
      <c r="K1196" s="20"/>
    </row>
    <row r="1197" spans="1:11" x14ac:dyDescent="0.25">
      <c r="A1197"/>
      <c r="B1197"/>
      <c r="K1197" s="20"/>
    </row>
    <row r="1198" spans="1:11" x14ac:dyDescent="0.25">
      <c r="A1198"/>
      <c r="B1198"/>
      <c r="K1198" s="20"/>
    </row>
    <row r="1199" spans="1:11" x14ac:dyDescent="0.25">
      <c r="A1199"/>
      <c r="B1199"/>
      <c r="K1199" s="20"/>
    </row>
    <row r="1200" spans="1:11" x14ac:dyDescent="0.25">
      <c r="A1200"/>
      <c r="B1200"/>
      <c r="K1200" s="20"/>
    </row>
    <row r="1201" spans="1:11" x14ac:dyDescent="0.25">
      <c r="A1201"/>
      <c r="B1201"/>
      <c r="K1201" s="20"/>
    </row>
    <row r="1202" spans="1:11" x14ac:dyDescent="0.25">
      <c r="A1202"/>
      <c r="B1202"/>
      <c r="K1202" s="20"/>
    </row>
    <row r="1203" spans="1:11" x14ac:dyDescent="0.25">
      <c r="A1203"/>
      <c r="B1203"/>
      <c r="K1203" s="20"/>
    </row>
    <row r="1204" spans="1:11" x14ac:dyDescent="0.25">
      <c r="A1204"/>
      <c r="B1204"/>
      <c r="K1204" s="20"/>
    </row>
    <row r="1205" spans="1:11" x14ac:dyDescent="0.25">
      <c r="A1205"/>
      <c r="B1205"/>
      <c r="K1205" s="20"/>
    </row>
    <row r="1206" spans="1:11" x14ac:dyDescent="0.25">
      <c r="A1206"/>
      <c r="B1206"/>
      <c r="K1206" s="20"/>
    </row>
    <row r="1207" spans="1:11" x14ac:dyDescent="0.25">
      <c r="A1207"/>
      <c r="B1207"/>
      <c r="K1207" s="20"/>
    </row>
    <row r="1208" spans="1:11" x14ac:dyDescent="0.25">
      <c r="A1208"/>
      <c r="B1208"/>
      <c r="K1208" s="20"/>
    </row>
    <row r="1209" spans="1:11" x14ac:dyDescent="0.25">
      <c r="A1209"/>
      <c r="B1209"/>
      <c r="K1209" s="20"/>
    </row>
    <row r="1210" spans="1:11" x14ac:dyDescent="0.25">
      <c r="A1210"/>
      <c r="B1210"/>
      <c r="K1210" s="20"/>
    </row>
    <row r="1211" spans="1:11" x14ac:dyDescent="0.25">
      <c r="A1211"/>
      <c r="B1211"/>
      <c r="K1211" s="20"/>
    </row>
    <row r="1212" spans="1:11" x14ac:dyDescent="0.25">
      <c r="A1212"/>
      <c r="B1212"/>
      <c r="K1212" s="20"/>
    </row>
    <row r="1213" spans="1:11" x14ac:dyDescent="0.25">
      <c r="A1213"/>
      <c r="B1213"/>
      <c r="K1213" s="20"/>
    </row>
    <row r="1214" spans="1:11" x14ac:dyDescent="0.25">
      <c r="A1214"/>
      <c r="B1214"/>
      <c r="K1214" s="20"/>
    </row>
    <row r="1215" spans="1:11" x14ac:dyDescent="0.25">
      <c r="A1215"/>
      <c r="B1215"/>
      <c r="K1215" s="20"/>
    </row>
    <row r="1216" spans="1:11" x14ac:dyDescent="0.25">
      <c r="A1216"/>
      <c r="B1216"/>
      <c r="K1216" s="20"/>
    </row>
    <row r="1217" spans="1:11" x14ac:dyDescent="0.25">
      <c r="A1217"/>
      <c r="B1217"/>
      <c r="K1217" s="20"/>
    </row>
    <row r="1218" spans="1:11" x14ac:dyDescent="0.25">
      <c r="A1218"/>
      <c r="B1218"/>
      <c r="K1218" s="20"/>
    </row>
    <row r="1219" spans="1:11" x14ac:dyDescent="0.25">
      <c r="A1219"/>
      <c r="B1219"/>
      <c r="K1219" s="20"/>
    </row>
    <row r="1220" spans="1:11" x14ac:dyDescent="0.25">
      <c r="A1220"/>
      <c r="B1220"/>
      <c r="K1220" s="20"/>
    </row>
    <row r="1221" spans="1:11" x14ac:dyDescent="0.25">
      <c r="A1221"/>
      <c r="B1221"/>
      <c r="K1221" s="20"/>
    </row>
    <row r="1222" spans="1:11" x14ac:dyDescent="0.25">
      <c r="A1222"/>
      <c r="B1222"/>
      <c r="K1222" s="20"/>
    </row>
    <row r="1223" spans="1:11" x14ac:dyDescent="0.25">
      <c r="A1223"/>
      <c r="B1223"/>
      <c r="K1223" s="20"/>
    </row>
    <row r="1224" spans="1:11" x14ac:dyDescent="0.25">
      <c r="A1224"/>
      <c r="B1224"/>
      <c r="K1224" s="20"/>
    </row>
    <row r="1225" spans="1:11" x14ac:dyDescent="0.25">
      <c r="A1225"/>
      <c r="B1225"/>
      <c r="K1225" s="20"/>
    </row>
    <row r="1226" spans="1:11" x14ac:dyDescent="0.25">
      <c r="A1226"/>
      <c r="B1226"/>
      <c r="K1226" s="20"/>
    </row>
    <row r="1227" spans="1:11" x14ac:dyDescent="0.25">
      <c r="A1227"/>
      <c r="B1227"/>
      <c r="K1227" s="20"/>
    </row>
    <row r="1228" spans="1:11" x14ac:dyDescent="0.25">
      <c r="A1228"/>
      <c r="B1228"/>
      <c r="K1228" s="20"/>
    </row>
    <row r="1229" spans="1:11" x14ac:dyDescent="0.25">
      <c r="A1229"/>
      <c r="B1229"/>
      <c r="K1229" s="20"/>
    </row>
    <row r="1230" spans="1:11" x14ac:dyDescent="0.25">
      <c r="A1230"/>
      <c r="B1230"/>
      <c r="K1230" s="20"/>
    </row>
    <row r="1231" spans="1:11" x14ac:dyDescent="0.25">
      <c r="A1231"/>
      <c r="B1231"/>
      <c r="K1231" s="20"/>
    </row>
    <row r="1232" spans="1:11" x14ac:dyDescent="0.25">
      <c r="A1232"/>
      <c r="B1232"/>
      <c r="K1232" s="20"/>
    </row>
    <row r="1233" spans="1:11" x14ac:dyDescent="0.25">
      <c r="A1233"/>
      <c r="B1233"/>
      <c r="K1233" s="20"/>
    </row>
    <row r="1234" spans="1:11" x14ac:dyDescent="0.25">
      <c r="A1234"/>
      <c r="B1234"/>
      <c r="K1234" s="20"/>
    </row>
    <row r="1235" spans="1:11" x14ac:dyDescent="0.25">
      <c r="A1235"/>
      <c r="B1235"/>
      <c r="K1235" s="20"/>
    </row>
    <row r="1236" spans="1:11" x14ac:dyDescent="0.25">
      <c r="A1236"/>
      <c r="B1236"/>
      <c r="K1236" s="20"/>
    </row>
    <row r="1237" spans="1:11" x14ac:dyDescent="0.25">
      <c r="A1237"/>
      <c r="B1237"/>
      <c r="K1237" s="20"/>
    </row>
    <row r="1238" spans="1:11" x14ac:dyDescent="0.25">
      <c r="A1238"/>
      <c r="B1238"/>
      <c r="K1238" s="20"/>
    </row>
    <row r="1239" spans="1:11" x14ac:dyDescent="0.25">
      <c r="A1239"/>
      <c r="B1239"/>
      <c r="K1239" s="20"/>
    </row>
    <row r="1240" spans="1:11" x14ac:dyDescent="0.25">
      <c r="A1240"/>
      <c r="B1240"/>
      <c r="K1240" s="20"/>
    </row>
    <row r="1241" spans="1:11" x14ac:dyDescent="0.25">
      <c r="A1241"/>
      <c r="B1241"/>
      <c r="K1241" s="20"/>
    </row>
    <row r="1242" spans="1:11" x14ac:dyDescent="0.25">
      <c r="A1242"/>
      <c r="B1242"/>
      <c r="K1242" s="20"/>
    </row>
    <row r="1243" spans="1:11" x14ac:dyDescent="0.25">
      <c r="A1243"/>
      <c r="B1243"/>
      <c r="K1243" s="20"/>
    </row>
    <row r="1244" spans="1:11" x14ac:dyDescent="0.25">
      <c r="A1244"/>
      <c r="B1244"/>
      <c r="K1244" s="20"/>
    </row>
    <row r="1245" spans="1:11" x14ac:dyDescent="0.25">
      <c r="A1245"/>
      <c r="B1245"/>
      <c r="K1245" s="20"/>
    </row>
    <row r="1246" spans="1:11" x14ac:dyDescent="0.25">
      <c r="A1246"/>
      <c r="B1246"/>
      <c r="K1246" s="20"/>
    </row>
    <row r="1247" spans="1:11" x14ac:dyDescent="0.25">
      <c r="A1247"/>
      <c r="B1247"/>
      <c r="K1247" s="20"/>
    </row>
    <row r="1248" spans="1:11" x14ac:dyDescent="0.25">
      <c r="A1248"/>
      <c r="B1248"/>
      <c r="K1248" s="20"/>
    </row>
    <row r="1249" spans="1:11" x14ac:dyDescent="0.25">
      <c r="A1249"/>
      <c r="B1249"/>
      <c r="K1249" s="20"/>
    </row>
    <row r="1250" spans="1:11" x14ac:dyDescent="0.25">
      <c r="A1250"/>
      <c r="B1250"/>
      <c r="K1250" s="20"/>
    </row>
    <row r="1251" spans="1:11" x14ac:dyDescent="0.25">
      <c r="A1251"/>
      <c r="B1251"/>
      <c r="K1251" s="20"/>
    </row>
    <row r="1252" spans="1:11" x14ac:dyDescent="0.25">
      <c r="A1252"/>
      <c r="B1252"/>
      <c r="K1252" s="20"/>
    </row>
    <row r="1253" spans="1:11" x14ac:dyDescent="0.25">
      <c r="A1253"/>
      <c r="B1253"/>
      <c r="K1253" s="20"/>
    </row>
    <row r="1254" spans="1:11" x14ac:dyDescent="0.25">
      <c r="A1254"/>
      <c r="B1254"/>
      <c r="K1254" s="20"/>
    </row>
    <row r="1255" spans="1:11" x14ac:dyDescent="0.25">
      <c r="A1255"/>
      <c r="B1255"/>
      <c r="K1255" s="20"/>
    </row>
    <row r="1256" spans="1:11" x14ac:dyDescent="0.25">
      <c r="A1256"/>
      <c r="B1256"/>
      <c r="K1256" s="20"/>
    </row>
    <row r="1257" spans="1:11" x14ac:dyDescent="0.25">
      <c r="A1257"/>
      <c r="B1257"/>
      <c r="K1257" s="20"/>
    </row>
    <row r="1258" spans="1:11" x14ac:dyDescent="0.25">
      <c r="A1258"/>
      <c r="B1258"/>
      <c r="K1258" s="20"/>
    </row>
    <row r="1259" spans="1:11" x14ac:dyDescent="0.25">
      <c r="A1259"/>
      <c r="B1259"/>
      <c r="K1259" s="20"/>
    </row>
    <row r="1260" spans="1:11" x14ac:dyDescent="0.25">
      <c r="A1260"/>
      <c r="B1260"/>
      <c r="K1260" s="20"/>
    </row>
    <row r="1261" spans="1:11" x14ac:dyDescent="0.25">
      <c r="A1261"/>
      <c r="B1261"/>
      <c r="K1261" s="20"/>
    </row>
    <row r="1262" spans="1:11" x14ac:dyDescent="0.25">
      <c r="A1262"/>
      <c r="B1262"/>
      <c r="K1262" s="20"/>
    </row>
    <row r="1263" spans="1:11" x14ac:dyDescent="0.25">
      <c r="A1263"/>
      <c r="B1263"/>
      <c r="K1263" s="20"/>
    </row>
    <row r="1264" spans="1:11" x14ac:dyDescent="0.25">
      <c r="A1264"/>
      <c r="B1264"/>
      <c r="K1264" s="20"/>
    </row>
    <row r="1265" spans="1:11" x14ac:dyDescent="0.25">
      <c r="A1265"/>
      <c r="B1265"/>
      <c r="K1265" s="20"/>
    </row>
    <row r="1266" spans="1:11" x14ac:dyDescent="0.25">
      <c r="A1266"/>
      <c r="B1266"/>
      <c r="K1266" s="20"/>
    </row>
    <row r="1267" spans="1:11" x14ac:dyDescent="0.25">
      <c r="A1267"/>
      <c r="B1267"/>
      <c r="K1267" s="20"/>
    </row>
    <row r="1268" spans="1:11" x14ac:dyDescent="0.25">
      <c r="A1268"/>
      <c r="B1268"/>
      <c r="K1268" s="20"/>
    </row>
    <row r="1269" spans="1:11" x14ac:dyDescent="0.25">
      <c r="A1269"/>
      <c r="B1269"/>
      <c r="K1269" s="20"/>
    </row>
    <row r="1270" spans="1:11" x14ac:dyDescent="0.25">
      <c r="A1270"/>
      <c r="B1270"/>
      <c r="K1270" s="20"/>
    </row>
    <row r="1271" spans="1:11" x14ac:dyDescent="0.25">
      <c r="A1271"/>
      <c r="B1271"/>
      <c r="K1271" s="20"/>
    </row>
    <row r="1272" spans="1:11" x14ac:dyDescent="0.25">
      <c r="A1272"/>
      <c r="B1272"/>
      <c r="K1272" s="20"/>
    </row>
    <row r="1273" spans="1:11" x14ac:dyDescent="0.25">
      <c r="A1273"/>
      <c r="B1273"/>
      <c r="K1273" s="20"/>
    </row>
    <row r="1274" spans="1:11" x14ac:dyDescent="0.25">
      <c r="A1274"/>
      <c r="B1274"/>
      <c r="K1274" s="20"/>
    </row>
    <row r="1275" spans="1:11" x14ac:dyDescent="0.25">
      <c r="A1275"/>
      <c r="B1275"/>
      <c r="K1275" s="20"/>
    </row>
    <row r="1276" spans="1:11" x14ac:dyDescent="0.25">
      <c r="A1276"/>
      <c r="B1276"/>
      <c r="K1276" s="20"/>
    </row>
    <row r="1277" spans="1:11" x14ac:dyDescent="0.25">
      <c r="A1277"/>
      <c r="B1277"/>
      <c r="K1277" s="20"/>
    </row>
    <row r="1278" spans="1:11" x14ac:dyDescent="0.25">
      <c r="A1278"/>
      <c r="B1278"/>
      <c r="K1278" s="20"/>
    </row>
    <row r="1279" spans="1:11" x14ac:dyDescent="0.25">
      <c r="A1279"/>
      <c r="B1279"/>
      <c r="K1279" s="20"/>
    </row>
    <row r="1280" spans="1:11" x14ac:dyDescent="0.25">
      <c r="A1280"/>
      <c r="B1280"/>
      <c r="K1280" s="20"/>
    </row>
    <row r="1281" spans="1:11" x14ac:dyDescent="0.25">
      <c r="A1281"/>
      <c r="B1281"/>
      <c r="K1281" s="20"/>
    </row>
    <row r="1282" spans="1:11" x14ac:dyDescent="0.25">
      <c r="A1282"/>
      <c r="B1282"/>
      <c r="K1282" s="20"/>
    </row>
    <row r="1283" spans="1:11" x14ac:dyDescent="0.25">
      <c r="A1283"/>
      <c r="B1283"/>
      <c r="K1283" s="20"/>
    </row>
    <row r="1284" spans="1:11" x14ac:dyDescent="0.25">
      <c r="A1284"/>
      <c r="B1284"/>
      <c r="K1284" s="20"/>
    </row>
    <row r="1285" spans="1:11" x14ac:dyDescent="0.25">
      <c r="A1285"/>
      <c r="B1285"/>
      <c r="K1285" s="20"/>
    </row>
    <row r="1286" spans="1:11" x14ac:dyDescent="0.25">
      <c r="A1286"/>
      <c r="B1286"/>
      <c r="K1286" s="20"/>
    </row>
    <row r="1287" spans="1:11" x14ac:dyDescent="0.25">
      <c r="A1287"/>
      <c r="B1287"/>
      <c r="K1287" s="20"/>
    </row>
    <row r="1288" spans="1:11" x14ac:dyDescent="0.25">
      <c r="A1288"/>
      <c r="B1288"/>
      <c r="K1288" s="20"/>
    </row>
    <row r="1289" spans="1:11" x14ac:dyDescent="0.25">
      <c r="A1289"/>
      <c r="B1289"/>
      <c r="K1289" s="20"/>
    </row>
    <row r="1290" spans="1:11" x14ac:dyDescent="0.25">
      <c r="A1290"/>
      <c r="B1290"/>
      <c r="K1290" s="20"/>
    </row>
    <row r="1291" spans="1:11" x14ac:dyDescent="0.25">
      <c r="A1291"/>
      <c r="B1291"/>
      <c r="K1291" s="20"/>
    </row>
    <row r="1292" spans="1:11" x14ac:dyDescent="0.25">
      <c r="A1292"/>
      <c r="B1292"/>
      <c r="K1292" s="20"/>
    </row>
    <row r="1293" spans="1:11" x14ac:dyDescent="0.25">
      <c r="A1293"/>
      <c r="B1293"/>
      <c r="K1293" s="20"/>
    </row>
    <row r="1294" spans="1:11" x14ac:dyDescent="0.25">
      <c r="A1294"/>
      <c r="B1294"/>
      <c r="K1294" s="20"/>
    </row>
    <row r="1295" spans="1:11" x14ac:dyDescent="0.25">
      <c r="A1295"/>
      <c r="B1295"/>
      <c r="K1295" s="20"/>
    </row>
    <row r="1296" spans="1:11" x14ac:dyDescent="0.25">
      <c r="A1296"/>
      <c r="B1296"/>
      <c r="K1296" s="20"/>
    </row>
    <row r="1297" spans="1:11" x14ac:dyDescent="0.25">
      <c r="A1297"/>
      <c r="B1297"/>
      <c r="K1297" s="20"/>
    </row>
    <row r="1298" spans="1:11" x14ac:dyDescent="0.25">
      <c r="A1298"/>
      <c r="B1298"/>
      <c r="K1298" s="20"/>
    </row>
    <row r="1299" spans="1:11" x14ac:dyDescent="0.25">
      <c r="A1299"/>
      <c r="B1299"/>
      <c r="K1299" s="20"/>
    </row>
    <row r="1300" spans="1:11" x14ac:dyDescent="0.25">
      <c r="A1300"/>
      <c r="B1300"/>
      <c r="K1300" s="20"/>
    </row>
    <row r="1301" spans="1:11" x14ac:dyDescent="0.25">
      <c r="A1301"/>
      <c r="B1301"/>
      <c r="K1301" s="20"/>
    </row>
    <row r="1302" spans="1:11" x14ac:dyDescent="0.25">
      <c r="A1302"/>
      <c r="B1302"/>
      <c r="K1302" s="20"/>
    </row>
    <row r="1303" spans="1:11" x14ac:dyDescent="0.25">
      <c r="A1303"/>
      <c r="B1303"/>
      <c r="K1303" s="20"/>
    </row>
    <row r="1304" spans="1:11" x14ac:dyDescent="0.25">
      <c r="A1304"/>
      <c r="B1304"/>
      <c r="K1304" s="20"/>
    </row>
    <row r="1305" spans="1:11" x14ac:dyDescent="0.25">
      <c r="A1305"/>
      <c r="B1305"/>
      <c r="K1305" s="20"/>
    </row>
    <row r="1306" spans="1:11" x14ac:dyDescent="0.25">
      <c r="A1306"/>
      <c r="B1306"/>
      <c r="K1306" s="20"/>
    </row>
    <row r="1307" spans="1:11" x14ac:dyDescent="0.25">
      <c r="A1307"/>
      <c r="B1307"/>
      <c r="K1307" s="20"/>
    </row>
    <row r="1308" spans="1:11" x14ac:dyDescent="0.25">
      <c r="A1308"/>
      <c r="B1308"/>
      <c r="K1308" s="20"/>
    </row>
    <row r="1309" spans="1:11" x14ac:dyDescent="0.25">
      <c r="A1309"/>
      <c r="B1309"/>
      <c r="K1309" s="20"/>
    </row>
    <row r="1310" spans="1:11" x14ac:dyDescent="0.25">
      <c r="A1310"/>
      <c r="B1310"/>
      <c r="K1310" s="20"/>
    </row>
    <row r="1311" spans="1:11" x14ac:dyDescent="0.25">
      <c r="A1311"/>
      <c r="B1311"/>
      <c r="K1311" s="20"/>
    </row>
    <row r="1312" spans="1:11" x14ac:dyDescent="0.25">
      <c r="A1312"/>
      <c r="B1312"/>
      <c r="K1312" s="20"/>
    </row>
    <row r="1313" spans="1:11" x14ac:dyDescent="0.25">
      <c r="A1313"/>
      <c r="B1313"/>
      <c r="K1313" s="20"/>
    </row>
    <row r="1314" spans="1:11" x14ac:dyDescent="0.25">
      <c r="A1314"/>
      <c r="B1314"/>
      <c r="K1314" s="20"/>
    </row>
    <row r="1315" spans="1:11" x14ac:dyDescent="0.25">
      <c r="A1315"/>
      <c r="B1315"/>
      <c r="K1315" s="20"/>
    </row>
    <row r="1316" spans="1:11" x14ac:dyDescent="0.25">
      <c r="A1316"/>
      <c r="B1316"/>
      <c r="K1316" s="20"/>
    </row>
    <row r="1317" spans="1:11" x14ac:dyDescent="0.25">
      <c r="A1317"/>
      <c r="B1317"/>
      <c r="K1317" s="20"/>
    </row>
    <row r="1318" spans="1:11" x14ac:dyDescent="0.25">
      <c r="A1318"/>
      <c r="B1318"/>
      <c r="K1318" s="20"/>
    </row>
    <row r="1319" spans="1:11" x14ac:dyDescent="0.25">
      <c r="A1319"/>
      <c r="B1319"/>
      <c r="K1319" s="20"/>
    </row>
    <row r="1320" spans="1:11" x14ac:dyDescent="0.25">
      <c r="A1320"/>
      <c r="B1320"/>
      <c r="K1320" s="20"/>
    </row>
    <row r="1321" spans="1:11" x14ac:dyDescent="0.25">
      <c r="A1321"/>
      <c r="B1321"/>
      <c r="K1321" s="20"/>
    </row>
    <row r="1322" spans="1:11" x14ac:dyDescent="0.25">
      <c r="A1322"/>
      <c r="B1322"/>
      <c r="K1322" s="20"/>
    </row>
    <row r="1323" spans="1:11" x14ac:dyDescent="0.25">
      <c r="A1323"/>
      <c r="B1323"/>
      <c r="K1323" s="20"/>
    </row>
    <row r="1324" spans="1:11" x14ac:dyDescent="0.25">
      <c r="A1324"/>
      <c r="B1324"/>
      <c r="K1324" s="20"/>
    </row>
    <row r="1325" spans="1:11" x14ac:dyDescent="0.25">
      <c r="A1325"/>
      <c r="B1325"/>
      <c r="K1325" s="20"/>
    </row>
    <row r="1326" spans="1:11" x14ac:dyDescent="0.25">
      <c r="A1326"/>
      <c r="B1326"/>
      <c r="K1326" s="20"/>
    </row>
    <row r="1327" spans="1:11" x14ac:dyDescent="0.25">
      <c r="A1327"/>
      <c r="B1327"/>
      <c r="K1327" s="20"/>
    </row>
    <row r="1328" spans="1:11" x14ac:dyDescent="0.25">
      <c r="A1328"/>
      <c r="B1328"/>
      <c r="K1328" s="20"/>
    </row>
    <row r="1329" spans="1:11" x14ac:dyDescent="0.25">
      <c r="A1329"/>
      <c r="B1329"/>
      <c r="K1329" s="20"/>
    </row>
    <row r="1330" spans="1:11" x14ac:dyDescent="0.25">
      <c r="A1330"/>
      <c r="B1330"/>
      <c r="K1330" s="20"/>
    </row>
    <row r="1331" spans="1:11" x14ac:dyDescent="0.25">
      <c r="A1331"/>
      <c r="B1331"/>
      <c r="K1331" s="20"/>
    </row>
    <row r="1332" spans="1:11" x14ac:dyDescent="0.25">
      <c r="A1332"/>
      <c r="B1332"/>
      <c r="K1332" s="20"/>
    </row>
    <row r="1333" spans="1:11" x14ac:dyDescent="0.25">
      <c r="A1333"/>
      <c r="B1333"/>
      <c r="K1333" s="20"/>
    </row>
    <row r="1334" spans="1:11" x14ac:dyDescent="0.25">
      <c r="A1334"/>
      <c r="B1334"/>
      <c r="K1334" s="20"/>
    </row>
    <row r="1335" spans="1:11" x14ac:dyDescent="0.25">
      <c r="A1335"/>
      <c r="B1335"/>
      <c r="K1335" s="20"/>
    </row>
    <row r="1336" spans="1:11" x14ac:dyDescent="0.25">
      <c r="A1336"/>
      <c r="B1336"/>
      <c r="K1336" s="20"/>
    </row>
    <row r="1337" spans="1:11" x14ac:dyDescent="0.25">
      <c r="A1337"/>
      <c r="B1337"/>
      <c r="K1337" s="20"/>
    </row>
    <row r="1338" spans="1:11" x14ac:dyDescent="0.25">
      <c r="A1338"/>
      <c r="B1338"/>
      <c r="K1338" s="20"/>
    </row>
    <row r="1339" spans="1:11" x14ac:dyDescent="0.25">
      <c r="A1339"/>
      <c r="B1339"/>
      <c r="K1339" s="20"/>
    </row>
    <row r="1340" spans="1:11" x14ac:dyDescent="0.25">
      <c r="A1340"/>
      <c r="B1340"/>
      <c r="K1340" s="20"/>
    </row>
    <row r="1341" spans="1:11" x14ac:dyDescent="0.25">
      <c r="A1341"/>
      <c r="B1341"/>
      <c r="K1341" s="20"/>
    </row>
    <row r="1342" spans="1:11" x14ac:dyDescent="0.25">
      <c r="A1342"/>
      <c r="B1342"/>
      <c r="K1342" s="20"/>
    </row>
    <row r="1343" spans="1:11" x14ac:dyDescent="0.25">
      <c r="A1343"/>
      <c r="B1343"/>
      <c r="K1343" s="20"/>
    </row>
    <row r="1344" spans="1:11" x14ac:dyDescent="0.25">
      <c r="A1344"/>
      <c r="B1344"/>
      <c r="K1344" s="20"/>
    </row>
    <row r="1345" spans="1:11" x14ac:dyDescent="0.25">
      <c r="A1345"/>
      <c r="B1345"/>
      <c r="K1345" s="20"/>
    </row>
    <row r="1346" spans="1:11" x14ac:dyDescent="0.25">
      <c r="A1346"/>
      <c r="B1346"/>
      <c r="K1346" s="20"/>
    </row>
    <row r="1347" spans="1:11" x14ac:dyDescent="0.25">
      <c r="A1347"/>
      <c r="B1347"/>
      <c r="K1347" s="20"/>
    </row>
    <row r="1348" spans="1:11" x14ac:dyDescent="0.25">
      <c r="A1348"/>
      <c r="B1348"/>
      <c r="K1348" s="20"/>
    </row>
    <row r="1349" spans="1:11" x14ac:dyDescent="0.25">
      <c r="A1349"/>
      <c r="B1349"/>
      <c r="K1349" s="20"/>
    </row>
    <row r="1350" spans="1:11" x14ac:dyDescent="0.25">
      <c r="A1350"/>
      <c r="B1350"/>
      <c r="K1350" s="20"/>
    </row>
    <row r="1351" spans="1:11" x14ac:dyDescent="0.25">
      <c r="A1351"/>
      <c r="B1351"/>
      <c r="K1351" s="20"/>
    </row>
    <row r="1352" spans="1:11" x14ac:dyDescent="0.25">
      <c r="A1352"/>
      <c r="B1352"/>
      <c r="K1352" s="20"/>
    </row>
    <row r="1353" spans="1:11" x14ac:dyDescent="0.25">
      <c r="A1353"/>
      <c r="B1353"/>
      <c r="K1353" s="20"/>
    </row>
    <row r="1354" spans="1:11" x14ac:dyDescent="0.25">
      <c r="A1354"/>
      <c r="B1354"/>
      <c r="K1354" s="20"/>
    </row>
    <row r="1355" spans="1:11" x14ac:dyDescent="0.25">
      <c r="A1355"/>
      <c r="B1355"/>
      <c r="K1355" s="20"/>
    </row>
    <row r="1356" spans="1:11" x14ac:dyDescent="0.25">
      <c r="A1356"/>
      <c r="B1356"/>
      <c r="K1356" s="20"/>
    </row>
    <row r="1357" spans="1:11" x14ac:dyDescent="0.25">
      <c r="A1357"/>
      <c r="B1357"/>
      <c r="K1357" s="20"/>
    </row>
    <row r="1358" spans="1:11" x14ac:dyDescent="0.25">
      <c r="A1358"/>
      <c r="B1358"/>
      <c r="K1358" s="20"/>
    </row>
    <row r="1359" spans="1:11" x14ac:dyDescent="0.25">
      <c r="A1359"/>
      <c r="B1359"/>
      <c r="K1359" s="20"/>
    </row>
    <row r="1360" spans="1:11" x14ac:dyDescent="0.25">
      <c r="A1360"/>
      <c r="B1360"/>
      <c r="K1360" s="20"/>
    </row>
    <row r="1361" spans="1:11" x14ac:dyDescent="0.25">
      <c r="A1361"/>
      <c r="B1361"/>
      <c r="K1361" s="20"/>
    </row>
    <row r="1362" spans="1:11" x14ac:dyDescent="0.25">
      <c r="A1362"/>
      <c r="B1362"/>
      <c r="K1362" s="20"/>
    </row>
    <row r="1363" spans="1:11" x14ac:dyDescent="0.25">
      <c r="A1363"/>
      <c r="B1363"/>
      <c r="K1363" s="20"/>
    </row>
    <row r="1364" spans="1:11" x14ac:dyDescent="0.25">
      <c r="A1364"/>
      <c r="B1364"/>
      <c r="K1364" s="20"/>
    </row>
    <row r="1365" spans="1:11" x14ac:dyDescent="0.25">
      <c r="A1365"/>
      <c r="B1365"/>
      <c r="K1365" s="20"/>
    </row>
    <row r="1366" spans="1:11" x14ac:dyDescent="0.25">
      <c r="A1366"/>
      <c r="B1366"/>
      <c r="K1366" s="20"/>
    </row>
    <row r="1367" spans="1:11" x14ac:dyDescent="0.25">
      <c r="A1367"/>
      <c r="B1367"/>
      <c r="K1367" s="20"/>
    </row>
    <row r="1368" spans="1:11" x14ac:dyDescent="0.25">
      <c r="A1368"/>
      <c r="B1368"/>
      <c r="K1368" s="20"/>
    </row>
    <row r="1369" spans="1:11" x14ac:dyDescent="0.25">
      <c r="A1369"/>
      <c r="B1369"/>
      <c r="K1369" s="20"/>
    </row>
    <row r="1370" spans="1:11" x14ac:dyDescent="0.25">
      <c r="A1370"/>
      <c r="B1370"/>
      <c r="K1370" s="20"/>
    </row>
    <row r="1371" spans="1:11" x14ac:dyDescent="0.25">
      <c r="A1371"/>
      <c r="B1371"/>
      <c r="K1371" s="20"/>
    </row>
    <row r="1372" spans="1:11" x14ac:dyDescent="0.25">
      <c r="A1372"/>
      <c r="B1372"/>
      <c r="K1372" s="20"/>
    </row>
    <row r="1373" spans="1:11" x14ac:dyDescent="0.25">
      <c r="A1373"/>
      <c r="B1373"/>
      <c r="K1373" s="20"/>
    </row>
    <row r="1374" spans="1:11" x14ac:dyDescent="0.25">
      <c r="A1374"/>
      <c r="B1374"/>
      <c r="K1374" s="20"/>
    </row>
    <row r="1375" spans="1:11" x14ac:dyDescent="0.25">
      <c r="A1375"/>
      <c r="B1375"/>
      <c r="K1375" s="20"/>
    </row>
    <row r="1376" spans="1:11" x14ac:dyDescent="0.25">
      <c r="A1376"/>
      <c r="B1376"/>
      <c r="K1376" s="20"/>
    </row>
    <row r="1377" spans="1:11" x14ac:dyDescent="0.25">
      <c r="A1377"/>
      <c r="B1377"/>
      <c r="K1377" s="20"/>
    </row>
    <row r="1378" spans="1:11" x14ac:dyDescent="0.25">
      <c r="A1378"/>
      <c r="B1378"/>
      <c r="K1378" s="20"/>
    </row>
    <row r="1379" spans="1:11" x14ac:dyDescent="0.25">
      <c r="A1379"/>
      <c r="B1379"/>
      <c r="K1379" s="20"/>
    </row>
    <row r="1380" spans="1:11" x14ac:dyDescent="0.25">
      <c r="A1380"/>
      <c r="B1380"/>
      <c r="K1380" s="20"/>
    </row>
    <row r="1381" spans="1:11" x14ac:dyDescent="0.25">
      <c r="A1381"/>
      <c r="B1381"/>
      <c r="K1381" s="20"/>
    </row>
    <row r="1382" spans="1:11" x14ac:dyDescent="0.25">
      <c r="A1382"/>
      <c r="B1382"/>
      <c r="K1382" s="20"/>
    </row>
    <row r="1383" spans="1:11" x14ac:dyDescent="0.25">
      <c r="A1383"/>
      <c r="B1383"/>
      <c r="K1383" s="20"/>
    </row>
    <row r="1384" spans="1:11" x14ac:dyDescent="0.25">
      <c r="A1384"/>
      <c r="B1384"/>
      <c r="K1384" s="20"/>
    </row>
    <row r="1385" spans="1:11" x14ac:dyDescent="0.25">
      <c r="A1385"/>
      <c r="B1385"/>
      <c r="K1385" s="20"/>
    </row>
    <row r="1386" spans="1:11" x14ac:dyDescent="0.25">
      <c r="A1386"/>
      <c r="B1386"/>
      <c r="K1386" s="20"/>
    </row>
    <row r="1387" spans="1:11" x14ac:dyDescent="0.25">
      <c r="A1387"/>
      <c r="B1387"/>
      <c r="K1387" s="20"/>
    </row>
    <row r="1388" spans="1:11" x14ac:dyDescent="0.25">
      <c r="A1388"/>
      <c r="B1388"/>
      <c r="K1388" s="20"/>
    </row>
    <row r="1389" spans="1:11" x14ac:dyDescent="0.25">
      <c r="A1389"/>
      <c r="B1389"/>
      <c r="K1389" s="20"/>
    </row>
    <row r="1390" spans="1:11" x14ac:dyDescent="0.25">
      <c r="A1390"/>
      <c r="B1390"/>
      <c r="K1390" s="20"/>
    </row>
    <row r="1391" spans="1:11" x14ac:dyDescent="0.25">
      <c r="A1391"/>
      <c r="B1391"/>
      <c r="K1391" s="20"/>
    </row>
    <row r="1392" spans="1:11" x14ac:dyDescent="0.25">
      <c r="A1392"/>
      <c r="B1392"/>
      <c r="K1392" s="20"/>
    </row>
    <row r="1393" spans="1:11" x14ac:dyDescent="0.25">
      <c r="A1393"/>
      <c r="B1393"/>
      <c r="K1393" s="20"/>
    </row>
    <row r="1394" spans="1:11" x14ac:dyDescent="0.25">
      <c r="A1394"/>
      <c r="B1394"/>
      <c r="K1394" s="20"/>
    </row>
    <row r="1395" spans="1:11" x14ac:dyDescent="0.25">
      <c r="A1395"/>
      <c r="B1395"/>
      <c r="K1395" s="20"/>
    </row>
    <row r="1396" spans="1:11" x14ac:dyDescent="0.25">
      <c r="A1396"/>
      <c r="B1396"/>
      <c r="K1396" s="20"/>
    </row>
    <row r="1397" spans="1:11" x14ac:dyDescent="0.25">
      <c r="A1397"/>
      <c r="B1397"/>
      <c r="K1397" s="20"/>
    </row>
    <row r="1398" spans="1:11" x14ac:dyDescent="0.25">
      <c r="A1398"/>
      <c r="B1398"/>
      <c r="K1398" s="20"/>
    </row>
    <row r="1399" spans="1:11" x14ac:dyDescent="0.25">
      <c r="A1399"/>
      <c r="B1399"/>
      <c r="K1399" s="20"/>
    </row>
    <row r="1400" spans="1:11" x14ac:dyDescent="0.25">
      <c r="A1400"/>
      <c r="B1400"/>
      <c r="K1400" s="20"/>
    </row>
    <row r="1401" spans="1:11" x14ac:dyDescent="0.25">
      <c r="A1401"/>
      <c r="B1401"/>
      <c r="K1401" s="20"/>
    </row>
    <row r="1402" spans="1:11" x14ac:dyDescent="0.25">
      <c r="A1402"/>
      <c r="B1402"/>
      <c r="K1402" s="20"/>
    </row>
    <row r="1403" spans="1:11" x14ac:dyDescent="0.25">
      <c r="A1403"/>
      <c r="B1403"/>
      <c r="K1403" s="20"/>
    </row>
    <row r="1404" spans="1:11" x14ac:dyDescent="0.25">
      <c r="A1404"/>
      <c r="B1404"/>
      <c r="K1404" s="20"/>
    </row>
    <row r="1405" spans="1:11" x14ac:dyDescent="0.25">
      <c r="A1405"/>
      <c r="B1405"/>
      <c r="K1405" s="20"/>
    </row>
    <row r="1406" spans="1:11" x14ac:dyDescent="0.25">
      <c r="A1406"/>
      <c r="B1406"/>
      <c r="K1406" s="20"/>
    </row>
    <row r="1407" spans="1:11" x14ac:dyDescent="0.25">
      <c r="A1407"/>
      <c r="B1407"/>
      <c r="K1407" s="20"/>
    </row>
    <row r="1408" spans="1:11" x14ac:dyDescent="0.25">
      <c r="A1408"/>
      <c r="B1408"/>
      <c r="K1408" s="20"/>
    </row>
    <row r="1409" spans="1:11" x14ac:dyDescent="0.25">
      <c r="A1409"/>
      <c r="B1409"/>
      <c r="K1409" s="20"/>
    </row>
    <row r="1410" spans="1:11" x14ac:dyDescent="0.25">
      <c r="A1410"/>
      <c r="B1410"/>
      <c r="K1410" s="20"/>
    </row>
    <row r="1411" spans="1:11" x14ac:dyDescent="0.25">
      <c r="A1411"/>
      <c r="B1411"/>
      <c r="K1411" s="20"/>
    </row>
    <row r="1412" spans="1:11" x14ac:dyDescent="0.25">
      <c r="A1412"/>
      <c r="B1412"/>
      <c r="K1412" s="20"/>
    </row>
    <row r="1413" spans="1:11" x14ac:dyDescent="0.25">
      <c r="A1413"/>
      <c r="B1413"/>
      <c r="K1413" s="20"/>
    </row>
    <row r="1414" spans="1:11" x14ac:dyDescent="0.25">
      <c r="A1414"/>
      <c r="B1414"/>
      <c r="K1414" s="20"/>
    </row>
    <row r="1415" spans="1:11" x14ac:dyDescent="0.25">
      <c r="A1415"/>
      <c r="B1415"/>
      <c r="K1415" s="20"/>
    </row>
    <row r="1416" spans="1:11" x14ac:dyDescent="0.25">
      <c r="A1416"/>
      <c r="B1416"/>
      <c r="K1416" s="20"/>
    </row>
    <row r="1417" spans="1:11" x14ac:dyDescent="0.25">
      <c r="A1417"/>
      <c r="B1417"/>
      <c r="K1417" s="20"/>
    </row>
    <row r="1418" spans="1:11" x14ac:dyDescent="0.25">
      <c r="A1418"/>
      <c r="B1418"/>
      <c r="K1418" s="20"/>
    </row>
    <row r="1419" spans="1:11" x14ac:dyDescent="0.25">
      <c r="A1419"/>
      <c r="B1419"/>
      <c r="K1419" s="20"/>
    </row>
    <row r="1420" spans="1:11" x14ac:dyDescent="0.25">
      <c r="A1420"/>
      <c r="B1420"/>
      <c r="K1420" s="20"/>
    </row>
    <row r="1421" spans="1:11" x14ac:dyDescent="0.25">
      <c r="A1421"/>
      <c r="B1421"/>
      <c r="K1421" s="20"/>
    </row>
    <row r="1422" spans="1:11" x14ac:dyDescent="0.25">
      <c r="A1422"/>
      <c r="B1422"/>
      <c r="K1422" s="20"/>
    </row>
    <row r="1423" spans="1:11" x14ac:dyDescent="0.25">
      <c r="A1423"/>
      <c r="B1423"/>
      <c r="K1423" s="20"/>
    </row>
    <row r="1424" spans="1:11" x14ac:dyDescent="0.25">
      <c r="A1424"/>
      <c r="B1424"/>
      <c r="K1424" s="20"/>
    </row>
    <row r="1425" spans="1:11" x14ac:dyDescent="0.25">
      <c r="A1425"/>
      <c r="B1425"/>
      <c r="K1425" s="20"/>
    </row>
    <row r="1426" spans="1:11" x14ac:dyDescent="0.25">
      <c r="A1426"/>
      <c r="B1426"/>
      <c r="K1426" s="20"/>
    </row>
    <row r="1427" spans="1:11" x14ac:dyDescent="0.25">
      <c r="A1427"/>
      <c r="B1427"/>
      <c r="K1427" s="20"/>
    </row>
    <row r="1428" spans="1:11" x14ac:dyDescent="0.25">
      <c r="A1428"/>
      <c r="B1428"/>
      <c r="K1428" s="20"/>
    </row>
    <row r="1429" spans="1:11" x14ac:dyDescent="0.25">
      <c r="A1429"/>
      <c r="B1429"/>
      <c r="K1429" s="20"/>
    </row>
    <row r="1430" spans="1:11" x14ac:dyDescent="0.25">
      <c r="A1430"/>
      <c r="B1430"/>
      <c r="K1430" s="20"/>
    </row>
    <row r="1431" spans="1:11" x14ac:dyDescent="0.25">
      <c r="A1431"/>
      <c r="B1431"/>
      <c r="K1431" s="20"/>
    </row>
    <row r="1432" spans="1:11" x14ac:dyDescent="0.25">
      <c r="A1432"/>
      <c r="B1432"/>
      <c r="K1432" s="20"/>
    </row>
    <row r="1433" spans="1:11" x14ac:dyDescent="0.25">
      <c r="A1433"/>
      <c r="B1433"/>
      <c r="K1433" s="20"/>
    </row>
    <row r="1434" spans="1:11" x14ac:dyDescent="0.25">
      <c r="A1434"/>
      <c r="B1434"/>
      <c r="K1434" s="20"/>
    </row>
    <row r="1435" spans="1:11" x14ac:dyDescent="0.25">
      <c r="A1435"/>
      <c r="B1435"/>
      <c r="K1435" s="20"/>
    </row>
    <row r="1436" spans="1:11" x14ac:dyDescent="0.25">
      <c r="A1436"/>
      <c r="B1436"/>
      <c r="K1436" s="20"/>
    </row>
    <row r="1437" spans="1:11" x14ac:dyDescent="0.25">
      <c r="A1437"/>
      <c r="B1437"/>
      <c r="K1437" s="20"/>
    </row>
    <row r="1438" spans="1:11" x14ac:dyDescent="0.25">
      <c r="A1438"/>
      <c r="B1438"/>
      <c r="K1438" s="20"/>
    </row>
    <row r="1439" spans="1:11" x14ac:dyDescent="0.25">
      <c r="A1439"/>
      <c r="B1439"/>
      <c r="K1439" s="20"/>
    </row>
    <row r="1440" spans="1:11" x14ac:dyDescent="0.25">
      <c r="A1440"/>
      <c r="B1440"/>
      <c r="K1440" s="20"/>
    </row>
    <row r="1441" spans="1:11" x14ac:dyDescent="0.25">
      <c r="A1441"/>
      <c r="B1441"/>
      <c r="K1441" s="20"/>
    </row>
    <row r="1442" spans="1:11" x14ac:dyDescent="0.25">
      <c r="A1442"/>
      <c r="B1442"/>
      <c r="K1442" s="20"/>
    </row>
    <row r="1443" spans="1:11" x14ac:dyDescent="0.25">
      <c r="A1443"/>
      <c r="B1443"/>
      <c r="K1443" s="20"/>
    </row>
    <row r="1444" spans="1:11" x14ac:dyDescent="0.25">
      <c r="A1444"/>
      <c r="B1444"/>
      <c r="K1444" s="20"/>
    </row>
    <row r="1445" spans="1:11" x14ac:dyDescent="0.25">
      <c r="A1445"/>
      <c r="B1445"/>
      <c r="K1445" s="20"/>
    </row>
    <row r="1446" spans="1:11" x14ac:dyDescent="0.25">
      <c r="A1446"/>
      <c r="B1446"/>
      <c r="K1446" s="20"/>
    </row>
    <row r="1447" spans="1:11" x14ac:dyDescent="0.25">
      <c r="A1447"/>
      <c r="B1447"/>
      <c r="K1447" s="20"/>
    </row>
    <row r="1448" spans="1:11" x14ac:dyDescent="0.25">
      <c r="A1448"/>
      <c r="B1448"/>
      <c r="K1448" s="20"/>
    </row>
    <row r="1449" spans="1:11" x14ac:dyDescent="0.25">
      <c r="A1449"/>
      <c r="B1449"/>
      <c r="K1449" s="20"/>
    </row>
    <row r="1450" spans="1:11" x14ac:dyDescent="0.25">
      <c r="A1450"/>
      <c r="B1450"/>
      <c r="K1450" s="20"/>
    </row>
    <row r="1451" spans="1:11" x14ac:dyDescent="0.25">
      <c r="A1451"/>
      <c r="B1451"/>
      <c r="K1451" s="20"/>
    </row>
    <row r="1452" spans="1:11" x14ac:dyDescent="0.25">
      <c r="A1452"/>
      <c r="B1452"/>
      <c r="K1452" s="20"/>
    </row>
    <row r="1453" spans="1:11" x14ac:dyDescent="0.25">
      <c r="A1453"/>
      <c r="B1453"/>
      <c r="K1453" s="20"/>
    </row>
    <row r="1454" spans="1:11" x14ac:dyDescent="0.25">
      <c r="A1454"/>
      <c r="B1454"/>
      <c r="K1454" s="20"/>
    </row>
    <row r="1455" spans="1:11" x14ac:dyDescent="0.25">
      <c r="A1455"/>
      <c r="B1455"/>
      <c r="K1455" s="20"/>
    </row>
    <row r="1456" spans="1:11" x14ac:dyDescent="0.25">
      <c r="A1456"/>
      <c r="B1456"/>
      <c r="K1456" s="20"/>
    </row>
    <row r="1457" spans="1:11" x14ac:dyDescent="0.25">
      <c r="A1457"/>
      <c r="B1457"/>
      <c r="K1457" s="20"/>
    </row>
    <row r="1458" spans="1:11" x14ac:dyDescent="0.25">
      <c r="A1458"/>
      <c r="B1458"/>
      <c r="K1458" s="20"/>
    </row>
    <row r="1459" spans="1:11" x14ac:dyDescent="0.25">
      <c r="A1459"/>
      <c r="B1459"/>
      <c r="K1459" s="20"/>
    </row>
    <row r="1460" spans="1:11" x14ac:dyDescent="0.25">
      <c r="A1460"/>
      <c r="B1460"/>
      <c r="K1460" s="20"/>
    </row>
    <row r="1461" spans="1:11" x14ac:dyDescent="0.25">
      <c r="A1461"/>
      <c r="B1461"/>
      <c r="K1461" s="20"/>
    </row>
    <row r="1462" spans="1:11" x14ac:dyDescent="0.25">
      <c r="A1462"/>
      <c r="B1462"/>
      <c r="K1462" s="20"/>
    </row>
    <row r="1463" spans="1:11" x14ac:dyDescent="0.25">
      <c r="A1463"/>
      <c r="B1463"/>
      <c r="K1463" s="20"/>
    </row>
    <row r="1464" spans="1:11" x14ac:dyDescent="0.25">
      <c r="A1464"/>
      <c r="B1464"/>
      <c r="K1464" s="20"/>
    </row>
    <row r="1465" spans="1:11" x14ac:dyDescent="0.25">
      <c r="A1465"/>
      <c r="B1465"/>
      <c r="K1465" s="20"/>
    </row>
    <row r="1466" spans="1:11" x14ac:dyDescent="0.25">
      <c r="A1466"/>
      <c r="B1466"/>
      <c r="K1466" s="20"/>
    </row>
    <row r="1467" spans="1:11" x14ac:dyDescent="0.25">
      <c r="A1467"/>
      <c r="B1467"/>
      <c r="K1467" s="20"/>
    </row>
    <row r="1468" spans="1:11" x14ac:dyDescent="0.25">
      <c r="A1468"/>
      <c r="B1468"/>
      <c r="K1468" s="20"/>
    </row>
    <row r="1469" spans="1:11" x14ac:dyDescent="0.25">
      <c r="A1469"/>
      <c r="B1469"/>
      <c r="K1469" s="20"/>
    </row>
    <row r="1470" spans="1:11" x14ac:dyDescent="0.25">
      <c r="A1470"/>
      <c r="B1470"/>
      <c r="K1470" s="20"/>
    </row>
    <row r="1471" spans="1:11" x14ac:dyDescent="0.25">
      <c r="A1471"/>
      <c r="B1471"/>
      <c r="K1471" s="20"/>
    </row>
    <row r="1472" spans="1:11" x14ac:dyDescent="0.25">
      <c r="A1472"/>
      <c r="B1472"/>
      <c r="K1472" s="20"/>
    </row>
    <row r="1473" spans="1:11" x14ac:dyDescent="0.25">
      <c r="A1473"/>
      <c r="B1473"/>
      <c r="K1473" s="20"/>
    </row>
    <row r="1474" spans="1:11" x14ac:dyDescent="0.25">
      <c r="A1474"/>
      <c r="B1474"/>
      <c r="K1474" s="20"/>
    </row>
    <row r="1475" spans="1:11" x14ac:dyDescent="0.25">
      <c r="A1475"/>
      <c r="B1475"/>
      <c r="K1475" s="20"/>
    </row>
    <row r="1476" spans="1:11" x14ac:dyDescent="0.25">
      <c r="A1476"/>
      <c r="B1476"/>
      <c r="K1476" s="20"/>
    </row>
    <row r="1477" spans="1:11" x14ac:dyDescent="0.25">
      <c r="A1477"/>
      <c r="B1477"/>
      <c r="K1477" s="20"/>
    </row>
    <row r="1478" spans="1:11" x14ac:dyDescent="0.25">
      <c r="A1478"/>
      <c r="B1478"/>
      <c r="K1478" s="20"/>
    </row>
    <row r="1479" spans="1:11" x14ac:dyDescent="0.25">
      <c r="A1479"/>
      <c r="B1479"/>
      <c r="K1479" s="20"/>
    </row>
    <row r="1480" spans="1:11" x14ac:dyDescent="0.25">
      <c r="A1480"/>
      <c r="B1480"/>
      <c r="K1480" s="20"/>
    </row>
    <row r="1481" spans="1:11" x14ac:dyDescent="0.25">
      <c r="A1481"/>
      <c r="B1481"/>
      <c r="K1481" s="20"/>
    </row>
    <row r="1482" spans="1:11" x14ac:dyDescent="0.25">
      <c r="A1482"/>
      <c r="B1482"/>
      <c r="K1482" s="20"/>
    </row>
    <row r="1483" spans="1:11" x14ac:dyDescent="0.25">
      <c r="A1483"/>
      <c r="B1483"/>
      <c r="K1483" s="20"/>
    </row>
    <row r="1484" spans="1:11" x14ac:dyDescent="0.25">
      <c r="A1484"/>
      <c r="B1484"/>
      <c r="K1484" s="20"/>
    </row>
    <row r="1485" spans="1:11" x14ac:dyDescent="0.25">
      <c r="A1485"/>
      <c r="B1485"/>
      <c r="K1485" s="20"/>
    </row>
    <row r="1486" spans="1:11" x14ac:dyDescent="0.25">
      <c r="A1486"/>
      <c r="B1486"/>
      <c r="K1486" s="20"/>
    </row>
    <row r="1487" spans="1:11" x14ac:dyDescent="0.25">
      <c r="A1487"/>
      <c r="B1487"/>
      <c r="K1487" s="20"/>
    </row>
    <row r="1488" spans="1:11" x14ac:dyDescent="0.25">
      <c r="A1488"/>
      <c r="B1488"/>
      <c r="K1488" s="20"/>
    </row>
    <row r="1489" spans="1:11" x14ac:dyDescent="0.25">
      <c r="A1489"/>
      <c r="B1489"/>
      <c r="K1489" s="20"/>
    </row>
    <row r="1490" spans="1:11" x14ac:dyDescent="0.25">
      <c r="A1490"/>
      <c r="B1490"/>
      <c r="K1490" s="20"/>
    </row>
    <row r="1491" spans="1:11" x14ac:dyDescent="0.25">
      <c r="A1491"/>
      <c r="B1491"/>
      <c r="K1491" s="20"/>
    </row>
    <row r="1492" spans="1:11" x14ac:dyDescent="0.25">
      <c r="A1492"/>
      <c r="B1492"/>
      <c r="K1492" s="20"/>
    </row>
    <row r="1493" spans="1:11" x14ac:dyDescent="0.25">
      <c r="A1493"/>
      <c r="B1493"/>
      <c r="K1493" s="20"/>
    </row>
    <row r="1494" spans="1:11" x14ac:dyDescent="0.25">
      <c r="A1494"/>
      <c r="B1494"/>
      <c r="K1494" s="20"/>
    </row>
    <row r="1495" spans="1:11" x14ac:dyDescent="0.25">
      <c r="A1495"/>
      <c r="B1495"/>
      <c r="K1495" s="20"/>
    </row>
    <row r="1496" spans="1:11" x14ac:dyDescent="0.25">
      <c r="A1496"/>
      <c r="B1496"/>
      <c r="K1496" s="20"/>
    </row>
    <row r="1497" spans="1:11" x14ac:dyDescent="0.25">
      <c r="A1497"/>
      <c r="B1497"/>
      <c r="K1497" s="20"/>
    </row>
    <row r="1498" spans="1:11" x14ac:dyDescent="0.25">
      <c r="A1498"/>
      <c r="B1498"/>
      <c r="K1498" s="20"/>
    </row>
    <row r="1499" spans="1:11" x14ac:dyDescent="0.25">
      <c r="A1499"/>
      <c r="B1499"/>
      <c r="K1499" s="20"/>
    </row>
    <row r="1500" spans="1:11" x14ac:dyDescent="0.25">
      <c r="A1500"/>
      <c r="B1500"/>
      <c r="K1500" s="20"/>
    </row>
    <row r="1501" spans="1:11" x14ac:dyDescent="0.25">
      <c r="A1501"/>
      <c r="B1501"/>
      <c r="K1501" s="20"/>
    </row>
    <row r="1502" spans="1:11" x14ac:dyDescent="0.25">
      <c r="A1502"/>
      <c r="B1502"/>
      <c r="K1502" s="20"/>
    </row>
    <row r="1503" spans="1:11" x14ac:dyDescent="0.25">
      <c r="A1503"/>
      <c r="B1503"/>
      <c r="K1503" s="20"/>
    </row>
    <row r="1504" spans="1:11" x14ac:dyDescent="0.25">
      <c r="A1504"/>
      <c r="B1504"/>
      <c r="K1504" s="20"/>
    </row>
    <row r="1505" spans="1:11" x14ac:dyDescent="0.25">
      <c r="A1505"/>
      <c r="B1505"/>
      <c r="K1505" s="20"/>
    </row>
    <row r="1506" spans="1:11" x14ac:dyDescent="0.25">
      <c r="A1506"/>
      <c r="B1506"/>
      <c r="K1506" s="20"/>
    </row>
    <row r="1507" spans="1:11" x14ac:dyDescent="0.25">
      <c r="A1507"/>
      <c r="B1507"/>
      <c r="K1507" s="20"/>
    </row>
    <row r="1508" spans="1:11" x14ac:dyDescent="0.25">
      <c r="A1508"/>
      <c r="B1508"/>
      <c r="K1508" s="20"/>
    </row>
    <row r="1509" spans="1:11" x14ac:dyDescent="0.25">
      <c r="A1509"/>
      <c r="B1509"/>
      <c r="K1509" s="20"/>
    </row>
    <row r="1510" spans="1:11" x14ac:dyDescent="0.25">
      <c r="A1510"/>
      <c r="B1510"/>
      <c r="K1510" s="20"/>
    </row>
    <row r="1511" spans="1:11" x14ac:dyDescent="0.25">
      <c r="A1511"/>
      <c r="B1511"/>
      <c r="K1511" s="20"/>
    </row>
    <row r="1512" spans="1:11" x14ac:dyDescent="0.25">
      <c r="A1512"/>
      <c r="B1512"/>
      <c r="K1512" s="20"/>
    </row>
    <row r="1513" spans="1:11" x14ac:dyDescent="0.25">
      <c r="A1513"/>
      <c r="B1513"/>
      <c r="K1513" s="20"/>
    </row>
    <row r="1514" spans="1:11" x14ac:dyDescent="0.25">
      <c r="A1514"/>
      <c r="B1514"/>
      <c r="K1514" s="20"/>
    </row>
    <row r="1515" spans="1:11" x14ac:dyDescent="0.25">
      <c r="A1515"/>
      <c r="B1515"/>
      <c r="K1515" s="20"/>
    </row>
    <row r="1516" spans="1:11" x14ac:dyDescent="0.25">
      <c r="A1516"/>
      <c r="B1516"/>
      <c r="K1516" s="20"/>
    </row>
    <row r="1517" spans="1:11" x14ac:dyDescent="0.25">
      <c r="A1517"/>
      <c r="B1517"/>
      <c r="K1517" s="20"/>
    </row>
    <row r="1518" spans="1:11" x14ac:dyDescent="0.25">
      <c r="A1518"/>
      <c r="B1518"/>
      <c r="K1518" s="20"/>
    </row>
    <row r="1519" spans="1:11" x14ac:dyDescent="0.25">
      <c r="A1519"/>
      <c r="B1519"/>
      <c r="K1519" s="20"/>
    </row>
    <row r="1520" spans="1:11" x14ac:dyDescent="0.25">
      <c r="A1520"/>
      <c r="B1520"/>
      <c r="K1520" s="20"/>
    </row>
    <row r="1521" spans="1:11" x14ac:dyDescent="0.25">
      <c r="A1521"/>
      <c r="B1521"/>
      <c r="K1521" s="20"/>
    </row>
    <row r="1522" spans="1:11" x14ac:dyDescent="0.25">
      <c r="A1522"/>
      <c r="B1522"/>
      <c r="K1522" s="20"/>
    </row>
    <row r="1523" spans="1:11" x14ac:dyDescent="0.25">
      <c r="A1523"/>
      <c r="B1523"/>
      <c r="K1523" s="20"/>
    </row>
    <row r="1524" spans="1:11" x14ac:dyDescent="0.25">
      <c r="A1524"/>
      <c r="B1524"/>
      <c r="K1524" s="20"/>
    </row>
    <row r="1525" spans="1:11" x14ac:dyDescent="0.25">
      <c r="A1525"/>
      <c r="B1525"/>
      <c r="K1525" s="20"/>
    </row>
    <row r="1526" spans="1:11" x14ac:dyDescent="0.25">
      <c r="A1526"/>
      <c r="B1526"/>
      <c r="K1526" s="20"/>
    </row>
    <row r="1527" spans="1:11" x14ac:dyDescent="0.25">
      <c r="A1527"/>
      <c r="B1527"/>
      <c r="K1527" s="20"/>
    </row>
    <row r="1528" spans="1:11" x14ac:dyDescent="0.25">
      <c r="A1528"/>
      <c r="B1528"/>
      <c r="K1528" s="20"/>
    </row>
    <row r="1529" spans="1:11" x14ac:dyDescent="0.25">
      <c r="A1529"/>
      <c r="B1529"/>
      <c r="K1529" s="20"/>
    </row>
    <row r="1530" spans="1:11" x14ac:dyDescent="0.25">
      <c r="A1530"/>
      <c r="B1530"/>
      <c r="K1530" s="20"/>
    </row>
    <row r="1531" spans="1:11" x14ac:dyDescent="0.25">
      <c r="A1531"/>
      <c r="B1531"/>
      <c r="K1531" s="20"/>
    </row>
    <row r="1532" spans="1:11" x14ac:dyDescent="0.25">
      <c r="A1532"/>
      <c r="B1532"/>
      <c r="K1532" s="20"/>
    </row>
    <row r="1533" spans="1:11" x14ac:dyDescent="0.25">
      <c r="A1533"/>
      <c r="B1533"/>
      <c r="K1533" s="20"/>
    </row>
    <row r="1534" spans="1:11" x14ac:dyDescent="0.25">
      <c r="A1534"/>
      <c r="B1534"/>
      <c r="K1534" s="20"/>
    </row>
    <row r="1535" spans="1:11" x14ac:dyDescent="0.25">
      <c r="A1535"/>
      <c r="B1535"/>
      <c r="K1535" s="20"/>
    </row>
    <row r="1536" spans="1:11" x14ac:dyDescent="0.25">
      <c r="A1536"/>
      <c r="B1536"/>
      <c r="K1536" s="20"/>
    </row>
    <row r="1537" spans="1:11" x14ac:dyDescent="0.25">
      <c r="A1537"/>
      <c r="B1537"/>
      <c r="K1537" s="20"/>
    </row>
    <row r="1538" spans="1:11" x14ac:dyDescent="0.25">
      <c r="A1538"/>
      <c r="B1538"/>
      <c r="K1538" s="20"/>
    </row>
    <row r="1539" spans="1:11" x14ac:dyDescent="0.25">
      <c r="A1539"/>
      <c r="B1539"/>
      <c r="K1539" s="20"/>
    </row>
    <row r="1540" spans="1:11" x14ac:dyDescent="0.25">
      <c r="A1540"/>
      <c r="B1540"/>
      <c r="K1540" s="20"/>
    </row>
    <row r="1541" spans="1:11" x14ac:dyDescent="0.25">
      <c r="A1541"/>
      <c r="B1541"/>
      <c r="K1541" s="20"/>
    </row>
    <row r="1542" spans="1:11" x14ac:dyDescent="0.25">
      <c r="A1542"/>
      <c r="B1542"/>
      <c r="K1542" s="20"/>
    </row>
    <row r="1543" spans="1:11" x14ac:dyDescent="0.25">
      <c r="A1543"/>
      <c r="B1543"/>
      <c r="K1543" s="20"/>
    </row>
    <row r="1544" spans="1:11" x14ac:dyDescent="0.25">
      <c r="A1544"/>
      <c r="B1544"/>
      <c r="K1544" s="20"/>
    </row>
    <row r="1545" spans="1:11" x14ac:dyDescent="0.25">
      <c r="A1545"/>
      <c r="B1545"/>
      <c r="K1545" s="20"/>
    </row>
    <row r="1546" spans="1:11" x14ac:dyDescent="0.25">
      <c r="A1546"/>
      <c r="B1546"/>
      <c r="K1546" s="20"/>
    </row>
    <row r="1547" spans="1:11" x14ac:dyDescent="0.25">
      <c r="A1547"/>
      <c r="B1547"/>
      <c r="K1547" s="20"/>
    </row>
    <row r="1548" spans="1:11" x14ac:dyDescent="0.25">
      <c r="A1548"/>
      <c r="B1548"/>
      <c r="K1548" s="20"/>
    </row>
    <row r="1549" spans="1:11" x14ac:dyDescent="0.25">
      <c r="A1549"/>
      <c r="B1549"/>
      <c r="K1549" s="20"/>
    </row>
    <row r="1550" spans="1:11" x14ac:dyDescent="0.25">
      <c r="A1550"/>
      <c r="B1550"/>
      <c r="K1550" s="20"/>
    </row>
    <row r="1551" spans="1:11" x14ac:dyDescent="0.25">
      <c r="A1551"/>
      <c r="B1551"/>
      <c r="K1551" s="20"/>
    </row>
    <row r="1552" spans="1:11" x14ac:dyDescent="0.25">
      <c r="A1552"/>
      <c r="B1552"/>
      <c r="K1552" s="20"/>
    </row>
    <row r="1553" spans="1:11" x14ac:dyDescent="0.25">
      <c r="A1553"/>
      <c r="B1553"/>
      <c r="K1553" s="20"/>
    </row>
    <row r="1554" spans="1:11" x14ac:dyDescent="0.25">
      <c r="A1554"/>
      <c r="B1554"/>
      <c r="K1554" s="20"/>
    </row>
    <row r="1555" spans="1:11" x14ac:dyDescent="0.25">
      <c r="A1555"/>
      <c r="B1555"/>
      <c r="K1555" s="20"/>
    </row>
    <row r="1556" spans="1:11" x14ac:dyDescent="0.25">
      <c r="A1556"/>
      <c r="B1556"/>
      <c r="K1556" s="20"/>
    </row>
    <row r="1557" spans="1:11" x14ac:dyDescent="0.25">
      <c r="A1557"/>
      <c r="B1557"/>
      <c r="K1557" s="20"/>
    </row>
    <row r="1558" spans="1:11" x14ac:dyDescent="0.25">
      <c r="A1558"/>
      <c r="B1558"/>
      <c r="K1558" s="20"/>
    </row>
    <row r="1559" spans="1:11" x14ac:dyDescent="0.25">
      <c r="A1559"/>
      <c r="B1559"/>
      <c r="K1559" s="20"/>
    </row>
    <row r="1560" spans="1:11" x14ac:dyDescent="0.25">
      <c r="A1560"/>
      <c r="B1560"/>
      <c r="K1560" s="20"/>
    </row>
    <row r="1561" spans="1:11" x14ac:dyDescent="0.25">
      <c r="A1561"/>
      <c r="B1561"/>
      <c r="K1561" s="20"/>
    </row>
    <row r="1562" spans="1:11" x14ac:dyDescent="0.25">
      <c r="A1562"/>
      <c r="B1562"/>
      <c r="K1562" s="20"/>
    </row>
    <row r="1563" spans="1:11" x14ac:dyDescent="0.25">
      <c r="A1563"/>
      <c r="B1563"/>
      <c r="K1563" s="20"/>
    </row>
    <row r="1564" spans="1:11" x14ac:dyDescent="0.25">
      <c r="A1564"/>
      <c r="B1564"/>
      <c r="K1564" s="20"/>
    </row>
    <row r="1565" spans="1:11" x14ac:dyDescent="0.25">
      <c r="A1565"/>
      <c r="B1565"/>
      <c r="K1565" s="20"/>
    </row>
    <row r="1566" spans="1:11" x14ac:dyDescent="0.25">
      <c r="A1566"/>
      <c r="B1566"/>
      <c r="K1566" s="20"/>
    </row>
    <row r="1567" spans="1:11" x14ac:dyDescent="0.25">
      <c r="A1567"/>
      <c r="B1567"/>
      <c r="K1567" s="20"/>
    </row>
    <row r="1568" spans="1:11" x14ac:dyDescent="0.25">
      <c r="A1568"/>
      <c r="B1568"/>
      <c r="K1568" s="20"/>
    </row>
    <row r="1569" spans="1:11" x14ac:dyDescent="0.25">
      <c r="A1569"/>
      <c r="B1569"/>
      <c r="K1569" s="20"/>
    </row>
    <row r="1570" spans="1:11" x14ac:dyDescent="0.25">
      <c r="A1570"/>
      <c r="B1570"/>
      <c r="K1570" s="20"/>
    </row>
    <row r="1571" spans="1:11" x14ac:dyDescent="0.25">
      <c r="A1571"/>
      <c r="B1571"/>
      <c r="K1571" s="20"/>
    </row>
    <row r="1572" spans="1:11" x14ac:dyDescent="0.25">
      <c r="A1572"/>
      <c r="B1572"/>
      <c r="K1572" s="20"/>
    </row>
    <row r="1573" spans="1:11" x14ac:dyDescent="0.25">
      <c r="A1573"/>
      <c r="B1573"/>
      <c r="K1573" s="20"/>
    </row>
    <row r="1574" spans="1:11" x14ac:dyDescent="0.25">
      <c r="A1574"/>
      <c r="B1574"/>
      <c r="K1574" s="20"/>
    </row>
    <row r="1575" spans="1:11" x14ac:dyDescent="0.25">
      <c r="A1575"/>
      <c r="B1575"/>
      <c r="K1575" s="20"/>
    </row>
    <row r="1576" spans="1:11" x14ac:dyDescent="0.25">
      <c r="A1576"/>
      <c r="B1576"/>
      <c r="K1576" s="20"/>
    </row>
    <row r="1577" spans="1:11" x14ac:dyDescent="0.25">
      <c r="A1577"/>
      <c r="B1577"/>
      <c r="K1577" s="20"/>
    </row>
    <row r="1578" spans="1:11" x14ac:dyDescent="0.25">
      <c r="A1578"/>
      <c r="B1578"/>
      <c r="K1578" s="20"/>
    </row>
    <row r="1579" spans="1:11" x14ac:dyDescent="0.25">
      <c r="A1579"/>
      <c r="B1579"/>
      <c r="K1579" s="20"/>
    </row>
    <row r="1580" spans="1:11" x14ac:dyDescent="0.25">
      <c r="A1580"/>
      <c r="B1580"/>
      <c r="K1580" s="20"/>
    </row>
    <row r="1581" spans="1:11" x14ac:dyDescent="0.25">
      <c r="A1581"/>
      <c r="B1581"/>
      <c r="K1581" s="20"/>
    </row>
    <row r="1582" spans="1:11" x14ac:dyDescent="0.25">
      <c r="A1582"/>
      <c r="B1582"/>
      <c r="K1582" s="20"/>
    </row>
    <row r="1583" spans="1:11" x14ac:dyDescent="0.25">
      <c r="A1583"/>
      <c r="B1583"/>
      <c r="K1583" s="20"/>
    </row>
    <row r="1584" spans="1:11" x14ac:dyDescent="0.25">
      <c r="A1584"/>
      <c r="B1584"/>
      <c r="K1584" s="20"/>
    </row>
    <row r="1585" spans="1:11" x14ac:dyDescent="0.25">
      <c r="A1585"/>
      <c r="B1585"/>
      <c r="K1585" s="20"/>
    </row>
    <row r="1586" spans="1:11" x14ac:dyDescent="0.25">
      <c r="A1586"/>
      <c r="B1586"/>
      <c r="K1586" s="20"/>
    </row>
    <row r="1587" spans="1:11" x14ac:dyDescent="0.25">
      <c r="A1587"/>
      <c r="B1587"/>
      <c r="K1587" s="20"/>
    </row>
    <row r="1588" spans="1:11" x14ac:dyDescent="0.25">
      <c r="A1588"/>
      <c r="B1588"/>
      <c r="K1588" s="20"/>
    </row>
    <row r="1589" spans="1:11" x14ac:dyDescent="0.25">
      <c r="A1589"/>
      <c r="B1589"/>
      <c r="K1589" s="20"/>
    </row>
    <row r="1590" spans="1:11" x14ac:dyDescent="0.25">
      <c r="A1590"/>
      <c r="B1590"/>
      <c r="K1590" s="20"/>
    </row>
    <row r="1591" spans="1:11" x14ac:dyDescent="0.25">
      <c r="A1591"/>
      <c r="B1591"/>
      <c r="K1591" s="20"/>
    </row>
    <row r="1592" spans="1:11" x14ac:dyDescent="0.25">
      <c r="A1592"/>
      <c r="B1592"/>
      <c r="K1592" s="20"/>
    </row>
    <row r="1593" spans="1:11" x14ac:dyDescent="0.25">
      <c r="A1593"/>
      <c r="B1593"/>
      <c r="K1593" s="20"/>
    </row>
    <row r="1594" spans="1:11" x14ac:dyDescent="0.25">
      <c r="A1594"/>
      <c r="B1594"/>
      <c r="K1594" s="20"/>
    </row>
    <row r="1595" spans="1:11" x14ac:dyDescent="0.25">
      <c r="A1595"/>
      <c r="B1595"/>
      <c r="K1595" s="20"/>
    </row>
    <row r="1596" spans="1:11" x14ac:dyDescent="0.25">
      <c r="A1596"/>
      <c r="B1596"/>
      <c r="K1596" s="20"/>
    </row>
    <row r="1597" spans="1:11" x14ac:dyDescent="0.25">
      <c r="A1597"/>
      <c r="B1597"/>
      <c r="K1597" s="20"/>
    </row>
    <row r="1598" spans="1:11" x14ac:dyDescent="0.25">
      <c r="A1598"/>
      <c r="B1598"/>
      <c r="K1598" s="20"/>
    </row>
    <row r="1599" spans="1:11" x14ac:dyDescent="0.25">
      <c r="A1599"/>
      <c r="B1599"/>
      <c r="K1599" s="20"/>
    </row>
    <row r="1600" spans="1:11" x14ac:dyDescent="0.25">
      <c r="A1600"/>
      <c r="B1600"/>
      <c r="K1600" s="20"/>
    </row>
    <row r="1601" spans="1:11" x14ac:dyDescent="0.25">
      <c r="A1601"/>
      <c r="B1601"/>
      <c r="K1601" s="20"/>
    </row>
    <row r="1602" spans="1:11" x14ac:dyDescent="0.25">
      <c r="A1602"/>
      <c r="B1602"/>
      <c r="K1602" s="20"/>
    </row>
    <row r="1603" spans="1:11" x14ac:dyDescent="0.25">
      <c r="A1603"/>
      <c r="B1603"/>
      <c r="K1603" s="20"/>
    </row>
    <row r="1604" spans="1:11" x14ac:dyDescent="0.25">
      <c r="A1604"/>
      <c r="B1604"/>
      <c r="K1604" s="20"/>
    </row>
    <row r="1605" spans="1:11" x14ac:dyDescent="0.25">
      <c r="A1605"/>
      <c r="B1605"/>
      <c r="K1605" s="20"/>
    </row>
    <row r="1606" spans="1:11" x14ac:dyDescent="0.25">
      <c r="A1606"/>
      <c r="B1606"/>
      <c r="K1606" s="20"/>
    </row>
    <row r="1607" spans="1:11" x14ac:dyDescent="0.25">
      <c r="A1607"/>
      <c r="B1607"/>
      <c r="K1607" s="20"/>
    </row>
    <row r="1608" spans="1:11" x14ac:dyDescent="0.25">
      <c r="A1608"/>
      <c r="B1608"/>
      <c r="K1608" s="20"/>
    </row>
    <row r="1609" spans="1:11" x14ac:dyDescent="0.25">
      <c r="A1609"/>
      <c r="B1609"/>
      <c r="K1609" s="20"/>
    </row>
    <row r="1610" spans="1:11" x14ac:dyDescent="0.25">
      <c r="A1610"/>
      <c r="B1610"/>
      <c r="K1610" s="20"/>
    </row>
    <row r="1611" spans="1:11" x14ac:dyDescent="0.25">
      <c r="A1611"/>
      <c r="B1611"/>
      <c r="K1611" s="20"/>
    </row>
    <row r="1612" spans="1:11" x14ac:dyDescent="0.25">
      <c r="A1612"/>
      <c r="B1612"/>
      <c r="K1612" s="20"/>
    </row>
    <row r="1613" spans="1:11" x14ac:dyDescent="0.25">
      <c r="A1613"/>
      <c r="B1613"/>
      <c r="K1613" s="20"/>
    </row>
    <row r="1614" spans="1:11" x14ac:dyDescent="0.25">
      <c r="A1614"/>
      <c r="B1614"/>
      <c r="K1614" s="20"/>
    </row>
    <row r="1615" spans="1:11" x14ac:dyDescent="0.25">
      <c r="A1615"/>
      <c r="B1615"/>
      <c r="K1615" s="20"/>
    </row>
    <row r="1616" spans="1:11" x14ac:dyDescent="0.25">
      <c r="A1616"/>
      <c r="B1616"/>
      <c r="K1616" s="20"/>
    </row>
    <row r="1617" spans="1:11" x14ac:dyDescent="0.25">
      <c r="A1617"/>
      <c r="B1617"/>
      <c r="K1617" s="20"/>
    </row>
    <row r="1618" spans="1:11" x14ac:dyDescent="0.25">
      <c r="A1618"/>
      <c r="B1618"/>
      <c r="K1618" s="20"/>
    </row>
    <row r="1619" spans="1:11" x14ac:dyDescent="0.25">
      <c r="A1619"/>
      <c r="B1619"/>
      <c r="K1619" s="20"/>
    </row>
    <row r="1620" spans="1:11" x14ac:dyDescent="0.25">
      <c r="A1620"/>
      <c r="B1620"/>
      <c r="K1620" s="20"/>
    </row>
    <row r="1621" spans="1:11" x14ac:dyDescent="0.25">
      <c r="A1621"/>
      <c r="B1621"/>
      <c r="K1621" s="20"/>
    </row>
    <row r="1622" spans="1:11" x14ac:dyDescent="0.25">
      <c r="A1622"/>
      <c r="B1622"/>
      <c r="K1622" s="20"/>
    </row>
    <row r="1623" spans="1:11" x14ac:dyDescent="0.25">
      <c r="A1623"/>
      <c r="B1623"/>
      <c r="K1623" s="20"/>
    </row>
    <row r="1624" spans="1:11" x14ac:dyDescent="0.25">
      <c r="A1624"/>
      <c r="B1624"/>
      <c r="K1624" s="20"/>
    </row>
    <row r="1625" spans="1:11" x14ac:dyDescent="0.25">
      <c r="A1625"/>
      <c r="B1625"/>
      <c r="K1625" s="20"/>
    </row>
    <row r="1626" spans="1:11" x14ac:dyDescent="0.25">
      <c r="A1626"/>
      <c r="B1626"/>
      <c r="K1626" s="20"/>
    </row>
    <row r="1627" spans="1:11" x14ac:dyDescent="0.25">
      <c r="A1627"/>
      <c r="B1627"/>
      <c r="K1627" s="20"/>
    </row>
    <row r="1628" spans="1:11" x14ac:dyDescent="0.25">
      <c r="A1628"/>
      <c r="B1628"/>
      <c r="K1628" s="20"/>
    </row>
    <row r="1629" spans="1:11" x14ac:dyDescent="0.25">
      <c r="A1629"/>
      <c r="B1629"/>
      <c r="K1629" s="20"/>
    </row>
    <row r="1630" spans="1:11" x14ac:dyDescent="0.25">
      <c r="A1630"/>
      <c r="B1630"/>
      <c r="K1630" s="20"/>
    </row>
    <row r="1631" spans="1:11" x14ac:dyDescent="0.25">
      <c r="A1631"/>
      <c r="B1631"/>
      <c r="K1631" s="20"/>
    </row>
    <row r="1632" spans="1:11" x14ac:dyDescent="0.25">
      <c r="A1632"/>
      <c r="B1632"/>
      <c r="K1632" s="20"/>
    </row>
    <row r="1633" spans="1:11" x14ac:dyDescent="0.25">
      <c r="A1633"/>
      <c r="B1633"/>
      <c r="K1633" s="20"/>
    </row>
    <row r="1634" spans="1:11" x14ac:dyDescent="0.25">
      <c r="A1634"/>
      <c r="B1634"/>
      <c r="K1634" s="20"/>
    </row>
    <row r="1635" spans="1:11" x14ac:dyDescent="0.25">
      <c r="A1635"/>
      <c r="B1635"/>
      <c r="K1635" s="20"/>
    </row>
    <row r="1636" spans="1:11" x14ac:dyDescent="0.25">
      <c r="A1636"/>
      <c r="B1636"/>
      <c r="K1636" s="20"/>
    </row>
    <row r="1637" spans="1:11" x14ac:dyDescent="0.25">
      <c r="A1637"/>
      <c r="B1637"/>
      <c r="K1637" s="20"/>
    </row>
    <row r="1638" spans="1:11" x14ac:dyDescent="0.25">
      <c r="A1638"/>
      <c r="B1638"/>
      <c r="K1638" s="20"/>
    </row>
    <row r="1639" spans="1:11" x14ac:dyDescent="0.25">
      <c r="A1639"/>
      <c r="B1639"/>
      <c r="K1639" s="20"/>
    </row>
    <row r="1640" spans="1:11" x14ac:dyDescent="0.25">
      <c r="A1640"/>
      <c r="B1640"/>
      <c r="K1640" s="20"/>
    </row>
    <row r="1641" spans="1:11" x14ac:dyDescent="0.25">
      <c r="A1641"/>
      <c r="B1641"/>
      <c r="K1641" s="20"/>
    </row>
    <row r="1642" spans="1:11" x14ac:dyDescent="0.25">
      <c r="A1642"/>
      <c r="B1642"/>
      <c r="K1642" s="20"/>
    </row>
    <row r="1643" spans="1:11" x14ac:dyDescent="0.25">
      <c r="A1643"/>
      <c r="B1643"/>
      <c r="K1643" s="20"/>
    </row>
    <row r="1644" spans="1:11" x14ac:dyDescent="0.25">
      <c r="A1644"/>
      <c r="B1644"/>
      <c r="K1644" s="20"/>
    </row>
    <row r="1645" spans="1:11" x14ac:dyDescent="0.25">
      <c r="A1645"/>
      <c r="B1645"/>
      <c r="K1645" s="20"/>
    </row>
    <row r="1646" spans="1:11" x14ac:dyDescent="0.25">
      <c r="A1646"/>
      <c r="B1646"/>
      <c r="K1646" s="20"/>
    </row>
    <row r="1647" spans="1:11" x14ac:dyDescent="0.25">
      <c r="A1647"/>
      <c r="B1647"/>
      <c r="K1647" s="20"/>
    </row>
    <row r="1648" spans="1:11" x14ac:dyDescent="0.25">
      <c r="A1648"/>
      <c r="B1648"/>
      <c r="K1648" s="20"/>
    </row>
    <row r="1649" spans="1:11" x14ac:dyDescent="0.25">
      <c r="A1649"/>
      <c r="B1649"/>
      <c r="K1649" s="20"/>
    </row>
    <row r="1650" spans="1:11" x14ac:dyDescent="0.25">
      <c r="A1650"/>
      <c r="B1650"/>
      <c r="K1650" s="20"/>
    </row>
    <row r="1651" spans="1:11" x14ac:dyDescent="0.25">
      <c r="A1651"/>
      <c r="B1651"/>
      <c r="K1651" s="20"/>
    </row>
    <row r="1652" spans="1:11" x14ac:dyDescent="0.25">
      <c r="A1652"/>
      <c r="B1652"/>
      <c r="K1652" s="20"/>
    </row>
    <row r="1653" spans="1:11" x14ac:dyDescent="0.25">
      <c r="A1653"/>
      <c r="B1653"/>
      <c r="K1653" s="20"/>
    </row>
    <row r="1654" spans="1:11" x14ac:dyDescent="0.25">
      <c r="A1654"/>
      <c r="B1654"/>
      <c r="K1654" s="20"/>
    </row>
    <row r="1655" spans="1:11" x14ac:dyDescent="0.25">
      <c r="A1655"/>
      <c r="B1655"/>
      <c r="K1655" s="20"/>
    </row>
    <row r="1656" spans="1:11" x14ac:dyDescent="0.25">
      <c r="A1656"/>
      <c r="B1656"/>
      <c r="K1656" s="20"/>
    </row>
    <row r="1657" spans="1:11" x14ac:dyDescent="0.25">
      <c r="A1657"/>
      <c r="B1657"/>
      <c r="K1657" s="20"/>
    </row>
    <row r="1658" spans="1:11" x14ac:dyDescent="0.25">
      <c r="A1658"/>
      <c r="B1658"/>
      <c r="K1658" s="20"/>
    </row>
    <row r="1659" spans="1:11" x14ac:dyDescent="0.25">
      <c r="A1659"/>
      <c r="B1659"/>
      <c r="K1659" s="20"/>
    </row>
    <row r="1660" spans="1:11" x14ac:dyDescent="0.25">
      <c r="A1660"/>
      <c r="B1660"/>
      <c r="K1660" s="20"/>
    </row>
    <row r="1661" spans="1:11" x14ac:dyDescent="0.25">
      <c r="A1661"/>
      <c r="B1661"/>
      <c r="K1661" s="20"/>
    </row>
    <row r="1662" spans="1:11" x14ac:dyDescent="0.25">
      <c r="A1662"/>
      <c r="B1662"/>
      <c r="K1662" s="20"/>
    </row>
    <row r="1663" spans="1:11" x14ac:dyDescent="0.25">
      <c r="A1663"/>
      <c r="B1663"/>
      <c r="K1663" s="20"/>
    </row>
    <row r="1664" spans="1:11" x14ac:dyDescent="0.25">
      <c r="A1664"/>
      <c r="B1664"/>
      <c r="K1664" s="20"/>
    </row>
    <row r="1665" spans="1:11" x14ac:dyDescent="0.25">
      <c r="A1665"/>
      <c r="B1665"/>
      <c r="K1665" s="20"/>
    </row>
    <row r="1666" spans="1:11" x14ac:dyDescent="0.25">
      <c r="A1666"/>
      <c r="B1666"/>
      <c r="K1666" s="20"/>
    </row>
    <row r="1667" spans="1:11" x14ac:dyDescent="0.25">
      <c r="A1667"/>
      <c r="B1667"/>
      <c r="K1667" s="20"/>
    </row>
    <row r="1668" spans="1:11" x14ac:dyDescent="0.25">
      <c r="A1668"/>
      <c r="B1668"/>
      <c r="K1668" s="20"/>
    </row>
    <row r="1669" spans="1:11" x14ac:dyDescent="0.25">
      <c r="A1669"/>
      <c r="B1669"/>
      <c r="K1669" s="20"/>
    </row>
    <row r="1670" spans="1:11" x14ac:dyDescent="0.25">
      <c r="A1670"/>
      <c r="B1670"/>
      <c r="K1670" s="20"/>
    </row>
    <row r="1671" spans="1:11" x14ac:dyDescent="0.25">
      <c r="A1671"/>
      <c r="B1671"/>
      <c r="K1671" s="20"/>
    </row>
    <row r="1672" spans="1:11" x14ac:dyDescent="0.25">
      <c r="A1672"/>
      <c r="B1672"/>
      <c r="K1672" s="20"/>
    </row>
    <row r="1673" spans="1:11" x14ac:dyDescent="0.25">
      <c r="A1673"/>
      <c r="B1673"/>
      <c r="K1673" s="20"/>
    </row>
    <row r="1674" spans="1:11" x14ac:dyDescent="0.25">
      <c r="A1674"/>
      <c r="B1674"/>
      <c r="K1674" s="20"/>
    </row>
    <row r="1675" spans="1:11" x14ac:dyDescent="0.25">
      <c r="A1675"/>
      <c r="B1675"/>
      <c r="K1675" s="20"/>
    </row>
    <row r="1676" spans="1:11" x14ac:dyDescent="0.25">
      <c r="A1676"/>
      <c r="B1676"/>
      <c r="K1676" s="20"/>
    </row>
    <row r="1677" spans="1:11" x14ac:dyDescent="0.25">
      <c r="A1677"/>
      <c r="B1677"/>
      <c r="K1677" s="20"/>
    </row>
    <row r="1678" spans="1:11" x14ac:dyDescent="0.25">
      <c r="A1678"/>
      <c r="B1678"/>
      <c r="K1678" s="20"/>
    </row>
    <row r="1679" spans="1:11" x14ac:dyDescent="0.25">
      <c r="A1679"/>
      <c r="B1679"/>
      <c r="K1679" s="20"/>
    </row>
    <row r="1680" spans="1:11" x14ac:dyDescent="0.25">
      <c r="A1680"/>
      <c r="B1680"/>
      <c r="K1680" s="20"/>
    </row>
    <row r="1681" spans="1:11" x14ac:dyDescent="0.25">
      <c r="A1681"/>
      <c r="B1681"/>
      <c r="K1681" s="20"/>
    </row>
    <row r="1682" spans="1:11" x14ac:dyDescent="0.25">
      <c r="A1682"/>
      <c r="B1682"/>
      <c r="K1682" s="20"/>
    </row>
    <row r="1683" spans="1:11" x14ac:dyDescent="0.25">
      <c r="A1683"/>
      <c r="B1683"/>
      <c r="K1683" s="20"/>
    </row>
    <row r="1684" spans="1:11" x14ac:dyDescent="0.25">
      <c r="A1684"/>
      <c r="B1684"/>
      <c r="K1684" s="20"/>
    </row>
    <row r="1685" spans="1:11" x14ac:dyDescent="0.25">
      <c r="A1685"/>
      <c r="B1685"/>
      <c r="K1685" s="20"/>
    </row>
    <row r="1686" spans="1:11" x14ac:dyDescent="0.25">
      <c r="A1686"/>
      <c r="B1686"/>
      <c r="K1686" s="20"/>
    </row>
    <row r="1687" spans="1:11" x14ac:dyDescent="0.25">
      <c r="A1687"/>
      <c r="B1687"/>
      <c r="K1687" s="20"/>
    </row>
    <row r="1688" spans="1:11" x14ac:dyDescent="0.25">
      <c r="A1688"/>
      <c r="B1688"/>
      <c r="K1688" s="20"/>
    </row>
    <row r="1689" spans="1:11" x14ac:dyDescent="0.25">
      <c r="A1689"/>
      <c r="B1689"/>
      <c r="K1689" s="20"/>
    </row>
    <row r="1690" spans="1:11" x14ac:dyDescent="0.25">
      <c r="A1690"/>
      <c r="B1690"/>
      <c r="K1690" s="20"/>
    </row>
    <row r="1691" spans="1:11" x14ac:dyDescent="0.25">
      <c r="A1691"/>
      <c r="B1691"/>
      <c r="K1691" s="20"/>
    </row>
    <row r="1692" spans="1:11" x14ac:dyDescent="0.25">
      <c r="A1692"/>
      <c r="B1692"/>
      <c r="K1692" s="20"/>
    </row>
    <row r="1693" spans="1:11" x14ac:dyDescent="0.25">
      <c r="A1693"/>
      <c r="B1693"/>
      <c r="K1693" s="20"/>
    </row>
    <row r="1694" spans="1:11" x14ac:dyDescent="0.25">
      <c r="A1694"/>
      <c r="B1694"/>
      <c r="K1694" s="20"/>
    </row>
    <row r="1695" spans="1:11" x14ac:dyDescent="0.25">
      <c r="A1695"/>
      <c r="B1695"/>
      <c r="K1695" s="20"/>
    </row>
    <row r="1696" spans="1:11" x14ac:dyDescent="0.25">
      <c r="A1696"/>
      <c r="B1696"/>
      <c r="K1696" s="20"/>
    </row>
    <row r="1697" spans="1:11" x14ac:dyDescent="0.25">
      <c r="A1697"/>
      <c r="B1697"/>
      <c r="K1697" s="20"/>
    </row>
    <row r="1698" spans="1:11" x14ac:dyDescent="0.25">
      <c r="A1698"/>
      <c r="B1698"/>
      <c r="K1698" s="20"/>
    </row>
    <row r="1699" spans="1:11" x14ac:dyDescent="0.25">
      <c r="A1699"/>
      <c r="B1699"/>
      <c r="K1699" s="20"/>
    </row>
    <row r="1700" spans="1:11" x14ac:dyDescent="0.25">
      <c r="A1700"/>
      <c r="B1700"/>
      <c r="K1700" s="20"/>
    </row>
    <row r="1701" spans="1:11" x14ac:dyDescent="0.25">
      <c r="A1701"/>
      <c r="B1701"/>
      <c r="K1701" s="20"/>
    </row>
    <row r="1702" spans="1:11" x14ac:dyDescent="0.25">
      <c r="A1702"/>
      <c r="B1702"/>
      <c r="K1702" s="20"/>
    </row>
    <row r="1703" spans="1:11" x14ac:dyDescent="0.25">
      <c r="A1703"/>
      <c r="B1703"/>
      <c r="K1703" s="20"/>
    </row>
    <row r="1704" spans="1:11" x14ac:dyDescent="0.25">
      <c r="A1704"/>
      <c r="B1704"/>
      <c r="K1704" s="20"/>
    </row>
    <row r="1705" spans="1:11" x14ac:dyDescent="0.25">
      <c r="A1705"/>
      <c r="B1705"/>
      <c r="K1705" s="20"/>
    </row>
    <row r="1706" spans="1:11" x14ac:dyDescent="0.25">
      <c r="A1706"/>
      <c r="B1706"/>
      <c r="K1706" s="20"/>
    </row>
    <row r="1707" spans="1:11" x14ac:dyDescent="0.25">
      <c r="A1707"/>
      <c r="B1707"/>
      <c r="K1707" s="20"/>
    </row>
    <row r="1708" spans="1:11" x14ac:dyDescent="0.25">
      <c r="A1708"/>
      <c r="B1708"/>
      <c r="K1708" s="20"/>
    </row>
    <row r="1709" spans="1:11" x14ac:dyDescent="0.25">
      <c r="A1709"/>
      <c r="B1709"/>
      <c r="K1709" s="20"/>
    </row>
    <row r="1710" spans="1:11" x14ac:dyDescent="0.25">
      <c r="A1710"/>
      <c r="B1710"/>
      <c r="K1710" s="20"/>
    </row>
    <row r="1711" spans="1:11" x14ac:dyDescent="0.25">
      <c r="A1711"/>
      <c r="B1711"/>
      <c r="K1711" s="20"/>
    </row>
    <row r="1712" spans="1:11" x14ac:dyDescent="0.25">
      <c r="A1712"/>
      <c r="B1712"/>
      <c r="K1712" s="20"/>
    </row>
    <row r="1713" spans="1:11" x14ac:dyDescent="0.25">
      <c r="A1713"/>
      <c r="B1713"/>
      <c r="K1713" s="20"/>
    </row>
    <row r="1714" spans="1:11" x14ac:dyDescent="0.25">
      <c r="A1714"/>
      <c r="B1714"/>
      <c r="K1714" s="20"/>
    </row>
    <row r="1715" spans="1:11" x14ac:dyDescent="0.25">
      <c r="A1715"/>
      <c r="B1715"/>
      <c r="K1715" s="20"/>
    </row>
    <row r="1716" spans="1:11" x14ac:dyDescent="0.25">
      <c r="A1716"/>
      <c r="B1716"/>
      <c r="K1716" s="20"/>
    </row>
    <row r="1717" spans="1:11" x14ac:dyDescent="0.25">
      <c r="A1717"/>
      <c r="B1717"/>
      <c r="K1717" s="20"/>
    </row>
    <row r="1718" spans="1:11" x14ac:dyDescent="0.25">
      <c r="A1718"/>
      <c r="B1718"/>
      <c r="K1718" s="20"/>
    </row>
    <row r="1719" spans="1:11" x14ac:dyDescent="0.25">
      <c r="A1719"/>
      <c r="B1719"/>
      <c r="K1719" s="20"/>
    </row>
    <row r="1720" spans="1:11" x14ac:dyDescent="0.25">
      <c r="A1720"/>
      <c r="B1720"/>
      <c r="K1720" s="20"/>
    </row>
    <row r="1721" spans="1:11" x14ac:dyDescent="0.25">
      <c r="A1721"/>
      <c r="B1721"/>
      <c r="K1721" s="20"/>
    </row>
    <row r="1722" spans="1:11" x14ac:dyDescent="0.25">
      <c r="A1722"/>
      <c r="B1722"/>
      <c r="K1722" s="20"/>
    </row>
    <row r="1723" spans="1:11" x14ac:dyDescent="0.25">
      <c r="A1723"/>
      <c r="B1723"/>
      <c r="K1723" s="20"/>
    </row>
    <row r="1724" spans="1:11" x14ac:dyDescent="0.25">
      <c r="A1724"/>
      <c r="B1724"/>
      <c r="K1724" s="20"/>
    </row>
    <row r="1725" spans="1:11" x14ac:dyDescent="0.25">
      <c r="A1725"/>
      <c r="B1725"/>
      <c r="K1725" s="20"/>
    </row>
    <row r="1726" spans="1:11" x14ac:dyDescent="0.25">
      <c r="A1726"/>
      <c r="B1726"/>
      <c r="K1726" s="20"/>
    </row>
    <row r="1727" spans="1:11" x14ac:dyDescent="0.25">
      <c r="A1727"/>
      <c r="B1727"/>
      <c r="K1727" s="20"/>
    </row>
    <row r="1728" spans="1:11" x14ac:dyDescent="0.25">
      <c r="A1728"/>
      <c r="B1728"/>
      <c r="K1728" s="20"/>
    </row>
    <row r="1729" spans="1:11" x14ac:dyDescent="0.25">
      <c r="A1729"/>
      <c r="B1729"/>
      <c r="K1729" s="20"/>
    </row>
    <row r="1730" spans="1:11" x14ac:dyDescent="0.25">
      <c r="A1730"/>
      <c r="B1730"/>
      <c r="K1730" s="20"/>
    </row>
    <row r="1731" spans="1:11" x14ac:dyDescent="0.25">
      <c r="A1731"/>
      <c r="B1731"/>
      <c r="K1731" s="20"/>
    </row>
    <row r="1732" spans="1:11" x14ac:dyDescent="0.25">
      <c r="A1732"/>
      <c r="B1732"/>
      <c r="K1732" s="20"/>
    </row>
    <row r="1733" spans="1:11" x14ac:dyDescent="0.25">
      <c r="A1733"/>
      <c r="B1733"/>
      <c r="K1733" s="20"/>
    </row>
    <row r="1734" spans="1:11" x14ac:dyDescent="0.25">
      <c r="A1734"/>
      <c r="B1734"/>
      <c r="K1734" s="20"/>
    </row>
    <row r="1735" spans="1:11" x14ac:dyDescent="0.25">
      <c r="A1735"/>
      <c r="B1735"/>
      <c r="K1735" s="20"/>
    </row>
    <row r="1736" spans="1:11" x14ac:dyDescent="0.25">
      <c r="A1736"/>
      <c r="B1736"/>
      <c r="K1736" s="20"/>
    </row>
    <row r="1737" spans="1:11" x14ac:dyDescent="0.25">
      <c r="A1737"/>
      <c r="B1737"/>
      <c r="K1737" s="20"/>
    </row>
    <row r="1738" spans="1:11" x14ac:dyDescent="0.25">
      <c r="A1738"/>
      <c r="B1738"/>
      <c r="K1738" s="20"/>
    </row>
    <row r="1739" spans="1:11" x14ac:dyDescent="0.25">
      <c r="A1739"/>
      <c r="B1739"/>
      <c r="K1739" s="20"/>
    </row>
    <row r="1740" spans="1:11" x14ac:dyDescent="0.25">
      <c r="A1740"/>
      <c r="B1740"/>
      <c r="K1740" s="20"/>
    </row>
    <row r="1741" spans="1:11" x14ac:dyDescent="0.25">
      <c r="A1741"/>
      <c r="B1741"/>
      <c r="K1741" s="20"/>
    </row>
    <row r="1742" spans="1:11" x14ac:dyDescent="0.25">
      <c r="A1742"/>
      <c r="B1742"/>
      <c r="K1742" s="20"/>
    </row>
    <row r="1743" spans="1:11" x14ac:dyDescent="0.25">
      <c r="A1743"/>
      <c r="B1743"/>
      <c r="K1743" s="20"/>
    </row>
    <row r="1744" spans="1:11" x14ac:dyDescent="0.25">
      <c r="A1744"/>
      <c r="B1744"/>
      <c r="K1744" s="20"/>
    </row>
    <row r="1745" spans="1:11" x14ac:dyDescent="0.25">
      <c r="A1745"/>
      <c r="B1745"/>
      <c r="K1745" s="20"/>
    </row>
    <row r="1746" spans="1:11" x14ac:dyDescent="0.25">
      <c r="A1746"/>
      <c r="B1746"/>
      <c r="K1746" s="20"/>
    </row>
    <row r="1747" spans="1:11" x14ac:dyDescent="0.25">
      <c r="A1747"/>
      <c r="B1747"/>
      <c r="K1747" s="20"/>
    </row>
    <row r="1748" spans="1:11" x14ac:dyDescent="0.25">
      <c r="A1748"/>
      <c r="B1748"/>
      <c r="K1748" s="20"/>
    </row>
    <row r="1749" spans="1:11" x14ac:dyDescent="0.25">
      <c r="A1749"/>
      <c r="B1749"/>
      <c r="K1749" s="20"/>
    </row>
    <row r="1750" spans="1:11" x14ac:dyDescent="0.25">
      <c r="A1750"/>
      <c r="B1750"/>
      <c r="K1750" s="20"/>
    </row>
    <row r="1751" spans="1:11" x14ac:dyDescent="0.25">
      <c r="A1751"/>
      <c r="B1751"/>
      <c r="K1751" s="20"/>
    </row>
    <row r="1752" spans="1:11" x14ac:dyDescent="0.25">
      <c r="A1752"/>
      <c r="B1752"/>
      <c r="K1752" s="20"/>
    </row>
    <row r="1753" spans="1:11" x14ac:dyDescent="0.25">
      <c r="A1753"/>
      <c r="B1753"/>
      <c r="K1753" s="20"/>
    </row>
    <row r="1754" spans="1:11" x14ac:dyDescent="0.25">
      <c r="A1754"/>
      <c r="B1754"/>
      <c r="K1754" s="20"/>
    </row>
    <row r="1755" spans="1:11" x14ac:dyDescent="0.25">
      <c r="A1755"/>
      <c r="B1755"/>
      <c r="K1755" s="20"/>
    </row>
    <row r="1756" spans="1:11" x14ac:dyDescent="0.25">
      <c r="A1756"/>
      <c r="B1756"/>
      <c r="K1756" s="20"/>
    </row>
    <row r="1757" spans="1:11" x14ac:dyDescent="0.25">
      <c r="A1757"/>
      <c r="B1757"/>
      <c r="K1757" s="20"/>
    </row>
    <row r="1758" spans="1:11" x14ac:dyDescent="0.25">
      <c r="A1758"/>
      <c r="B1758"/>
      <c r="K1758" s="20"/>
    </row>
    <row r="1759" spans="1:11" x14ac:dyDescent="0.25">
      <c r="A1759"/>
      <c r="B1759"/>
      <c r="K1759" s="20"/>
    </row>
    <row r="1760" spans="1:11" x14ac:dyDescent="0.25">
      <c r="A1760"/>
      <c r="B1760"/>
      <c r="K1760" s="20"/>
    </row>
    <row r="1761" spans="1:11" x14ac:dyDescent="0.25">
      <c r="A1761"/>
      <c r="B1761"/>
      <c r="K1761" s="20"/>
    </row>
    <row r="1762" spans="1:11" x14ac:dyDescent="0.25">
      <c r="A1762"/>
      <c r="B1762"/>
      <c r="K1762" s="20"/>
    </row>
    <row r="1763" spans="1:11" x14ac:dyDescent="0.25">
      <c r="A1763"/>
      <c r="B1763"/>
      <c r="K1763" s="20"/>
    </row>
    <row r="1764" spans="1:11" x14ac:dyDescent="0.25">
      <c r="A1764"/>
      <c r="B1764"/>
      <c r="K1764" s="20"/>
    </row>
    <row r="1765" spans="1:11" x14ac:dyDescent="0.25">
      <c r="A1765"/>
      <c r="B1765"/>
      <c r="K1765" s="20"/>
    </row>
    <row r="1766" spans="1:11" x14ac:dyDescent="0.25">
      <c r="A1766"/>
      <c r="B1766"/>
      <c r="K1766" s="20"/>
    </row>
    <row r="1767" spans="1:11" x14ac:dyDescent="0.25">
      <c r="A1767"/>
      <c r="B1767"/>
      <c r="K1767" s="20"/>
    </row>
    <row r="1768" spans="1:11" x14ac:dyDescent="0.25">
      <c r="A1768"/>
      <c r="B1768"/>
      <c r="K1768" s="20"/>
    </row>
    <row r="1769" spans="1:11" x14ac:dyDescent="0.25">
      <c r="A1769"/>
      <c r="B1769"/>
      <c r="K1769" s="20"/>
    </row>
    <row r="1770" spans="1:11" x14ac:dyDescent="0.25">
      <c r="A1770"/>
      <c r="B1770"/>
      <c r="K1770" s="20"/>
    </row>
    <row r="1771" spans="1:11" x14ac:dyDescent="0.25">
      <c r="A1771"/>
      <c r="B1771"/>
      <c r="K1771" s="20"/>
    </row>
    <row r="1772" spans="1:11" x14ac:dyDescent="0.25">
      <c r="A1772"/>
      <c r="B1772"/>
      <c r="K1772" s="20"/>
    </row>
    <row r="1773" spans="1:11" x14ac:dyDescent="0.25">
      <c r="A1773"/>
      <c r="B1773"/>
      <c r="K1773" s="20"/>
    </row>
    <row r="1774" spans="1:11" x14ac:dyDescent="0.25">
      <c r="A1774"/>
      <c r="B1774"/>
      <c r="K1774" s="20"/>
    </row>
    <row r="1775" spans="1:11" x14ac:dyDescent="0.25">
      <c r="A1775"/>
      <c r="B1775"/>
      <c r="K1775" s="20"/>
    </row>
    <row r="1776" spans="1:11" x14ac:dyDescent="0.25">
      <c r="A1776"/>
      <c r="B1776"/>
      <c r="K1776" s="20"/>
    </row>
    <row r="1777" spans="1:11" x14ac:dyDescent="0.25">
      <c r="A1777"/>
      <c r="B1777"/>
      <c r="K1777" s="20"/>
    </row>
    <row r="1778" spans="1:11" x14ac:dyDescent="0.25">
      <c r="A1778"/>
      <c r="B1778"/>
      <c r="K1778" s="20"/>
    </row>
    <row r="1779" spans="1:11" x14ac:dyDescent="0.25">
      <c r="A1779"/>
      <c r="B1779"/>
      <c r="K1779" s="20"/>
    </row>
    <row r="1780" spans="1:11" x14ac:dyDescent="0.25">
      <c r="A1780"/>
      <c r="B1780"/>
      <c r="K1780" s="20"/>
    </row>
    <row r="1781" spans="1:11" x14ac:dyDescent="0.25">
      <c r="A1781"/>
      <c r="B1781"/>
      <c r="K1781" s="20"/>
    </row>
    <row r="1782" spans="1:11" x14ac:dyDescent="0.25">
      <c r="A1782"/>
      <c r="B1782"/>
      <c r="K1782" s="20"/>
    </row>
    <row r="1783" spans="1:11" x14ac:dyDescent="0.25">
      <c r="A1783"/>
      <c r="B1783"/>
      <c r="K1783" s="20"/>
    </row>
    <row r="1784" spans="1:11" x14ac:dyDescent="0.25">
      <c r="A1784"/>
      <c r="B1784"/>
      <c r="K1784" s="20"/>
    </row>
    <row r="1785" spans="1:11" x14ac:dyDescent="0.25">
      <c r="A1785"/>
      <c r="B1785"/>
      <c r="K1785" s="20"/>
    </row>
    <row r="1786" spans="1:11" x14ac:dyDescent="0.25">
      <c r="A1786"/>
      <c r="B1786"/>
      <c r="K1786" s="20"/>
    </row>
    <row r="1787" spans="1:11" x14ac:dyDescent="0.25">
      <c r="A1787"/>
      <c r="B1787"/>
      <c r="K1787" s="20"/>
    </row>
    <row r="1788" spans="1:11" x14ac:dyDescent="0.25">
      <c r="A1788"/>
      <c r="B1788"/>
      <c r="K1788" s="20"/>
    </row>
    <row r="1789" spans="1:11" x14ac:dyDescent="0.25">
      <c r="A1789"/>
      <c r="B1789"/>
      <c r="K1789" s="20"/>
    </row>
    <row r="1790" spans="1:11" x14ac:dyDescent="0.25">
      <c r="A1790"/>
      <c r="B1790"/>
      <c r="K1790" s="20"/>
    </row>
    <row r="1791" spans="1:11" x14ac:dyDescent="0.25">
      <c r="A1791"/>
      <c r="B1791"/>
      <c r="K1791" s="20"/>
    </row>
    <row r="1792" spans="1:11" x14ac:dyDescent="0.25">
      <c r="A1792"/>
      <c r="B1792"/>
      <c r="K1792" s="20"/>
    </row>
    <row r="1793" spans="1:11" x14ac:dyDescent="0.25">
      <c r="A1793"/>
      <c r="B1793"/>
      <c r="K1793" s="20"/>
    </row>
    <row r="1794" spans="1:11" x14ac:dyDescent="0.25">
      <c r="A1794"/>
      <c r="B1794"/>
      <c r="K1794" s="20"/>
    </row>
    <row r="1795" spans="1:11" x14ac:dyDescent="0.25">
      <c r="A1795"/>
      <c r="B1795"/>
      <c r="K1795" s="20"/>
    </row>
    <row r="1796" spans="1:11" x14ac:dyDescent="0.25">
      <c r="A1796"/>
      <c r="B1796"/>
      <c r="K1796" s="20"/>
    </row>
    <row r="1797" spans="1:11" x14ac:dyDescent="0.25">
      <c r="A1797"/>
      <c r="B1797"/>
      <c r="K1797" s="20"/>
    </row>
    <row r="1798" spans="1:11" x14ac:dyDescent="0.25">
      <c r="A1798"/>
      <c r="B1798"/>
      <c r="K1798" s="20"/>
    </row>
    <row r="1799" spans="1:11" x14ac:dyDescent="0.25">
      <c r="A1799"/>
      <c r="B1799"/>
      <c r="K1799" s="20"/>
    </row>
    <row r="1800" spans="1:11" x14ac:dyDescent="0.25">
      <c r="A1800"/>
      <c r="B1800"/>
      <c r="K1800" s="20"/>
    </row>
    <row r="1801" spans="1:11" x14ac:dyDescent="0.25">
      <c r="A1801"/>
      <c r="B1801"/>
      <c r="K1801" s="20"/>
    </row>
    <row r="1802" spans="1:11" x14ac:dyDescent="0.25">
      <c r="A1802" s="16"/>
      <c r="C1802" s="11"/>
      <c r="K1802" s="20"/>
    </row>
    <row r="1803" spans="1:11" x14ac:dyDescent="0.25">
      <c r="A1803" s="16"/>
      <c r="C1803" s="11"/>
      <c r="K1803" s="20"/>
    </row>
    <row r="1804" spans="1:11" x14ac:dyDescent="0.25">
      <c r="A1804" s="16"/>
      <c r="C1804" s="11"/>
      <c r="K1804" s="20"/>
    </row>
    <row r="1805" spans="1:11" x14ac:dyDescent="0.25">
      <c r="A1805" s="16"/>
      <c r="C1805" s="11"/>
      <c r="K1805" s="20"/>
    </row>
    <row r="1806" spans="1:11" x14ac:dyDescent="0.25">
      <c r="A1806" s="16"/>
      <c r="C1806" s="11"/>
      <c r="K1806" s="20"/>
    </row>
    <row r="1807" spans="1:11" x14ac:dyDescent="0.25">
      <c r="A1807" s="16"/>
      <c r="C1807" s="11"/>
      <c r="K1807" s="20"/>
    </row>
    <row r="1808" spans="1:11" x14ac:dyDescent="0.25">
      <c r="A1808" s="16"/>
      <c r="C1808" s="11"/>
      <c r="K1808" s="20"/>
    </row>
    <row r="1809" spans="1:11" x14ac:dyDescent="0.25">
      <c r="A1809" s="16"/>
      <c r="C1809" s="11"/>
      <c r="K1809" s="20"/>
    </row>
    <row r="1810" spans="1:11" x14ac:dyDescent="0.25">
      <c r="A1810" s="16"/>
      <c r="C1810" s="11"/>
      <c r="K1810" s="20"/>
    </row>
    <row r="1811" spans="1:11" x14ac:dyDescent="0.25">
      <c r="A1811" s="16"/>
      <c r="C1811" s="11"/>
      <c r="K1811" s="20"/>
    </row>
    <row r="1812" spans="1:11" x14ac:dyDescent="0.25">
      <c r="A1812" s="16"/>
      <c r="C1812" s="11"/>
      <c r="K1812" s="20"/>
    </row>
    <row r="1813" spans="1:11" x14ac:dyDescent="0.25">
      <c r="A1813" s="16"/>
      <c r="C1813" s="11"/>
      <c r="K1813" s="20"/>
    </row>
    <row r="1814" spans="1:11" x14ac:dyDescent="0.25">
      <c r="A1814" s="16"/>
      <c r="C1814" s="11"/>
      <c r="K1814" s="20"/>
    </row>
    <row r="1815" spans="1:11" x14ac:dyDescent="0.25">
      <c r="A1815" s="16"/>
      <c r="C1815" s="11"/>
      <c r="K1815" s="20"/>
    </row>
    <row r="1816" spans="1:11" x14ac:dyDescent="0.25">
      <c r="A1816" s="16"/>
      <c r="C1816" s="11"/>
      <c r="K1816" s="20"/>
    </row>
    <row r="1817" spans="1:11" x14ac:dyDescent="0.25">
      <c r="A1817" s="16"/>
      <c r="C1817" s="11"/>
      <c r="K1817" s="20"/>
    </row>
    <row r="1818" spans="1:11" x14ac:dyDescent="0.25">
      <c r="A1818" s="16"/>
      <c r="C1818" s="11"/>
      <c r="K1818" s="20"/>
    </row>
    <row r="1819" spans="1:11" x14ac:dyDescent="0.25">
      <c r="A1819" s="16"/>
      <c r="C1819" s="11"/>
      <c r="K1819" s="20"/>
    </row>
    <row r="1820" spans="1:11" x14ac:dyDescent="0.25">
      <c r="A1820" s="16"/>
      <c r="C1820" s="11"/>
      <c r="K1820" s="20"/>
    </row>
    <row r="1821" spans="1:11" x14ac:dyDescent="0.25">
      <c r="A1821" s="16"/>
      <c r="C1821" s="11"/>
      <c r="K1821" s="20"/>
    </row>
    <row r="1822" spans="1:11" x14ac:dyDescent="0.25">
      <c r="A1822" s="16"/>
      <c r="C1822" s="11"/>
      <c r="K1822" s="20"/>
    </row>
    <row r="1823" spans="1:11" x14ac:dyDescent="0.25">
      <c r="A1823" s="16"/>
      <c r="C1823" s="11"/>
      <c r="K1823" s="20"/>
    </row>
    <row r="1824" spans="1:11" x14ac:dyDescent="0.25">
      <c r="A1824" s="16"/>
      <c r="C1824" s="11"/>
      <c r="K1824" s="20"/>
    </row>
    <row r="1825" spans="1:11" x14ac:dyDescent="0.25">
      <c r="A1825" s="16"/>
      <c r="C1825" s="11"/>
      <c r="K1825" s="20"/>
    </row>
    <row r="1826" spans="1:11" x14ac:dyDescent="0.25">
      <c r="A1826" s="16"/>
      <c r="C1826" s="11"/>
      <c r="K1826" s="20"/>
    </row>
    <row r="1827" spans="1:11" x14ac:dyDescent="0.25">
      <c r="A1827" s="16"/>
      <c r="C1827" s="11"/>
      <c r="K1827" s="20"/>
    </row>
    <row r="1828" spans="1:11" x14ac:dyDescent="0.25">
      <c r="A1828" s="16"/>
      <c r="C1828" s="11"/>
      <c r="K1828" s="20"/>
    </row>
    <row r="1829" spans="1:11" x14ac:dyDescent="0.25">
      <c r="A1829" s="16"/>
      <c r="C1829" s="11"/>
      <c r="K1829" s="20"/>
    </row>
    <row r="1830" spans="1:11" x14ac:dyDescent="0.25">
      <c r="A1830" s="16"/>
      <c r="C1830" s="11"/>
      <c r="K1830" s="20"/>
    </row>
    <row r="1831" spans="1:11" x14ac:dyDescent="0.25">
      <c r="A1831" s="16"/>
      <c r="C1831" s="11"/>
      <c r="K1831" s="20"/>
    </row>
    <row r="1832" spans="1:11" x14ac:dyDescent="0.25">
      <c r="A1832" s="16"/>
      <c r="C1832" s="11"/>
      <c r="K1832" s="20"/>
    </row>
    <row r="1833" spans="1:11" x14ac:dyDescent="0.25">
      <c r="A1833" s="16"/>
      <c r="C1833" s="11"/>
      <c r="K1833" s="20"/>
    </row>
    <row r="1834" spans="1:11" x14ac:dyDescent="0.25">
      <c r="A1834" s="16"/>
      <c r="C1834" s="11"/>
      <c r="K1834" s="20"/>
    </row>
    <row r="1835" spans="1:11" x14ac:dyDescent="0.25">
      <c r="A1835" s="16"/>
      <c r="C1835" s="11"/>
      <c r="K1835" s="20"/>
    </row>
    <row r="1836" spans="1:11" x14ac:dyDescent="0.25">
      <c r="A1836" s="16"/>
      <c r="C1836" s="11"/>
      <c r="K1836" s="20"/>
    </row>
    <row r="1837" spans="1:11" x14ac:dyDescent="0.25">
      <c r="A1837" s="16"/>
      <c r="C1837" s="11"/>
      <c r="K1837" s="20"/>
    </row>
    <row r="1838" spans="1:11" x14ac:dyDescent="0.25">
      <c r="A1838" s="16"/>
      <c r="C1838" s="11"/>
      <c r="K1838" s="20"/>
    </row>
    <row r="1839" spans="1:11" x14ac:dyDescent="0.25">
      <c r="A1839" s="16"/>
      <c r="C1839" s="11"/>
      <c r="K1839" s="20"/>
    </row>
    <row r="1840" spans="1:11" x14ac:dyDescent="0.25">
      <c r="A1840" s="16"/>
      <c r="C1840" s="11"/>
      <c r="K1840" s="20"/>
    </row>
    <row r="1841" spans="1:11" x14ac:dyDescent="0.25">
      <c r="A1841" s="16"/>
      <c r="C1841" s="11"/>
      <c r="K1841" s="20"/>
    </row>
    <row r="1842" spans="1:11" x14ac:dyDescent="0.25">
      <c r="A1842" s="16"/>
      <c r="C1842" s="11"/>
      <c r="K1842" s="20"/>
    </row>
    <row r="1843" spans="1:11" x14ac:dyDescent="0.25">
      <c r="A1843" s="16"/>
      <c r="C1843" s="11"/>
      <c r="K1843" s="20"/>
    </row>
    <row r="1844" spans="1:11" x14ac:dyDescent="0.25">
      <c r="A1844" s="16"/>
      <c r="C1844" s="11"/>
      <c r="K1844" s="20"/>
    </row>
    <row r="1845" spans="1:11" x14ac:dyDescent="0.25">
      <c r="A1845" s="16"/>
      <c r="C1845" s="11"/>
      <c r="K1845" s="20"/>
    </row>
    <row r="1846" spans="1:11" x14ac:dyDescent="0.25">
      <c r="A1846" s="16"/>
      <c r="C1846" s="11"/>
      <c r="K1846" s="20"/>
    </row>
    <row r="1847" spans="1:11" x14ac:dyDescent="0.25">
      <c r="A1847" s="16"/>
      <c r="C1847" s="11"/>
      <c r="K1847" s="20"/>
    </row>
    <row r="1848" spans="1:11" x14ac:dyDescent="0.25">
      <c r="A1848" s="16"/>
      <c r="C1848" s="11"/>
      <c r="K1848" s="20"/>
    </row>
    <row r="1849" spans="1:11" x14ac:dyDescent="0.25">
      <c r="A1849" s="16"/>
      <c r="C1849" s="11"/>
      <c r="K1849" s="20"/>
    </row>
    <row r="1850" spans="1:11" x14ac:dyDescent="0.25">
      <c r="A1850" s="16"/>
      <c r="C1850" s="11"/>
      <c r="K1850" s="20"/>
    </row>
    <row r="1851" spans="1:11" x14ac:dyDescent="0.25">
      <c r="A1851" s="16"/>
      <c r="C1851" s="11"/>
      <c r="K1851" s="20"/>
    </row>
    <row r="1852" spans="1:11" x14ac:dyDescent="0.25">
      <c r="A1852" s="16"/>
      <c r="C1852" s="11"/>
      <c r="K1852" s="20"/>
    </row>
    <row r="1853" spans="1:11" x14ac:dyDescent="0.25">
      <c r="A1853" s="16"/>
      <c r="C1853" s="11"/>
      <c r="K1853" s="20"/>
    </row>
    <row r="1854" spans="1:11" x14ac:dyDescent="0.25">
      <c r="A1854" s="16"/>
      <c r="C1854" s="11"/>
      <c r="K1854" s="20"/>
    </row>
    <row r="1855" spans="1:11" x14ac:dyDescent="0.25">
      <c r="A1855" s="16"/>
      <c r="C1855" s="11"/>
      <c r="K1855" s="20"/>
    </row>
    <row r="1856" spans="1:11" x14ac:dyDescent="0.25">
      <c r="A1856" s="16"/>
      <c r="C1856" s="11"/>
      <c r="K1856" s="20"/>
    </row>
    <row r="1857" spans="1:11" x14ac:dyDescent="0.25">
      <c r="A1857" s="16"/>
      <c r="C1857" s="11"/>
      <c r="K1857" s="20"/>
    </row>
    <row r="1858" spans="1:11" x14ac:dyDescent="0.25">
      <c r="A1858" s="16"/>
      <c r="C1858" s="11"/>
      <c r="K1858" s="20"/>
    </row>
    <row r="1859" spans="1:11" x14ac:dyDescent="0.25">
      <c r="A1859" s="16"/>
      <c r="C1859" s="11"/>
      <c r="K1859" s="20"/>
    </row>
    <row r="1860" spans="1:11" x14ac:dyDescent="0.25">
      <c r="A1860" s="16"/>
      <c r="C1860" s="11"/>
      <c r="K1860" s="20"/>
    </row>
    <row r="1861" spans="1:11" x14ac:dyDescent="0.25">
      <c r="A1861" s="16"/>
      <c r="C1861" s="11"/>
      <c r="K1861" s="20"/>
    </row>
    <row r="1862" spans="1:11" x14ac:dyDescent="0.25">
      <c r="A1862" s="16"/>
      <c r="C1862" s="11"/>
      <c r="K1862" s="20"/>
    </row>
    <row r="1863" spans="1:11" x14ac:dyDescent="0.25">
      <c r="A1863" s="16"/>
      <c r="C1863" s="11"/>
      <c r="K1863" s="20"/>
    </row>
    <row r="1864" spans="1:11" x14ac:dyDescent="0.25">
      <c r="A1864" s="16"/>
      <c r="C1864" s="11"/>
      <c r="K1864" s="20"/>
    </row>
    <row r="1865" spans="1:11" x14ac:dyDescent="0.25">
      <c r="A1865" s="16"/>
      <c r="C1865" s="11"/>
      <c r="K1865" s="20"/>
    </row>
    <row r="1866" spans="1:11" x14ac:dyDescent="0.25">
      <c r="A1866" s="16"/>
      <c r="C1866" s="11"/>
      <c r="K1866" s="20"/>
    </row>
    <row r="1867" spans="1:11" x14ac:dyDescent="0.25">
      <c r="A1867" s="16"/>
      <c r="C1867" s="11"/>
      <c r="K1867" s="20"/>
    </row>
    <row r="1868" spans="1:11" x14ac:dyDescent="0.25">
      <c r="A1868" s="16"/>
      <c r="C1868" s="11"/>
      <c r="K1868" s="20"/>
    </row>
    <row r="1869" spans="1:11" x14ac:dyDescent="0.25">
      <c r="A1869" s="16"/>
      <c r="C1869" s="11"/>
      <c r="K1869" s="20"/>
    </row>
    <row r="1870" spans="1:11" x14ac:dyDescent="0.25">
      <c r="A1870" s="16"/>
      <c r="C1870" s="11"/>
      <c r="K1870" s="20"/>
    </row>
    <row r="1871" spans="1:11" x14ac:dyDescent="0.25">
      <c r="A1871" s="16"/>
      <c r="C1871" s="11"/>
      <c r="K1871" s="20"/>
    </row>
    <row r="1872" spans="1:11" x14ac:dyDescent="0.25">
      <c r="A1872" s="16"/>
      <c r="C1872" s="11"/>
      <c r="K1872" s="20"/>
    </row>
    <row r="1873" spans="1:11" x14ac:dyDescent="0.25">
      <c r="A1873" s="16"/>
      <c r="C1873" s="11"/>
      <c r="K1873" s="20"/>
    </row>
    <row r="1874" spans="1:11" x14ac:dyDescent="0.25">
      <c r="A1874" s="16"/>
      <c r="C1874" s="11"/>
      <c r="K1874" s="20"/>
    </row>
    <row r="1875" spans="1:11" x14ac:dyDescent="0.25">
      <c r="A1875" s="16"/>
      <c r="C1875" s="11"/>
      <c r="K1875" s="20"/>
    </row>
    <row r="1876" spans="1:11" x14ac:dyDescent="0.25">
      <c r="A1876" s="16"/>
      <c r="C1876" s="11"/>
      <c r="K1876" s="20"/>
    </row>
    <row r="1877" spans="1:11" x14ac:dyDescent="0.25">
      <c r="A1877" s="16"/>
      <c r="C1877" s="11"/>
      <c r="K1877" s="20"/>
    </row>
    <row r="1878" spans="1:11" x14ac:dyDescent="0.25">
      <c r="A1878" s="16"/>
      <c r="C1878" s="11"/>
      <c r="K1878" s="20"/>
    </row>
    <row r="1879" spans="1:11" x14ac:dyDescent="0.25">
      <c r="A1879" s="16"/>
      <c r="C1879" s="11"/>
      <c r="K1879" s="20"/>
    </row>
    <row r="1880" spans="1:11" x14ac:dyDescent="0.25">
      <c r="A1880" s="16"/>
      <c r="C1880" s="11"/>
      <c r="K1880" s="20"/>
    </row>
    <row r="1881" spans="1:11" x14ac:dyDescent="0.25">
      <c r="A1881" s="16"/>
      <c r="C1881" s="11"/>
      <c r="K1881" s="20"/>
    </row>
    <row r="1882" spans="1:11" x14ac:dyDescent="0.25">
      <c r="A1882" s="16"/>
      <c r="C1882" s="11"/>
      <c r="K1882" s="20"/>
    </row>
    <row r="1883" spans="1:11" x14ac:dyDescent="0.25">
      <c r="A1883" s="16"/>
      <c r="C1883" s="11"/>
      <c r="K1883" s="20"/>
    </row>
    <row r="1884" spans="1:11" x14ac:dyDescent="0.25">
      <c r="A1884" s="16"/>
      <c r="C1884" s="11"/>
      <c r="K1884" s="20"/>
    </row>
    <row r="1885" spans="1:11" x14ac:dyDescent="0.25">
      <c r="A1885" s="16"/>
      <c r="C1885" s="11"/>
      <c r="K1885" s="20"/>
    </row>
    <row r="1886" spans="1:11" x14ac:dyDescent="0.25">
      <c r="A1886" s="16"/>
      <c r="C1886" s="11"/>
      <c r="K1886" s="20"/>
    </row>
    <row r="1887" spans="1:11" x14ac:dyDescent="0.25">
      <c r="A1887" s="16"/>
      <c r="C1887" s="11"/>
      <c r="K1887" s="20"/>
    </row>
    <row r="1888" spans="1:11" x14ac:dyDescent="0.25">
      <c r="A1888" s="16"/>
      <c r="C1888" s="11"/>
      <c r="K1888" s="20"/>
    </row>
    <row r="1889" spans="1:11" x14ac:dyDescent="0.25">
      <c r="A1889" s="16"/>
      <c r="C1889" s="11"/>
      <c r="K1889" s="20"/>
    </row>
    <row r="1890" spans="1:11" x14ac:dyDescent="0.25">
      <c r="A1890" s="16"/>
      <c r="C1890" s="11"/>
      <c r="K1890" s="20"/>
    </row>
    <row r="1891" spans="1:11" x14ac:dyDescent="0.25">
      <c r="A1891" s="16"/>
      <c r="C1891" s="11"/>
      <c r="K1891" s="20"/>
    </row>
    <row r="1892" spans="1:11" x14ac:dyDescent="0.25">
      <c r="A1892" s="16"/>
      <c r="C1892" s="11"/>
      <c r="K1892" s="20"/>
    </row>
    <row r="1893" spans="1:11" x14ac:dyDescent="0.25">
      <c r="A1893" s="16"/>
      <c r="C1893" s="11"/>
      <c r="K1893" s="20"/>
    </row>
    <row r="1894" spans="1:11" x14ac:dyDescent="0.25">
      <c r="A1894" s="16"/>
      <c r="C1894" s="11"/>
      <c r="K1894" s="20"/>
    </row>
    <row r="1895" spans="1:11" x14ac:dyDescent="0.25">
      <c r="A1895" s="16"/>
      <c r="C1895" s="11"/>
      <c r="K1895" s="20"/>
    </row>
    <row r="1896" spans="1:11" x14ac:dyDescent="0.25">
      <c r="A1896" s="16"/>
      <c r="C1896" s="11"/>
      <c r="K1896" s="20"/>
    </row>
    <row r="1897" spans="1:11" x14ac:dyDescent="0.25">
      <c r="A1897" s="16"/>
      <c r="C1897" s="11"/>
      <c r="K1897" s="20"/>
    </row>
    <row r="1898" spans="1:11" x14ac:dyDescent="0.25">
      <c r="A1898" s="16"/>
      <c r="C1898" s="11"/>
      <c r="K1898" s="20"/>
    </row>
    <row r="1899" spans="1:11" x14ac:dyDescent="0.25">
      <c r="A1899" s="16"/>
      <c r="C1899" s="11"/>
      <c r="K1899" s="20"/>
    </row>
    <row r="1900" spans="1:11" x14ac:dyDescent="0.25">
      <c r="A1900" s="16"/>
      <c r="C1900" s="11"/>
      <c r="K1900" s="20"/>
    </row>
    <row r="1901" spans="1:11" x14ac:dyDescent="0.25">
      <c r="A1901" s="16"/>
      <c r="C1901" s="11"/>
      <c r="K1901" s="20"/>
    </row>
    <row r="1902" spans="1:11" x14ac:dyDescent="0.25">
      <c r="A1902" s="16"/>
      <c r="C1902" s="11"/>
      <c r="K1902" s="20"/>
    </row>
    <row r="1903" spans="1:11" x14ac:dyDescent="0.25">
      <c r="A1903" s="16"/>
      <c r="C1903" s="11"/>
      <c r="K1903" s="20"/>
    </row>
    <row r="1904" spans="1:11" x14ac:dyDescent="0.25">
      <c r="A1904" s="16"/>
      <c r="C1904" s="11"/>
      <c r="K1904" s="20"/>
    </row>
    <row r="1905" spans="1:11" x14ac:dyDescent="0.25">
      <c r="A1905" s="16"/>
      <c r="C1905" s="11"/>
      <c r="K1905" s="20"/>
    </row>
    <row r="1906" spans="1:11" x14ac:dyDescent="0.25">
      <c r="A1906" s="16"/>
      <c r="C1906" s="11"/>
      <c r="K1906" s="20"/>
    </row>
    <row r="1907" spans="1:11" x14ac:dyDescent="0.25">
      <c r="A1907" s="16"/>
      <c r="C1907" s="11"/>
      <c r="K1907" s="20"/>
    </row>
    <row r="1908" spans="1:11" x14ac:dyDescent="0.25">
      <c r="A1908" s="16"/>
      <c r="C1908" s="11"/>
      <c r="K1908" s="20"/>
    </row>
    <row r="1909" spans="1:11" x14ac:dyDescent="0.25">
      <c r="A1909" s="16"/>
      <c r="C1909" s="11"/>
      <c r="K1909" s="20"/>
    </row>
    <row r="1910" spans="1:11" x14ac:dyDescent="0.25">
      <c r="A1910" s="16"/>
      <c r="C1910" s="11"/>
      <c r="K1910" s="20"/>
    </row>
    <row r="1911" spans="1:11" x14ac:dyDescent="0.25">
      <c r="A1911" s="16"/>
      <c r="C1911" s="11"/>
      <c r="K1911" s="20"/>
    </row>
    <row r="1912" spans="1:11" x14ac:dyDescent="0.25">
      <c r="A1912" s="16"/>
      <c r="C1912" s="11"/>
      <c r="K1912" s="20"/>
    </row>
    <row r="1913" spans="1:11" x14ac:dyDescent="0.25">
      <c r="A1913" s="16"/>
      <c r="C1913" s="11"/>
      <c r="K1913" s="20"/>
    </row>
    <row r="1914" spans="1:11" x14ac:dyDescent="0.25">
      <c r="A1914" s="16"/>
      <c r="C1914" s="11"/>
      <c r="K1914" s="20"/>
    </row>
    <row r="1915" spans="1:11" x14ac:dyDescent="0.25">
      <c r="A1915" s="16"/>
      <c r="C1915" s="11"/>
      <c r="K1915" s="20"/>
    </row>
    <row r="1916" spans="1:11" x14ac:dyDescent="0.25">
      <c r="A1916" s="16"/>
      <c r="C1916" s="11"/>
      <c r="K1916" s="20"/>
    </row>
    <row r="1917" spans="1:11" x14ac:dyDescent="0.25">
      <c r="A1917" s="16"/>
      <c r="C1917" s="11"/>
      <c r="K1917" s="20"/>
    </row>
    <row r="1918" spans="1:11" x14ac:dyDescent="0.25">
      <c r="A1918" s="16"/>
      <c r="C1918" s="11"/>
      <c r="K1918" s="20"/>
    </row>
    <row r="1919" spans="1:11" x14ac:dyDescent="0.25">
      <c r="A1919" s="16"/>
      <c r="C1919" s="11"/>
      <c r="K1919" s="20"/>
    </row>
    <row r="1920" spans="1:11" x14ac:dyDescent="0.25">
      <c r="A1920" s="16"/>
      <c r="C1920" s="11"/>
      <c r="K1920" s="20"/>
    </row>
    <row r="1921" spans="1:11" x14ac:dyDescent="0.25">
      <c r="A1921" s="16"/>
      <c r="C1921" s="11"/>
      <c r="K1921" s="20"/>
    </row>
    <row r="1922" spans="1:11" x14ac:dyDescent="0.25">
      <c r="A1922" s="16"/>
      <c r="C1922" s="11"/>
      <c r="K1922" s="20"/>
    </row>
    <row r="1923" spans="1:11" x14ac:dyDescent="0.25">
      <c r="A1923" s="16"/>
      <c r="C1923" s="11"/>
      <c r="K1923" s="20"/>
    </row>
    <row r="1924" spans="1:11" x14ac:dyDescent="0.25">
      <c r="A1924" s="16"/>
      <c r="C1924" s="11"/>
      <c r="K1924" s="20"/>
    </row>
    <row r="1925" spans="1:11" x14ac:dyDescent="0.25">
      <c r="A1925" s="16"/>
      <c r="C1925" s="11"/>
      <c r="K1925" s="20"/>
    </row>
    <row r="1926" spans="1:11" x14ac:dyDescent="0.25">
      <c r="A1926" s="16"/>
      <c r="C1926" s="11"/>
      <c r="K1926" s="20"/>
    </row>
    <row r="1927" spans="1:11" x14ac:dyDescent="0.25">
      <c r="A1927" s="16"/>
      <c r="C1927" s="11"/>
      <c r="K1927" s="20"/>
    </row>
    <row r="1928" spans="1:11" x14ac:dyDescent="0.25">
      <c r="A1928" s="16"/>
      <c r="C1928" s="11"/>
      <c r="K1928" s="20"/>
    </row>
    <row r="1929" spans="1:11" x14ac:dyDescent="0.25">
      <c r="A1929" s="16"/>
      <c r="C1929" s="11"/>
      <c r="K1929" s="20"/>
    </row>
    <row r="1930" spans="1:11" x14ac:dyDescent="0.25">
      <c r="A1930" s="16"/>
      <c r="C1930" s="11"/>
      <c r="K1930" s="20"/>
    </row>
    <row r="1931" spans="1:11" x14ac:dyDescent="0.25">
      <c r="A1931" s="16"/>
      <c r="C1931" s="11"/>
      <c r="K1931" s="20"/>
    </row>
    <row r="1932" spans="1:11" x14ac:dyDescent="0.25">
      <c r="A1932" s="16"/>
      <c r="C1932" s="11"/>
      <c r="K1932" s="20"/>
    </row>
    <row r="1933" spans="1:11" x14ac:dyDescent="0.25">
      <c r="A1933" s="16"/>
      <c r="C1933" s="11"/>
      <c r="K1933" s="20"/>
    </row>
    <row r="1934" spans="1:11" x14ac:dyDescent="0.25">
      <c r="A1934" s="16"/>
      <c r="C1934" s="11"/>
      <c r="K1934" s="20"/>
    </row>
    <row r="1935" spans="1:11" x14ac:dyDescent="0.25">
      <c r="A1935" s="16"/>
      <c r="C1935" s="11"/>
      <c r="K1935" s="20"/>
    </row>
    <row r="1936" spans="1:11" x14ac:dyDescent="0.25">
      <c r="A1936" s="16"/>
      <c r="C1936" s="11"/>
      <c r="K1936" s="20"/>
    </row>
    <row r="1937" spans="1:11" x14ac:dyDescent="0.25">
      <c r="A1937" s="16"/>
      <c r="C1937" s="11"/>
      <c r="K1937" s="20"/>
    </row>
    <row r="1938" spans="1:11" x14ac:dyDescent="0.25">
      <c r="A1938" s="16"/>
      <c r="C1938" s="11"/>
      <c r="K1938" s="20"/>
    </row>
    <row r="1939" spans="1:11" x14ac:dyDescent="0.25">
      <c r="A1939" s="16"/>
      <c r="C1939" s="11"/>
      <c r="K1939" s="20"/>
    </row>
    <row r="1940" spans="1:11" x14ac:dyDescent="0.25">
      <c r="A1940" s="16"/>
      <c r="C1940" s="11"/>
      <c r="K1940" s="20"/>
    </row>
    <row r="1941" spans="1:11" x14ac:dyDescent="0.25">
      <c r="A1941" s="16"/>
      <c r="C1941" s="11"/>
      <c r="K1941" s="20"/>
    </row>
    <row r="1942" spans="1:11" x14ac:dyDescent="0.25">
      <c r="A1942" s="16"/>
      <c r="C1942" s="11"/>
      <c r="K1942" s="20"/>
    </row>
    <row r="1943" spans="1:11" x14ac:dyDescent="0.25">
      <c r="A1943" s="16"/>
      <c r="C1943" s="11"/>
      <c r="K1943" s="20"/>
    </row>
    <row r="1944" spans="1:11" x14ac:dyDescent="0.25">
      <c r="A1944" s="16"/>
      <c r="C1944" s="11"/>
      <c r="K1944" s="20"/>
    </row>
    <row r="1945" spans="1:11" x14ac:dyDescent="0.25">
      <c r="A1945" s="16"/>
      <c r="C1945" s="11"/>
      <c r="K1945" s="20"/>
    </row>
    <row r="1946" spans="1:11" x14ac:dyDescent="0.25">
      <c r="A1946" s="16"/>
      <c r="C1946" s="11"/>
      <c r="K1946" s="20"/>
    </row>
    <row r="1947" spans="1:11" x14ac:dyDescent="0.25">
      <c r="A1947" s="16"/>
      <c r="C1947" s="11"/>
      <c r="K1947" s="20"/>
    </row>
    <row r="1948" spans="1:11" x14ac:dyDescent="0.25">
      <c r="A1948" s="16"/>
      <c r="C1948" s="11"/>
      <c r="K1948" s="20"/>
    </row>
    <row r="1949" spans="1:11" x14ac:dyDescent="0.25">
      <c r="A1949" s="16"/>
      <c r="C1949" s="11"/>
      <c r="K1949" s="20"/>
    </row>
    <row r="1950" spans="1:11" x14ac:dyDescent="0.25">
      <c r="A1950" s="16"/>
      <c r="C1950" s="11"/>
      <c r="K1950" s="20"/>
    </row>
    <row r="1951" spans="1:11" x14ac:dyDescent="0.25">
      <c r="A1951" s="16"/>
      <c r="C1951" s="11"/>
      <c r="K1951" s="20"/>
    </row>
    <row r="1952" spans="1:11" x14ac:dyDescent="0.25">
      <c r="A1952" s="16"/>
      <c r="C1952" s="11"/>
      <c r="K1952" s="20"/>
    </row>
    <row r="1953" spans="1:11" x14ac:dyDescent="0.25">
      <c r="A1953" s="16"/>
      <c r="C1953" s="11"/>
      <c r="K1953" s="20"/>
    </row>
    <row r="1954" spans="1:11" x14ac:dyDescent="0.25">
      <c r="A1954" s="16"/>
      <c r="C1954" s="11"/>
      <c r="K1954" s="20"/>
    </row>
    <row r="1955" spans="1:11" x14ac:dyDescent="0.25">
      <c r="A1955" s="16"/>
      <c r="C1955" s="11"/>
      <c r="K1955" s="20"/>
    </row>
    <row r="1956" spans="1:11" x14ac:dyDescent="0.25">
      <c r="A1956" s="16"/>
      <c r="C1956" s="11"/>
      <c r="K1956" s="20"/>
    </row>
    <row r="1957" spans="1:11" x14ac:dyDescent="0.25">
      <c r="A1957" s="16"/>
      <c r="C1957" s="11"/>
      <c r="K1957" s="20"/>
    </row>
    <row r="1958" spans="1:11" x14ac:dyDescent="0.25">
      <c r="A1958" s="16"/>
      <c r="C1958" s="11"/>
      <c r="K1958" s="20"/>
    </row>
    <row r="1959" spans="1:11" x14ac:dyDescent="0.25">
      <c r="A1959" s="16"/>
      <c r="C1959" s="11"/>
      <c r="K1959" s="20"/>
    </row>
    <row r="1960" spans="1:11" x14ac:dyDescent="0.25">
      <c r="A1960" s="16"/>
      <c r="C1960" s="11"/>
      <c r="K1960" s="20"/>
    </row>
    <row r="1961" spans="1:11" x14ac:dyDescent="0.25">
      <c r="A1961" s="16"/>
      <c r="C1961" s="11"/>
      <c r="K1961" s="20"/>
    </row>
    <row r="1962" spans="1:11" x14ac:dyDescent="0.25">
      <c r="A1962" s="16"/>
      <c r="C1962" s="11"/>
      <c r="K1962" s="20"/>
    </row>
    <row r="1963" spans="1:11" x14ac:dyDescent="0.25">
      <c r="A1963" s="16"/>
      <c r="C1963" s="11"/>
      <c r="K1963" s="20"/>
    </row>
    <row r="1964" spans="1:11" x14ac:dyDescent="0.25">
      <c r="A1964" s="16"/>
      <c r="C1964" s="11"/>
      <c r="K1964" s="20"/>
    </row>
    <row r="1965" spans="1:11" x14ac:dyDescent="0.25">
      <c r="A1965" s="16"/>
      <c r="C1965" s="11"/>
      <c r="K1965" s="20"/>
    </row>
    <row r="1966" spans="1:11" x14ac:dyDescent="0.25">
      <c r="A1966" s="16"/>
      <c r="C1966" s="11"/>
      <c r="K1966" s="20"/>
    </row>
    <row r="1967" spans="1:11" x14ac:dyDescent="0.25">
      <c r="A1967" s="16"/>
      <c r="C1967" s="11"/>
      <c r="K1967" s="20"/>
    </row>
    <row r="1968" spans="1:11" x14ac:dyDescent="0.25">
      <c r="A1968" s="16"/>
      <c r="C1968" s="11"/>
      <c r="K1968" s="20"/>
    </row>
    <row r="1969" spans="1:11" x14ac:dyDescent="0.25">
      <c r="A1969" s="16"/>
      <c r="C1969" s="11"/>
      <c r="K1969" s="20"/>
    </row>
    <row r="1970" spans="1:11" x14ac:dyDescent="0.25">
      <c r="A1970" s="16"/>
      <c r="C1970" s="11"/>
      <c r="K1970" s="20"/>
    </row>
    <row r="1971" spans="1:11" x14ac:dyDescent="0.25">
      <c r="A1971" s="16"/>
      <c r="C1971" s="11"/>
      <c r="K1971" s="20"/>
    </row>
    <row r="1972" spans="1:11" x14ac:dyDescent="0.25">
      <c r="A1972" s="16"/>
      <c r="C1972" s="11"/>
      <c r="K1972" s="20"/>
    </row>
    <row r="1973" spans="1:11" x14ac:dyDescent="0.25">
      <c r="A1973" s="16"/>
      <c r="C1973" s="11"/>
      <c r="K1973" s="20"/>
    </row>
    <row r="1974" spans="1:11" x14ac:dyDescent="0.25">
      <c r="A1974" s="16"/>
      <c r="C1974" s="11"/>
      <c r="K1974" s="20"/>
    </row>
    <row r="1975" spans="1:11" x14ac:dyDescent="0.25">
      <c r="A1975" s="16"/>
      <c r="C1975" s="11"/>
      <c r="K1975" s="20"/>
    </row>
    <row r="1976" spans="1:11" x14ac:dyDescent="0.25">
      <c r="A1976" s="16"/>
      <c r="C1976" s="11"/>
      <c r="K1976" s="20"/>
    </row>
    <row r="1977" spans="1:11" x14ac:dyDescent="0.25">
      <c r="A1977" s="16"/>
      <c r="C1977" s="11"/>
      <c r="K1977" s="20"/>
    </row>
    <row r="1978" spans="1:11" x14ac:dyDescent="0.25">
      <c r="A1978" s="16"/>
      <c r="C1978" s="11"/>
      <c r="K1978" s="20"/>
    </row>
    <row r="1979" spans="1:11" x14ac:dyDescent="0.25">
      <c r="A1979" s="16"/>
      <c r="C1979" s="11"/>
      <c r="K1979" s="20"/>
    </row>
    <row r="1980" spans="1:11" x14ac:dyDescent="0.25">
      <c r="A1980" s="16"/>
      <c r="C1980" s="11"/>
      <c r="K1980" s="20"/>
    </row>
    <row r="1981" spans="1:11" x14ac:dyDescent="0.25">
      <c r="A1981" s="16"/>
      <c r="C1981" s="11"/>
      <c r="K1981" s="20"/>
    </row>
    <row r="1982" spans="1:11" x14ac:dyDescent="0.25">
      <c r="A1982" s="16"/>
      <c r="C1982" s="11"/>
      <c r="K1982" s="20"/>
    </row>
    <row r="1983" spans="1:11" x14ac:dyDescent="0.25">
      <c r="A1983" s="16"/>
      <c r="C1983" s="11"/>
      <c r="K1983" s="20"/>
    </row>
    <row r="1984" spans="1:11" x14ac:dyDescent="0.25">
      <c r="A1984" s="16"/>
      <c r="C1984" s="11"/>
      <c r="K1984" s="20"/>
    </row>
    <row r="1985" spans="1:11" x14ac:dyDescent="0.25">
      <c r="A1985" s="16"/>
      <c r="C1985" s="11"/>
      <c r="K1985" s="20"/>
    </row>
    <row r="1986" spans="1:11" x14ac:dyDescent="0.25">
      <c r="A1986" s="16"/>
      <c r="C1986" s="11"/>
      <c r="K1986" s="20"/>
    </row>
    <row r="1987" spans="1:11" x14ac:dyDescent="0.25">
      <c r="A1987" s="16"/>
      <c r="C1987" s="11"/>
      <c r="K1987" s="20"/>
    </row>
    <row r="1988" spans="1:11" x14ac:dyDescent="0.25">
      <c r="A1988" s="16"/>
      <c r="C1988" s="11"/>
      <c r="K1988" s="20"/>
    </row>
    <row r="1989" spans="1:11" x14ac:dyDescent="0.25">
      <c r="A1989" s="16"/>
      <c r="C1989" s="11"/>
      <c r="K1989" s="20"/>
    </row>
    <row r="1990" spans="1:11" x14ac:dyDescent="0.25">
      <c r="A1990" s="16"/>
      <c r="C1990" s="11"/>
      <c r="K1990" s="20"/>
    </row>
    <row r="1991" spans="1:11" x14ac:dyDescent="0.25">
      <c r="A1991" s="16"/>
      <c r="C1991" s="11"/>
      <c r="K1991" s="20"/>
    </row>
    <row r="1992" spans="1:11" x14ac:dyDescent="0.25">
      <c r="A1992" s="16"/>
      <c r="C1992" s="11"/>
      <c r="K1992" s="20"/>
    </row>
    <row r="1993" spans="1:11" x14ac:dyDescent="0.25">
      <c r="A1993" s="16"/>
      <c r="C1993" s="11"/>
      <c r="K1993" s="20"/>
    </row>
    <row r="1994" spans="1:11" x14ac:dyDescent="0.25">
      <c r="A1994" s="16"/>
      <c r="C1994" s="11"/>
      <c r="K1994" s="20"/>
    </row>
    <row r="1995" spans="1:11" x14ac:dyDescent="0.25">
      <c r="A1995" s="16"/>
      <c r="C1995" s="11"/>
      <c r="K1995" s="20"/>
    </row>
    <row r="1996" spans="1:11" x14ac:dyDescent="0.25">
      <c r="A1996" s="16"/>
      <c r="C1996" s="11"/>
      <c r="K1996" s="20"/>
    </row>
    <row r="1997" spans="1:11" x14ac:dyDescent="0.25">
      <c r="A1997" s="16"/>
      <c r="C1997" s="11"/>
      <c r="K1997" s="20"/>
    </row>
    <row r="1998" spans="1:11" x14ac:dyDescent="0.25">
      <c r="A1998" s="16"/>
      <c r="C1998" s="11"/>
      <c r="K1998" s="20"/>
    </row>
    <row r="1999" spans="1:11" x14ac:dyDescent="0.25">
      <c r="A1999" s="16"/>
      <c r="C1999" s="11"/>
      <c r="K1999" s="20"/>
    </row>
    <row r="2000" spans="1:11" x14ac:dyDescent="0.25">
      <c r="A2000" s="16"/>
      <c r="C2000" s="11"/>
      <c r="K2000" s="20"/>
    </row>
    <row r="2001" spans="1:11" x14ac:dyDescent="0.25">
      <c r="A2001" s="16"/>
      <c r="C2001" s="11"/>
      <c r="K2001" s="20"/>
    </row>
    <row r="2002" spans="1:11" x14ac:dyDescent="0.25">
      <c r="A2002" s="16"/>
      <c r="C2002" s="11"/>
      <c r="K2002" s="20"/>
    </row>
    <row r="2003" spans="1:11" x14ac:dyDescent="0.25">
      <c r="A2003" s="16"/>
      <c r="C2003" s="11"/>
      <c r="K2003" s="20"/>
    </row>
    <row r="2004" spans="1:11" x14ac:dyDescent="0.25">
      <c r="A2004" s="16"/>
      <c r="C2004" s="11"/>
      <c r="K2004" s="20"/>
    </row>
    <row r="2005" spans="1:11" x14ac:dyDescent="0.25">
      <c r="A2005" s="16"/>
      <c r="C2005" s="11"/>
      <c r="K2005" s="20"/>
    </row>
    <row r="2006" spans="1:11" x14ac:dyDescent="0.25">
      <c r="A2006" s="16"/>
      <c r="C2006" s="11"/>
      <c r="K2006" s="20"/>
    </row>
    <row r="2007" spans="1:11" x14ac:dyDescent="0.25">
      <c r="A2007" s="16"/>
      <c r="C2007" s="11"/>
      <c r="K2007" s="20"/>
    </row>
    <row r="2008" spans="1:11" x14ac:dyDescent="0.25">
      <c r="A2008" s="16"/>
      <c r="C2008" s="11"/>
      <c r="K2008" s="20"/>
    </row>
    <row r="2009" spans="1:11" x14ac:dyDescent="0.25">
      <c r="A2009" s="16"/>
      <c r="C2009" s="11"/>
      <c r="K2009" s="20"/>
    </row>
    <row r="2010" spans="1:11" x14ac:dyDescent="0.25">
      <c r="A2010" s="16"/>
      <c r="C2010" s="11"/>
      <c r="K2010" s="20"/>
    </row>
    <row r="2011" spans="1:11" x14ac:dyDescent="0.25">
      <c r="A2011" s="16"/>
      <c r="C2011" s="11"/>
      <c r="K2011" s="20"/>
    </row>
    <row r="2012" spans="1:11" x14ac:dyDescent="0.25">
      <c r="A2012" s="16"/>
      <c r="C2012" s="11"/>
      <c r="K2012" s="20"/>
    </row>
    <row r="2013" spans="1:11" x14ac:dyDescent="0.25">
      <c r="A2013" s="16"/>
      <c r="C2013" s="11"/>
      <c r="K2013" s="20"/>
    </row>
    <row r="2014" spans="1:11" x14ac:dyDescent="0.25">
      <c r="A2014" s="16"/>
      <c r="C2014" s="11"/>
      <c r="K2014" s="20"/>
    </row>
    <row r="2015" spans="1:11" x14ac:dyDescent="0.25">
      <c r="A2015" s="16"/>
      <c r="C2015" s="11"/>
      <c r="K2015" s="20"/>
    </row>
    <row r="2016" spans="1:11" x14ac:dyDescent="0.25">
      <c r="A2016" s="16"/>
      <c r="C2016" s="11"/>
      <c r="K2016" s="20"/>
    </row>
    <row r="2017" spans="1:11" x14ac:dyDescent="0.25">
      <c r="A2017" s="16"/>
      <c r="C2017" s="11"/>
      <c r="K2017" s="20"/>
    </row>
    <row r="2018" spans="1:11" x14ac:dyDescent="0.25">
      <c r="A2018" s="16"/>
      <c r="C2018" s="11"/>
      <c r="K2018" s="20"/>
    </row>
    <row r="2019" spans="1:11" x14ac:dyDescent="0.25">
      <c r="A2019" s="16"/>
      <c r="C2019" s="11"/>
      <c r="K2019" s="20"/>
    </row>
    <row r="2020" spans="1:11" x14ac:dyDescent="0.25">
      <c r="A2020" s="16"/>
      <c r="C2020" s="11"/>
      <c r="K2020" s="20"/>
    </row>
    <row r="2021" spans="1:11" x14ac:dyDescent="0.25">
      <c r="A2021" s="16"/>
      <c r="C2021" s="11"/>
      <c r="K2021" s="20"/>
    </row>
    <row r="2022" spans="1:11" x14ac:dyDescent="0.25">
      <c r="A2022" s="16"/>
      <c r="C2022" s="11"/>
      <c r="K2022" s="20"/>
    </row>
    <row r="2023" spans="1:11" x14ac:dyDescent="0.25">
      <c r="A2023" s="16"/>
      <c r="C2023" s="11"/>
      <c r="K2023" s="20"/>
    </row>
    <row r="2024" spans="1:11" x14ac:dyDescent="0.25">
      <c r="A2024" s="16"/>
      <c r="C2024" s="11"/>
      <c r="K2024" s="20"/>
    </row>
    <row r="2025" spans="1:11" x14ac:dyDescent="0.25">
      <c r="A2025" s="16"/>
      <c r="C2025" s="11"/>
      <c r="K2025" s="20"/>
    </row>
    <row r="2026" spans="1:11" x14ac:dyDescent="0.25">
      <c r="A2026" s="16"/>
      <c r="C2026" s="11"/>
      <c r="K2026" s="20"/>
    </row>
    <row r="2027" spans="1:11" x14ac:dyDescent="0.25">
      <c r="A2027" s="16"/>
      <c r="C2027" s="11"/>
      <c r="K2027" s="20"/>
    </row>
    <row r="2028" spans="1:11" x14ac:dyDescent="0.25">
      <c r="A2028" s="16"/>
      <c r="C2028" s="11"/>
      <c r="K2028" s="20"/>
    </row>
    <row r="2029" spans="1:11" x14ac:dyDescent="0.25">
      <c r="A2029" s="16"/>
      <c r="C2029" s="11"/>
      <c r="K2029" s="20"/>
    </row>
    <row r="2030" spans="1:11" x14ac:dyDescent="0.25">
      <c r="A2030" s="16"/>
      <c r="C2030" s="11"/>
      <c r="K2030" s="20"/>
    </row>
    <row r="2031" spans="1:11" x14ac:dyDescent="0.25">
      <c r="A2031" s="16"/>
      <c r="C2031" s="11"/>
      <c r="K2031" s="20"/>
    </row>
    <row r="2032" spans="1:11" x14ac:dyDescent="0.25">
      <c r="A2032" s="16"/>
      <c r="C2032" s="11"/>
      <c r="K2032" s="20"/>
    </row>
    <row r="2033" spans="1:11" x14ac:dyDescent="0.25">
      <c r="A2033" s="16"/>
      <c r="C2033" s="11"/>
      <c r="K2033" s="20"/>
    </row>
    <row r="2034" spans="1:11" x14ac:dyDescent="0.25">
      <c r="A2034" s="16"/>
      <c r="C2034" s="11"/>
      <c r="K2034" s="20"/>
    </row>
    <row r="2035" spans="1:11" x14ac:dyDescent="0.25">
      <c r="A2035" s="16"/>
      <c r="C2035" s="11"/>
      <c r="K2035" s="20"/>
    </row>
    <row r="2036" spans="1:11" x14ac:dyDescent="0.25">
      <c r="A2036" s="16"/>
      <c r="C2036" s="11"/>
      <c r="K2036" s="20"/>
    </row>
    <row r="2037" spans="1:11" x14ac:dyDescent="0.25">
      <c r="A2037" s="16"/>
      <c r="C2037" s="11"/>
      <c r="K2037" s="20"/>
    </row>
    <row r="2038" spans="1:11" x14ac:dyDescent="0.25">
      <c r="A2038" s="16"/>
      <c r="C2038" s="11"/>
      <c r="K2038" s="20"/>
    </row>
    <row r="2039" spans="1:11" x14ac:dyDescent="0.25">
      <c r="A2039" s="16"/>
      <c r="C2039" s="11"/>
      <c r="K2039" s="20"/>
    </row>
    <row r="2040" spans="1:11" x14ac:dyDescent="0.25">
      <c r="A2040" s="16"/>
      <c r="C2040" s="11"/>
      <c r="K2040" s="20"/>
    </row>
    <row r="2041" spans="1:11" x14ac:dyDescent="0.25">
      <c r="A2041" s="16"/>
      <c r="C2041" s="11"/>
      <c r="K2041" s="20"/>
    </row>
    <row r="2042" spans="1:11" x14ac:dyDescent="0.25">
      <c r="A2042" s="16"/>
      <c r="C2042" s="11"/>
      <c r="K2042" s="20"/>
    </row>
    <row r="2043" spans="1:11" x14ac:dyDescent="0.25">
      <c r="A2043" s="16"/>
      <c r="C2043" s="11"/>
      <c r="K2043" s="20"/>
    </row>
    <row r="2044" spans="1:11" x14ac:dyDescent="0.25">
      <c r="A2044" s="16"/>
      <c r="C2044" s="11"/>
      <c r="K2044" s="20"/>
    </row>
    <row r="2045" spans="1:11" x14ac:dyDescent="0.25">
      <c r="A2045" s="16"/>
      <c r="C2045" s="11"/>
      <c r="K2045" s="20"/>
    </row>
    <row r="2046" spans="1:11" x14ac:dyDescent="0.25">
      <c r="A2046" s="16"/>
      <c r="C2046" s="11"/>
      <c r="K2046" s="20"/>
    </row>
    <row r="2047" spans="1:11" x14ac:dyDescent="0.25">
      <c r="A2047" s="16"/>
      <c r="C2047" s="11"/>
      <c r="K2047" s="20"/>
    </row>
    <row r="2048" spans="1:11" x14ac:dyDescent="0.25">
      <c r="A2048" s="16"/>
      <c r="C2048" s="11"/>
      <c r="K2048" s="20"/>
    </row>
    <row r="2049" spans="1:11" x14ac:dyDescent="0.25">
      <c r="A2049" s="16"/>
      <c r="C2049" s="11"/>
      <c r="K2049" s="20"/>
    </row>
    <row r="2050" spans="1:11" x14ac:dyDescent="0.25">
      <c r="A2050" s="16"/>
      <c r="C2050" s="11"/>
      <c r="K2050" s="20"/>
    </row>
    <row r="2051" spans="1:11" x14ac:dyDescent="0.25">
      <c r="A2051" s="16"/>
      <c r="C2051" s="11"/>
      <c r="K2051" s="20"/>
    </row>
    <row r="2052" spans="1:11" x14ac:dyDescent="0.25">
      <c r="A2052" s="16"/>
      <c r="C2052" s="11"/>
      <c r="K2052" s="20"/>
    </row>
    <row r="2053" spans="1:11" x14ac:dyDescent="0.25">
      <c r="A2053" s="16"/>
      <c r="C2053" s="11"/>
      <c r="K2053" s="20"/>
    </row>
    <row r="2054" spans="1:11" x14ac:dyDescent="0.25">
      <c r="A2054" s="16"/>
      <c r="C2054" s="11"/>
      <c r="K2054" s="20"/>
    </row>
    <row r="2055" spans="1:11" x14ac:dyDescent="0.25">
      <c r="A2055" s="16"/>
      <c r="C2055" s="11"/>
      <c r="K2055" s="20"/>
    </row>
    <row r="2056" spans="1:11" x14ac:dyDescent="0.25">
      <c r="A2056" s="16"/>
      <c r="C2056" s="11"/>
      <c r="K2056" s="20"/>
    </row>
    <row r="2057" spans="1:11" x14ac:dyDescent="0.25">
      <c r="A2057" s="16"/>
      <c r="C2057" s="11"/>
      <c r="K2057" s="20"/>
    </row>
    <row r="2058" spans="1:11" x14ac:dyDescent="0.25">
      <c r="A2058" s="16"/>
      <c r="C2058" s="11"/>
      <c r="K2058" s="20"/>
    </row>
    <row r="2059" spans="1:11" x14ac:dyDescent="0.25">
      <c r="A2059" s="16"/>
      <c r="C2059" s="11"/>
      <c r="K2059" s="20"/>
    </row>
    <row r="2060" spans="1:11" x14ac:dyDescent="0.25">
      <c r="A2060" s="16"/>
      <c r="C2060" s="11"/>
      <c r="K2060" s="20"/>
    </row>
    <row r="2061" spans="1:11" x14ac:dyDescent="0.25">
      <c r="A2061" s="16"/>
      <c r="C2061" s="11"/>
      <c r="K2061" s="20"/>
    </row>
    <row r="2062" spans="1:11" x14ac:dyDescent="0.25">
      <c r="A2062" s="16"/>
      <c r="C2062" s="11"/>
      <c r="K2062" s="20"/>
    </row>
    <row r="2063" spans="1:11" x14ac:dyDescent="0.25">
      <c r="A2063" s="16"/>
      <c r="C2063" s="11"/>
      <c r="K2063" s="20"/>
    </row>
    <row r="2064" spans="1:11" x14ac:dyDescent="0.25">
      <c r="A2064" s="16"/>
      <c r="C2064" s="11"/>
      <c r="K2064" s="20"/>
    </row>
    <row r="2065" spans="1:11" x14ac:dyDescent="0.25">
      <c r="A2065" s="16"/>
      <c r="C2065" s="11"/>
      <c r="K2065" s="20"/>
    </row>
    <row r="2066" spans="1:11" x14ac:dyDescent="0.25">
      <c r="A2066" s="16"/>
      <c r="C2066" s="11"/>
      <c r="K2066" s="20"/>
    </row>
    <row r="2067" spans="1:11" x14ac:dyDescent="0.25">
      <c r="A2067" s="16"/>
      <c r="C2067" s="11"/>
      <c r="K2067" s="20"/>
    </row>
    <row r="2068" spans="1:11" x14ac:dyDescent="0.25">
      <c r="A2068" s="16"/>
      <c r="C2068" s="11"/>
      <c r="K2068" s="20"/>
    </row>
    <row r="2069" spans="1:11" x14ac:dyDescent="0.25">
      <c r="A2069" s="16"/>
      <c r="C2069" s="11"/>
      <c r="K2069" s="20"/>
    </row>
    <row r="2070" spans="1:11" x14ac:dyDescent="0.25">
      <c r="A2070" s="16"/>
      <c r="C2070" s="11"/>
      <c r="K2070" s="20"/>
    </row>
    <row r="2071" spans="1:11" x14ac:dyDescent="0.25">
      <c r="A2071" s="16"/>
      <c r="C2071" s="11"/>
      <c r="K2071" s="20"/>
    </row>
    <row r="2072" spans="1:11" x14ac:dyDescent="0.25">
      <c r="A2072" s="16"/>
      <c r="C2072" s="11"/>
      <c r="K2072" s="20"/>
    </row>
    <row r="2073" spans="1:11" x14ac:dyDescent="0.25">
      <c r="A2073" s="16"/>
      <c r="C2073" s="11"/>
      <c r="K2073" s="20"/>
    </row>
    <row r="2074" spans="1:11" x14ac:dyDescent="0.25">
      <c r="A2074" s="16"/>
      <c r="C2074" s="11"/>
      <c r="K2074" s="20"/>
    </row>
    <row r="2075" spans="1:11" x14ac:dyDescent="0.25">
      <c r="A2075" s="16"/>
      <c r="C2075" s="11"/>
      <c r="K2075" s="20"/>
    </row>
    <row r="2076" spans="1:11" x14ac:dyDescent="0.25">
      <c r="A2076" s="16"/>
      <c r="C2076" s="11"/>
      <c r="K2076" s="20"/>
    </row>
    <row r="2077" spans="1:11" x14ac:dyDescent="0.25">
      <c r="A2077" s="16"/>
      <c r="C2077" s="11"/>
      <c r="K2077" s="20"/>
    </row>
    <row r="2078" spans="1:11" x14ac:dyDescent="0.25">
      <c r="A2078" s="16"/>
      <c r="C2078" s="11"/>
      <c r="K2078" s="20"/>
    </row>
    <row r="2079" spans="1:11" x14ac:dyDescent="0.25">
      <c r="A2079" s="16"/>
      <c r="C2079" s="11"/>
      <c r="K2079" s="20"/>
    </row>
    <row r="2080" spans="1:11" x14ac:dyDescent="0.25">
      <c r="A2080" s="16"/>
      <c r="C2080" s="11"/>
      <c r="K2080" s="20"/>
    </row>
    <row r="2081" spans="1:11" x14ac:dyDescent="0.25">
      <c r="A2081" s="16"/>
      <c r="C2081" s="11"/>
      <c r="K2081" s="20"/>
    </row>
    <row r="2082" spans="1:11" x14ac:dyDescent="0.25">
      <c r="A2082" s="16"/>
      <c r="C2082" s="11"/>
      <c r="K2082" s="20"/>
    </row>
    <row r="2083" spans="1:11" x14ac:dyDescent="0.25">
      <c r="A2083" s="16"/>
      <c r="C2083" s="11"/>
      <c r="K2083" s="20"/>
    </row>
    <row r="2084" spans="1:11" x14ac:dyDescent="0.25">
      <c r="A2084" s="16"/>
      <c r="C2084" s="11"/>
      <c r="K2084" s="20"/>
    </row>
    <row r="2085" spans="1:11" x14ac:dyDescent="0.25">
      <c r="A2085" s="16"/>
      <c r="C2085" s="11"/>
      <c r="K2085" s="20"/>
    </row>
    <row r="2086" spans="1:11" x14ac:dyDescent="0.25">
      <c r="A2086" s="16"/>
      <c r="C2086" s="11"/>
      <c r="K2086" s="20"/>
    </row>
    <row r="2087" spans="1:11" x14ac:dyDescent="0.25">
      <c r="A2087" s="16"/>
      <c r="C2087" s="11"/>
      <c r="K2087" s="20"/>
    </row>
    <row r="2088" spans="1:11" x14ac:dyDescent="0.25">
      <c r="A2088" s="16"/>
      <c r="C2088" s="11"/>
      <c r="K2088" s="20"/>
    </row>
    <row r="2089" spans="1:11" x14ac:dyDescent="0.25">
      <c r="A2089" s="16"/>
      <c r="C2089" s="11"/>
      <c r="K2089" s="20"/>
    </row>
    <row r="2090" spans="1:11" x14ac:dyDescent="0.25">
      <c r="A2090" s="16"/>
      <c r="C2090" s="11"/>
      <c r="K2090" s="20"/>
    </row>
    <row r="2091" spans="1:11" x14ac:dyDescent="0.25">
      <c r="A2091" s="16"/>
      <c r="C2091" s="11"/>
      <c r="K2091" s="20"/>
    </row>
    <row r="2092" spans="1:11" x14ac:dyDescent="0.25">
      <c r="A2092" s="16"/>
      <c r="C2092" s="11"/>
      <c r="K2092" s="20"/>
    </row>
    <row r="2093" spans="1:11" x14ac:dyDescent="0.25">
      <c r="A2093" s="16"/>
      <c r="C2093" s="11"/>
      <c r="K2093" s="20"/>
    </row>
    <row r="2094" spans="1:11" x14ac:dyDescent="0.25">
      <c r="A2094" s="16"/>
      <c r="C2094" s="11"/>
      <c r="K2094" s="20"/>
    </row>
    <row r="2095" spans="1:11" x14ac:dyDescent="0.25">
      <c r="A2095" s="16"/>
      <c r="C2095" s="11"/>
      <c r="K2095" s="20"/>
    </row>
    <row r="2096" spans="1:11" x14ac:dyDescent="0.25">
      <c r="A2096" s="16"/>
      <c r="C2096" s="11"/>
      <c r="K2096" s="20"/>
    </row>
    <row r="2097" spans="1:11" x14ac:dyDescent="0.25">
      <c r="A2097" s="16"/>
      <c r="C2097" s="11"/>
      <c r="K2097" s="20"/>
    </row>
    <row r="2098" spans="1:11" x14ac:dyDescent="0.25">
      <c r="A2098" s="16"/>
      <c r="C2098" s="11"/>
      <c r="K2098" s="20"/>
    </row>
    <row r="2099" spans="1:11" x14ac:dyDescent="0.25">
      <c r="A2099" s="16"/>
      <c r="C2099" s="11"/>
      <c r="K2099" s="20"/>
    </row>
    <row r="2100" spans="1:11" x14ac:dyDescent="0.25">
      <c r="A2100" s="16"/>
      <c r="C2100" s="11"/>
      <c r="K2100" s="20"/>
    </row>
    <row r="2101" spans="1:11" x14ac:dyDescent="0.25">
      <c r="A2101" s="16"/>
      <c r="C2101" s="11"/>
      <c r="K2101" s="20"/>
    </row>
    <row r="2102" spans="1:11" x14ac:dyDescent="0.25">
      <c r="A2102" s="16"/>
      <c r="C2102" s="11"/>
      <c r="K2102" s="20"/>
    </row>
    <row r="2103" spans="1:11" x14ac:dyDescent="0.25">
      <c r="A2103" s="16"/>
      <c r="C2103" s="11"/>
      <c r="K2103" s="20"/>
    </row>
    <row r="2104" spans="1:11" x14ac:dyDescent="0.25">
      <c r="A2104" s="16"/>
      <c r="C2104" s="11"/>
      <c r="K2104" s="20"/>
    </row>
    <row r="2105" spans="1:11" x14ac:dyDescent="0.25">
      <c r="A2105" s="16"/>
      <c r="C2105" s="11"/>
      <c r="K2105" s="20"/>
    </row>
    <row r="2106" spans="1:11" x14ac:dyDescent="0.25">
      <c r="A2106" s="16"/>
      <c r="C2106" s="11"/>
      <c r="K2106" s="20"/>
    </row>
    <row r="2107" spans="1:11" x14ac:dyDescent="0.25">
      <c r="A2107" s="16"/>
      <c r="C2107" s="11"/>
      <c r="K2107" s="20"/>
    </row>
    <row r="2108" spans="1:11" x14ac:dyDescent="0.25">
      <c r="A2108" s="16"/>
      <c r="C2108" s="11"/>
      <c r="K2108" s="20"/>
    </row>
    <row r="2109" spans="1:11" x14ac:dyDescent="0.25">
      <c r="A2109" s="16"/>
      <c r="C2109" s="11"/>
      <c r="K2109" s="20"/>
    </row>
    <row r="2110" spans="1:11" x14ac:dyDescent="0.25">
      <c r="A2110" s="16"/>
      <c r="C2110" s="11"/>
      <c r="K2110" s="20"/>
    </row>
    <row r="2111" spans="1:11" x14ac:dyDescent="0.25">
      <c r="A2111" s="16"/>
      <c r="C2111" s="11"/>
      <c r="K2111" s="20"/>
    </row>
    <row r="2112" spans="1:11" x14ac:dyDescent="0.25">
      <c r="A2112" s="16"/>
      <c r="C2112" s="11"/>
      <c r="K2112" s="20"/>
    </row>
    <row r="2113" spans="1:11" x14ac:dyDescent="0.25">
      <c r="A2113" s="16"/>
      <c r="C2113" s="11"/>
      <c r="K2113" s="20"/>
    </row>
    <row r="2114" spans="1:11" x14ac:dyDescent="0.25">
      <c r="A2114" s="16"/>
      <c r="C2114" s="11"/>
      <c r="K2114" s="20"/>
    </row>
    <row r="2115" spans="1:11" x14ac:dyDescent="0.25">
      <c r="A2115" s="16"/>
      <c r="C2115" s="11"/>
      <c r="K2115" s="20"/>
    </row>
    <row r="2116" spans="1:11" x14ac:dyDescent="0.25">
      <c r="A2116" s="16"/>
      <c r="C2116" s="11"/>
      <c r="K2116" s="20"/>
    </row>
    <row r="2117" spans="1:11" x14ac:dyDescent="0.25">
      <c r="A2117" s="16"/>
      <c r="C2117" s="11"/>
      <c r="K2117" s="20"/>
    </row>
    <row r="2118" spans="1:11" x14ac:dyDescent="0.25">
      <c r="A2118" s="16"/>
      <c r="C2118" s="11"/>
      <c r="K2118" s="20"/>
    </row>
    <row r="2119" spans="1:11" x14ac:dyDescent="0.25">
      <c r="A2119" s="16"/>
      <c r="C2119" s="11"/>
      <c r="K2119" s="20"/>
    </row>
    <row r="2120" spans="1:11" x14ac:dyDescent="0.25">
      <c r="A2120" s="16"/>
      <c r="C2120" s="11"/>
      <c r="K2120" s="20"/>
    </row>
    <row r="2121" spans="1:11" x14ac:dyDescent="0.25">
      <c r="A2121" s="16"/>
      <c r="C2121" s="11"/>
      <c r="K2121" s="20"/>
    </row>
    <row r="2122" spans="1:11" x14ac:dyDescent="0.25">
      <c r="A2122" s="16"/>
      <c r="C2122" s="11"/>
      <c r="K2122" s="20"/>
    </row>
    <row r="2123" spans="1:11" x14ac:dyDescent="0.25">
      <c r="A2123" s="16"/>
      <c r="C2123" s="11"/>
      <c r="K2123" s="20"/>
    </row>
    <row r="2124" spans="1:11" x14ac:dyDescent="0.25">
      <c r="A2124" s="16"/>
      <c r="C2124" s="11"/>
      <c r="K2124" s="20"/>
    </row>
    <row r="2125" spans="1:11" x14ac:dyDescent="0.25">
      <c r="A2125" s="16"/>
      <c r="C2125" s="11"/>
      <c r="K2125" s="20"/>
    </row>
    <row r="2126" spans="1:11" x14ac:dyDescent="0.25">
      <c r="A2126" s="16"/>
      <c r="C2126" s="11"/>
      <c r="K2126" s="20"/>
    </row>
    <row r="2127" spans="1:11" x14ac:dyDescent="0.25">
      <c r="A2127" s="16"/>
      <c r="C2127" s="11"/>
      <c r="K2127" s="20"/>
    </row>
    <row r="2128" spans="1:11" x14ac:dyDescent="0.25">
      <c r="A2128" s="16"/>
      <c r="C2128" s="11"/>
      <c r="K2128" s="20"/>
    </row>
    <row r="2129" spans="1:11" x14ac:dyDescent="0.25">
      <c r="A2129" s="16"/>
      <c r="C2129" s="11"/>
      <c r="K2129" s="20"/>
    </row>
    <row r="2130" spans="1:11" x14ac:dyDescent="0.25">
      <c r="A2130" s="16"/>
      <c r="C2130" s="11"/>
      <c r="K2130" s="20"/>
    </row>
    <row r="2131" spans="1:11" x14ac:dyDescent="0.25">
      <c r="A2131" s="16"/>
      <c r="C2131" s="11"/>
      <c r="K2131" s="20"/>
    </row>
    <row r="2132" spans="1:11" x14ac:dyDescent="0.25">
      <c r="A2132" s="16"/>
      <c r="C2132" s="11"/>
      <c r="K2132" s="20"/>
    </row>
    <row r="2133" spans="1:11" x14ac:dyDescent="0.25">
      <c r="A2133" s="16"/>
      <c r="C2133" s="11"/>
      <c r="K2133" s="20"/>
    </row>
    <row r="2134" spans="1:11" x14ac:dyDescent="0.25">
      <c r="A2134" s="16"/>
      <c r="C2134" s="11"/>
      <c r="K2134" s="20"/>
    </row>
    <row r="2135" spans="1:11" x14ac:dyDescent="0.25">
      <c r="A2135" s="16"/>
      <c r="C2135" s="11"/>
      <c r="K2135" s="20"/>
    </row>
    <row r="2136" spans="1:11" x14ac:dyDescent="0.25">
      <c r="A2136" s="16"/>
      <c r="C2136" s="11"/>
      <c r="K2136" s="20"/>
    </row>
    <row r="2137" spans="1:11" x14ac:dyDescent="0.25">
      <c r="A2137" s="16"/>
      <c r="C2137" s="11"/>
      <c r="K2137" s="20"/>
    </row>
    <row r="2138" spans="1:11" x14ac:dyDescent="0.25">
      <c r="A2138" s="16"/>
      <c r="C2138" s="11"/>
      <c r="K2138" s="20"/>
    </row>
    <row r="2139" spans="1:11" x14ac:dyDescent="0.25">
      <c r="A2139" s="16"/>
      <c r="C2139" s="11"/>
      <c r="K2139" s="20"/>
    </row>
    <row r="2140" spans="1:11" x14ac:dyDescent="0.25">
      <c r="A2140" s="16"/>
      <c r="C2140" s="11"/>
      <c r="K2140" s="20"/>
    </row>
    <row r="2141" spans="1:11" x14ac:dyDescent="0.25">
      <c r="A2141" s="16"/>
      <c r="C2141" s="11"/>
      <c r="K2141" s="20"/>
    </row>
    <row r="2142" spans="1:11" x14ac:dyDescent="0.25">
      <c r="A2142" s="16"/>
      <c r="C2142" s="11"/>
      <c r="K2142" s="20"/>
    </row>
    <row r="2143" spans="1:11" x14ac:dyDescent="0.25">
      <c r="A2143" s="16"/>
      <c r="C2143" s="11"/>
      <c r="K2143" s="20"/>
    </row>
    <row r="2144" spans="1:11" x14ac:dyDescent="0.25">
      <c r="A2144" s="16"/>
      <c r="C2144" s="11"/>
      <c r="K2144" s="20"/>
    </row>
    <row r="2145" spans="1:11" x14ac:dyDescent="0.25">
      <c r="A2145" s="16"/>
      <c r="C2145" s="11"/>
      <c r="K2145" s="20"/>
    </row>
    <row r="2146" spans="1:11" x14ac:dyDescent="0.25">
      <c r="A2146" s="16"/>
      <c r="C2146" s="11"/>
      <c r="K2146" s="20"/>
    </row>
    <row r="2147" spans="1:11" x14ac:dyDescent="0.25">
      <c r="A2147" s="16"/>
      <c r="C2147" s="11"/>
      <c r="K2147" s="20"/>
    </row>
    <row r="2148" spans="1:11" x14ac:dyDescent="0.25">
      <c r="A2148" s="16"/>
      <c r="C2148" s="11"/>
      <c r="K2148" s="20"/>
    </row>
    <row r="2149" spans="1:11" x14ac:dyDescent="0.25">
      <c r="A2149" s="16"/>
      <c r="C2149" s="11"/>
      <c r="K2149" s="20"/>
    </row>
    <row r="2150" spans="1:11" x14ac:dyDescent="0.25">
      <c r="A2150" s="16"/>
      <c r="C2150" s="11"/>
      <c r="K2150" s="20"/>
    </row>
    <row r="2151" spans="1:11" x14ac:dyDescent="0.25">
      <c r="A2151" s="16"/>
      <c r="C2151" s="11"/>
      <c r="K2151" s="20"/>
    </row>
    <row r="2152" spans="1:11" x14ac:dyDescent="0.25">
      <c r="A2152" s="16"/>
      <c r="C2152" s="11"/>
      <c r="K2152" s="20"/>
    </row>
    <row r="2153" spans="1:11" x14ac:dyDescent="0.25">
      <c r="A2153" s="16"/>
      <c r="C2153" s="11"/>
      <c r="K2153" s="20"/>
    </row>
    <row r="2154" spans="1:11" x14ac:dyDescent="0.25">
      <c r="A2154" s="16"/>
      <c r="C2154" s="11"/>
      <c r="K2154" s="20"/>
    </row>
    <row r="2155" spans="1:11" x14ac:dyDescent="0.25">
      <c r="A2155" s="16"/>
      <c r="C2155" s="11"/>
      <c r="K2155" s="20"/>
    </row>
    <row r="2156" spans="1:11" x14ac:dyDescent="0.25">
      <c r="A2156" s="16"/>
      <c r="C2156" s="11"/>
      <c r="K2156" s="20"/>
    </row>
    <row r="2157" spans="1:11" x14ac:dyDescent="0.25">
      <c r="A2157" s="16"/>
      <c r="C2157" s="11"/>
      <c r="K2157" s="20"/>
    </row>
    <row r="2158" spans="1:11" x14ac:dyDescent="0.25">
      <c r="A2158" s="16"/>
      <c r="C2158" s="11"/>
      <c r="K2158" s="20"/>
    </row>
    <row r="2159" spans="1:11" x14ac:dyDescent="0.25">
      <c r="A2159" s="16"/>
      <c r="C2159" s="11"/>
      <c r="K2159" s="20"/>
    </row>
    <row r="2160" spans="1:11" x14ac:dyDescent="0.25">
      <c r="A2160" s="16"/>
      <c r="C2160" s="11"/>
      <c r="K2160" s="20"/>
    </row>
    <row r="2161" spans="1:11" x14ac:dyDescent="0.25">
      <c r="A2161" s="16"/>
      <c r="C2161" s="11"/>
      <c r="K2161" s="20"/>
    </row>
    <row r="2162" spans="1:11" x14ac:dyDescent="0.25">
      <c r="A2162" s="16"/>
      <c r="C2162" s="11"/>
      <c r="K2162" s="20"/>
    </row>
    <row r="2163" spans="1:11" x14ac:dyDescent="0.25">
      <c r="A2163" s="16"/>
      <c r="C2163" s="11"/>
      <c r="K2163" s="20"/>
    </row>
    <row r="2164" spans="1:11" x14ac:dyDescent="0.25">
      <c r="A2164" s="16"/>
      <c r="C2164" s="11"/>
      <c r="K2164" s="20"/>
    </row>
    <row r="2165" spans="1:11" x14ac:dyDescent="0.25">
      <c r="A2165" s="16"/>
      <c r="C2165" s="11"/>
      <c r="K2165" s="20"/>
    </row>
    <row r="2166" spans="1:11" x14ac:dyDescent="0.25">
      <c r="A2166" s="16"/>
      <c r="C2166" s="11"/>
      <c r="K2166" s="20"/>
    </row>
    <row r="2167" spans="1:11" x14ac:dyDescent="0.25">
      <c r="A2167" s="16"/>
      <c r="C2167" s="11"/>
      <c r="K2167" s="20"/>
    </row>
    <row r="2168" spans="1:11" x14ac:dyDescent="0.25">
      <c r="A2168" s="16"/>
      <c r="C2168" s="11"/>
      <c r="K2168" s="20"/>
    </row>
    <row r="2169" spans="1:11" x14ac:dyDescent="0.25">
      <c r="A2169" s="16"/>
      <c r="C2169" s="11"/>
      <c r="K2169" s="20"/>
    </row>
    <row r="2170" spans="1:11" x14ac:dyDescent="0.25">
      <c r="A2170" s="16"/>
      <c r="C2170" s="11"/>
      <c r="K2170" s="20"/>
    </row>
    <row r="2171" spans="1:11" x14ac:dyDescent="0.25">
      <c r="A2171" s="16"/>
      <c r="C2171" s="11"/>
      <c r="K2171" s="20"/>
    </row>
    <row r="2172" spans="1:11" x14ac:dyDescent="0.25">
      <c r="A2172" s="16"/>
      <c r="C2172" s="11"/>
      <c r="K2172" s="20"/>
    </row>
    <row r="2173" spans="1:11" x14ac:dyDescent="0.25">
      <c r="A2173" s="16"/>
      <c r="C2173" s="11"/>
      <c r="K2173" s="20"/>
    </row>
    <row r="2174" spans="1:11" x14ac:dyDescent="0.25">
      <c r="A2174" s="16"/>
      <c r="C2174" s="11"/>
      <c r="K2174" s="20"/>
    </row>
    <row r="2175" spans="1:11" x14ac:dyDescent="0.25">
      <c r="A2175" s="16"/>
      <c r="C2175" s="11"/>
      <c r="K2175" s="20"/>
    </row>
    <row r="2176" spans="1:11" x14ac:dyDescent="0.25">
      <c r="A2176" s="16"/>
      <c r="C2176" s="11"/>
      <c r="K2176" s="20"/>
    </row>
    <row r="2177" spans="1:11" x14ac:dyDescent="0.25">
      <c r="A2177" s="16"/>
      <c r="C2177" s="11"/>
      <c r="K2177" s="20"/>
    </row>
    <row r="2178" spans="1:11" x14ac:dyDescent="0.25">
      <c r="A2178" s="16"/>
      <c r="C2178" s="11"/>
      <c r="K2178" s="20"/>
    </row>
    <row r="2179" spans="1:11" x14ac:dyDescent="0.25">
      <c r="A2179" s="16"/>
      <c r="C2179" s="11"/>
      <c r="K2179" s="20"/>
    </row>
    <row r="2180" spans="1:11" x14ac:dyDescent="0.25">
      <c r="A2180" s="16"/>
      <c r="C2180" s="11"/>
      <c r="K2180" s="20"/>
    </row>
    <row r="2181" spans="1:11" x14ac:dyDescent="0.25">
      <c r="A2181" s="16"/>
      <c r="C2181" s="11"/>
      <c r="K2181" s="20"/>
    </row>
    <row r="2182" spans="1:11" x14ac:dyDescent="0.25">
      <c r="A2182" s="16"/>
      <c r="C2182" s="11"/>
      <c r="K2182" s="20"/>
    </row>
    <row r="2183" spans="1:11" x14ac:dyDescent="0.25">
      <c r="A2183" s="16"/>
      <c r="C2183" s="11"/>
      <c r="K2183" s="20"/>
    </row>
    <row r="2184" spans="1:11" x14ac:dyDescent="0.25">
      <c r="A2184" s="16"/>
      <c r="C2184" s="11"/>
      <c r="K2184" s="20"/>
    </row>
    <row r="2185" spans="1:11" x14ac:dyDescent="0.25">
      <c r="A2185" s="16"/>
      <c r="C2185" s="11"/>
      <c r="K2185" s="20"/>
    </row>
    <row r="2186" spans="1:11" x14ac:dyDescent="0.25">
      <c r="A2186" s="16"/>
      <c r="C2186" s="11"/>
      <c r="K2186" s="20"/>
    </row>
    <row r="2187" spans="1:11" x14ac:dyDescent="0.25">
      <c r="A2187" s="16"/>
      <c r="C2187" s="11"/>
      <c r="K2187" s="20"/>
    </row>
    <row r="2188" spans="1:11" x14ac:dyDescent="0.25">
      <c r="A2188" s="16"/>
      <c r="C2188" s="11"/>
      <c r="K2188" s="20"/>
    </row>
    <row r="2189" spans="1:11" x14ac:dyDescent="0.25">
      <c r="A2189" s="16"/>
      <c r="C2189" s="11"/>
      <c r="K2189" s="20"/>
    </row>
    <row r="2190" spans="1:11" x14ac:dyDescent="0.25">
      <c r="A2190" s="16"/>
      <c r="C2190" s="11"/>
      <c r="K2190" s="20"/>
    </row>
    <row r="2191" spans="1:11" x14ac:dyDescent="0.25">
      <c r="A2191" s="16"/>
      <c r="C2191" s="11"/>
      <c r="K2191" s="20"/>
    </row>
    <row r="2192" spans="1:11" x14ac:dyDescent="0.25">
      <c r="A2192" s="16"/>
      <c r="C2192" s="11"/>
      <c r="K2192" s="20"/>
    </row>
    <row r="2193" spans="1:11" x14ac:dyDescent="0.25">
      <c r="A2193" s="16"/>
      <c r="C2193" s="11"/>
      <c r="K2193" s="20"/>
    </row>
    <row r="2194" spans="1:11" x14ac:dyDescent="0.25">
      <c r="A2194" s="16"/>
      <c r="C2194" s="11"/>
      <c r="K2194" s="20"/>
    </row>
    <row r="2195" spans="1:11" x14ac:dyDescent="0.25">
      <c r="A2195" s="16"/>
      <c r="C2195" s="11"/>
      <c r="K2195" s="20"/>
    </row>
    <row r="2196" spans="1:11" x14ac:dyDescent="0.25">
      <c r="A2196" s="16"/>
      <c r="C2196" s="11"/>
      <c r="K2196" s="20"/>
    </row>
    <row r="2197" spans="1:11" x14ac:dyDescent="0.25">
      <c r="A2197" s="16"/>
      <c r="C2197" s="11"/>
      <c r="K2197" s="20"/>
    </row>
    <row r="2198" spans="1:11" x14ac:dyDescent="0.25">
      <c r="A2198" s="16"/>
      <c r="C2198" s="11"/>
      <c r="K2198" s="20"/>
    </row>
    <row r="2199" spans="1:11" x14ac:dyDescent="0.25">
      <c r="A2199" s="16"/>
      <c r="C2199" s="11"/>
      <c r="K2199" s="20"/>
    </row>
    <row r="2200" spans="1:11" x14ac:dyDescent="0.25">
      <c r="A2200" s="16"/>
      <c r="C2200" s="11"/>
      <c r="K2200" s="20"/>
    </row>
    <row r="2201" spans="1:11" x14ac:dyDescent="0.25">
      <c r="A2201" s="16"/>
      <c r="C2201" s="11"/>
      <c r="K2201" s="20"/>
    </row>
    <row r="2202" spans="1:11" x14ac:dyDescent="0.25">
      <c r="A2202" s="16"/>
      <c r="C2202" s="11"/>
      <c r="K2202" s="20"/>
    </row>
    <row r="2203" spans="1:11" x14ac:dyDescent="0.25">
      <c r="A2203" s="16"/>
      <c r="C2203" s="11"/>
      <c r="K2203" s="20"/>
    </row>
    <row r="2204" spans="1:11" x14ac:dyDescent="0.25">
      <c r="A2204" s="16"/>
      <c r="C2204" s="11"/>
      <c r="K2204" s="20"/>
    </row>
    <row r="2205" spans="1:11" x14ac:dyDescent="0.25">
      <c r="A2205" s="16"/>
      <c r="C2205" s="11"/>
      <c r="K2205" s="20"/>
    </row>
    <row r="2206" spans="1:11" x14ac:dyDescent="0.25">
      <c r="A2206" s="16"/>
      <c r="C2206" s="11"/>
      <c r="K2206" s="20"/>
    </row>
    <row r="2207" spans="1:11" x14ac:dyDescent="0.25">
      <c r="A2207" s="16"/>
      <c r="C2207" s="11"/>
      <c r="K2207" s="20"/>
    </row>
    <row r="2208" spans="1:11" x14ac:dyDescent="0.25">
      <c r="A2208" s="16"/>
      <c r="C2208" s="11"/>
      <c r="K2208" s="20"/>
    </row>
    <row r="2209" spans="1:11" x14ac:dyDescent="0.25">
      <c r="A2209" s="16"/>
      <c r="C2209" s="11"/>
      <c r="K2209" s="20"/>
    </row>
    <row r="2210" spans="1:11" x14ac:dyDescent="0.25">
      <c r="A2210" s="16"/>
      <c r="C2210" s="11"/>
      <c r="K2210" s="20"/>
    </row>
    <row r="2211" spans="1:11" x14ac:dyDescent="0.25">
      <c r="A2211" s="16"/>
      <c r="C2211" s="11"/>
      <c r="K2211" s="20"/>
    </row>
    <row r="2212" spans="1:11" x14ac:dyDescent="0.25">
      <c r="A2212" s="16"/>
      <c r="C2212" s="11"/>
      <c r="K2212" s="20"/>
    </row>
    <row r="2213" spans="1:11" x14ac:dyDescent="0.25">
      <c r="A2213" s="16"/>
      <c r="C2213" s="11"/>
      <c r="K2213" s="20"/>
    </row>
    <row r="2214" spans="1:11" x14ac:dyDescent="0.25">
      <c r="A2214" s="16"/>
      <c r="C2214" s="11"/>
      <c r="K2214" s="20"/>
    </row>
    <row r="2215" spans="1:11" x14ac:dyDescent="0.25">
      <c r="A2215" s="16"/>
      <c r="C2215" s="11"/>
      <c r="K2215" s="20"/>
    </row>
    <row r="2216" spans="1:11" x14ac:dyDescent="0.25">
      <c r="A2216" s="16"/>
      <c r="C2216" s="11"/>
      <c r="K2216" s="20"/>
    </row>
    <row r="2217" spans="1:11" x14ac:dyDescent="0.25">
      <c r="A2217" s="16"/>
      <c r="C2217" s="11"/>
      <c r="K2217" s="20"/>
    </row>
    <row r="2218" spans="1:11" x14ac:dyDescent="0.25">
      <c r="A2218" s="16"/>
      <c r="C2218" s="11"/>
      <c r="K2218" s="20"/>
    </row>
    <row r="2219" spans="1:11" x14ac:dyDescent="0.25">
      <c r="A2219" s="16"/>
      <c r="C2219" s="11"/>
      <c r="K2219" s="20"/>
    </row>
    <row r="2220" spans="1:11" x14ac:dyDescent="0.25">
      <c r="A2220" s="16"/>
      <c r="C2220" s="11"/>
      <c r="K2220" s="20"/>
    </row>
    <row r="2221" spans="1:11" x14ac:dyDescent="0.25">
      <c r="A2221" s="16"/>
      <c r="C2221" s="11"/>
      <c r="K2221" s="20"/>
    </row>
    <row r="2222" spans="1:11" x14ac:dyDescent="0.25">
      <c r="A2222" s="16"/>
      <c r="C2222" s="11"/>
      <c r="K2222" s="20"/>
    </row>
    <row r="2223" spans="1:11" x14ac:dyDescent="0.25">
      <c r="A2223" s="16"/>
      <c r="C2223" s="11"/>
      <c r="K2223" s="20"/>
    </row>
    <row r="2224" spans="1:11" x14ac:dyDescent="0.25">
      <c r="A2224" s="16"/>
      <c r="C2224" s="11"/>
      <c r="K2224" s="20"/>
    </row>
    <row r="2225" spans="1:11" x14ac:dyDescent="0.25">
      <c r="A2225" s="16"/>
      <c r="C2225" s="11"/>
      <c r="K2225" s="20"/>
    </row>
    <row r="2226" spans="1:11" x14ac:dyDescent="0.25">
      <c r="A2226" s="16"/>
      <c r="C2226" s="11"/>
      <c r="K2226" s="20"/>
    </row>
    <row r="2227" spans="1:11" x14ac:dyDescent="0.25">
      <c r="A2227" s="16"/>
      <c r="C2227" s="11"/>
      <c r="K2227" s="20"/>
    </row>
    <row r="2228" spans="1:11" x14ac:dyDescent="0.25">
      <c r="A2228" s="16"/>
      <c r="C2228" s="11"/>
      <c r="K2228" s="20"/>
    </row>
    <row r="2229" spans="1:11" x14ac:dyDescent="0.25">
      <c r="A2229" s="16"/>
      <c r="C2229" s="11"/>
      <c r="K2229" s="20"/>
    </row>
    <row r="2230" spans="1:11" x14ac:dyDescent="0.25">
      <c r="A2230" s="16"/>
      <c r="C2230" s="11"/>
      <c r="K2230" s="20"/>
    </row>
    <row r="2231" spans="1:11" x14ac:dyDescent="0.25">
      <c r="A2231" s="16"/>
      <c r="C2231" s="11"/>
      <c r="K2231" s="20"/>
    </row>
    <row r="2232" spans="1:11" x14ac:dyDescent="0.25">
      <c r="A2232" s="16"/>
      <c r="C2232" s="11"/>
      <c r="K2232" s="20"/>
    </row>
    <row r="2233" spans="1:11" x14ac:dyDescent="0.25">
      <c r="A2233" s="16"/>
      <c r="C2233" s="11"/>
      <c r="K2233" s="20"/>
    </row>
    <row r="2234" spans="1:11" x14ac:dyDescent="0.25">
      <c r="A2234" s="16"/>
      <c r="C2234" s="11"/>
      <c r="K2234" s="20"/>
    </row>
    <row r="2235" spans="1:11" x14ac:dyDescent="0.25">
      <c r="A2235" s="16"/>
      <c r="C2235" s="11"/>
      <c r="K2235" s="20"/>
    </row>
    <row r="2236" spans="1:11" x14ac:dyDescent="0.25">
      <c r="A2236" s="16"/>
      <c r="C2236" s="11"/>
      <c r="K2236" s="20"/>
    </row>
    <row r="2237" spans="1:11" x14ac:dyDescent="0.25">
      <c r="A2237" s="16"/>
      <c r="C2237" s="11"/>
      <c r="K2237" s="20"/>
    </row>
    <row r="2238" spans="1:11" x14ac:dyDescent="0.25">
      <c r="A2238" s="16"/>
      <c r="C2238" s="11"/>
      <c r="K2238" s="20"/>
    </row>
    <row r="2239" spans="1:11" x14ac:dyDescent="0.25">
      <c r="A2239" s="16"/>
      <c r="C2239" s="11"/>
      <c r="K2239" s="20"/>
    </row>
    <row r="2240" spans="1:11" x14ac:dyDescent="0.25">
      <c r="A2240" s="16"/>
      <c r="C2240" s="11"/>
      <c r="K2240" s="20"/>
    </row>
    <row r="2241" spans="1:11" x14ac:dyDescent="0.25">
      <c r="A2241" s="16"/>
      <c r="C2241" s="11"/>
      <c r="K2241" s="20"/>
    </row>
    <row r="2242" spans="1:11" x14ac:dyDescent="0.25">
      <c r="A2242" s="16"/>
      <c r="C2242" s="11"/>
      <c r="K2242" s="20"/>
    </row>
    <row r="2243" spans="1:11" x14ac:dyDescent="0.25">
      <c r="A2243" s="16"/>
      <c r="C2243" s="11"/>
      <c r="K2243" s="20"/>
    </row>
    <row r="2244" spans="1:11" x14ac:dyDescent="0.25">
      <c r="A2244" s="16"/>
      <c r="C2244" s="11"/>
      <c r="K2244" s="20"/>
    </row>
    <row r="2245" spans="1:11" x14ac:dyDescent="0.25">
      <c r="A2245" s="16"/>
      <c r="C2245" s="11"/>
      <c r="K2245" s="20"/>
    </row>
    <row r="2246" spans="1:11" x14ac:dyDescent="0.25">
      <c r="A2246" s="16"/>
      <c r="C2246" s="11"/>
      <c r="K2246" s="20"/>
    </row>
    <row r="2247" spans="1:11" x14ac:dyDescent="0.25">
      <c r="A2247" s="16"/>
      <c r="C2247" s="11"/>
      <c r="K2247" s="20"/>
    </row>
    <row r="2248" spans="1:11" x14ac:dyDescent="0.25">
      <c r="A2248" s="16"/>
      <c r="C2248" s="11"/>
      <c r="K2248" s="20"/>
    </row>
    <row r="2249" spans="1:11" x14ac:dyDescent="0.25">
      <c r="A2249" s="16"/>
      <c r="C2249" s="11"/>
      <c r="K2249" s="20"/>
    </row>
    <row r="2250" spans="1:11" x14ac:dyDescent="0.25">
      <c r="A2250" s="16"/>
      <c r="C2250" s="11"/>
      <c r="K2250" s="20"/>
    </row>
    <row r="2251" spans="1:11" x14ac:dyDescent="0.25">
      <c r="A2251" s="16"/>
      <c r="C2251" s="11"/>
      <c r="K2251" s="20"/>
    </row>
    <row r="2252" spans="1:11" x14ac:dyDescent="0.25">
      <c r="A2252" s="16"/>
      <c r="C2252" s="11"/>
      <c r="K2252" s="20"/>
    </row>
    <row r="2253" spans="1:11" x14ac:dyDescent="0.25">
      <c r="A2253" s="16"/>
      <c r="C2253" s="11"/>
      <c r="K2253" s="20"/>
    </row>
    <row r="2254" spans="1:11" x14ac:dyDescent="0.25">
      <c r="A2254" s="16"/>
      <c r="C2254" s="11"/>
      <c r="K2254" s="20"/>
    </row>
    <row r="2255" spans="1:11" x14ac:dyDescent="0.25">
      <c r="A2255" s="16"/>
      <c r="C2255" s="11"/>
      <c r="K2255" s="20"/>
    </row>
    <row r="2256" spans="1:11" x14ac:dyDescent="0.25">
      <c r="A2256" s="16"/>
      <c r="C2256" s="11"/>
      <c r="K2256" s="20"/>
    </row>
    <row r="2257" spans="1:11" x14ac:dyDescent="0.25">
      <c r="A2257" s="16"/>
      <c r="C2257" s="11"/>
      <c r="K2257" s="20"/>
    </row>
    <row r="2258" spans="1:11" x14ac:dyDescent="0.25">
      <c r="A2258" s="16"/>
      <c r="C2258" s="11"/>
      <c r="K2258" s="20"/>
    </row>
    <row r="2259" spans="1:11" x14ac:dyDescent="0.25">
      <c r="A2259" s="16"/>
      <c r="C2259" s="11"/>
      <c r="K2259" s="20"/>
    </row>
    <row r="2260" spans="1:11" x14ac:dyDescent="0.25">
      <c r="A2260" s="16"/>
      <c r="C2260" s="11"/>
      <c r="K2260" s="20"/>
    </row>
    <row r="2261" spans="1:11" x14ac:dyDescent="0.25">
      <c r="A2261" s="16"/>
      <c r="C2261" s="11"/>
      <c r="K2261" s="20"/>
    </row>
    <row r="2262" spans="1:11" x14ac:dyDescent="0.25">
      <c r="A2262" s="16"/>
      <c r="C2262" s="11"/>
      <c r="K2262" s="20"/>
    </row>
    <row r="2263" spans="1:11" x14ac:dyDescent="0.25">
      <c r="A2263" s="16"/>
      <c r="C2263" s="11"/>
      <c r="K2263" s="20"/>
    </row>
    <row r="2264" spans="1:11" x14ac:dyDescent="0.25">
      <c r="A2264" s="16"/>
      <c r="C2264" s="11"/>
      <c r="K2264" s="20"/>
    </row>
    <row r="2265" spans="1:11" x14ac:dyDescent="0.25">
      <c r="A2265" s="16"/>
      <c r="C2265" s="11"/>
      <c r="K2265" s="20"/>
    </row>
    <row r="2266" spans="1:11" x14ac:dyDescent="0.25">
      <c r="A2266" s="16"/>
      <c r="C2266" s="11"/>
      <c r="K2266" s="20"/>
    </row>
    <row r="2267" spans="1:11" x14ac:dyDescent="0.25">
      <c r="A2267" s="16"/>
      <c r="C2267" s="11"/>
      <c r="K2267" s="20"/>
    </row>
    <row r="2268" spans="1:11" x14ac:dyDescent="0.25">
      <c r="A2268" s="16"/>
      <c r="C2268" s="11"/>
      <c r="K2268" s="20"/>
    </row>
    <row r="2269" spans="1:11" x14ac:dyDescent="0.25">
      <c r="A2269" s="16"/>
      <c r="C2269" s="11"/>
      <c r="K2269" s="20"/>
    </row>
    <row r="2270" spans="1:11" x14ac:dyDescent="0.25">
      <c r="A2270" s="16"/>
      <c r="C2270" s="11"/>
      <c r="K2270" s="20"/>
    </row>
    <row r="2271" spans="1:11" x14ac:dyDescent="0.25">
      <c r="A2271" s="16"/>
      <c r="C2271" s="11"/>
      <c r="K2271" s="20"/>
    </row>
    <row r="2272" spans="1:11" x14ac:dyDescent="0.25">
      <c r="A2272" s="16"/>
      <c r="C2272" s="11"/>
      <c r="K2272" s="20"/>
    </row>
    <row r="2273" spans="1:11" x14ac:dyDescent="0.25">
      <c r="A2273" s="16"/>
      <c r="C2273" s="11"/>
      <c r="K2273" s="20"/>
    </row>
    <row r="2274" spans="1:11" x14ac:dyDescent="0.25">
      <c r="A2274" s="16"/>
      <c r="C2274" s="11"/>
      <c r="K2274" s="20"/>
    </row>
    <row r="2275" spans="1:11" x14ac:dyDescent="0.25">
      <c r="A2275" s="16"/>
      <c r="C2275" s="11"/>
      <c r="K2275" s="20"/>
    </row>
    <row r="2276" spans="1:11" x14ac:dyDescent="0.25">
      <c r="A2276" s="16"/>
      <c r="C2276" s="11"/>
      <c r="K2276" s="20"/>
    </row>
    <row r="2277" spans="1:11" x14ac:dyDescent="0.25">
      <c r="A2277" s="16"/>
      <c r="C2277" s="11"/>
      <c r="K2277" s="20"/>
    </row>
    <row r="2278" spans="1:11" x14ac:dyDescent="0.25">
      <c r="A2278" s="16"/>
      <c r="C2278" s="11"/>
      <c r="K2278" s="20"/>
    </row>
    <row r="2279" spans="1:11" x14ac:dyDescent="0.25">
      <c r="A2279" s="16"/>
      <c r="C2279" s="11"/>
      <c r="K2279" s="20"/>
    </row>
    <row r="2280" spans="1:11" x14ac:dyDescent="0.25">
      <c r="A2280" s="16"/>
      <c r="C2280" s="11"/>
      <c r="K2280" s="20"/>
    </row>
    <row r="2281" spans="1:11" x14ac:dyDescent="0.25">
      <c r="A2281" s="16"/>
      <c r="C2281" s="11"/>
      <c r="K2281" s="20"/>
    </row>
    <row r="2282" spans="1:11" x14ac:dyDescent="0.25">
      <c r="A2282" s="16"/>
      <c r="C2282" s="11"/>
      <c r="K2282" s="20"/>
    </row>
    <row r="2283" spans="1:11" x14ac:dyDescent="0.25">
      <c r="A2283" s="16"/>
      <c r="C2283" s="11"/>
      <c r="K2283" s="20"/>
    </row>
    <row r="2284" spans="1:11" x14ac:dyDescent="0.25">
      <c r="A2284" s="16"/>
      <c r="C2284" s="11"/>
      <c r="K2284" s="20"/>
    </row>
    <row r="2285" spans="1:11" x14ac:dyDescent="0.25">
      <c r="A2285" s="16"/>
      <c r="C2285" s="11"/>
      <c r="K2285" s="20"/>
    </row>
    <row r="2286" spans="1:11" x14ac:dyDescent="0.25">
      <c r="A2286" s="16"/>
      <c r="C2286" s="11"/>
      <c r="K2286" s="20"/>
    </row>
    <row r="2287" spans="1:11" x14ac:dyDescent="0.25">
      <c r="A2287" s="16"/>
      <c r="C2287" s="11"/>
      <c r="K2287" s="20"/>
    </row>
    <row r="2288" spans="1:11" x14ac:dyDescent="0.25">
      <c r="A2288" s="16"/>
      <c r="C2288" s="11"/>
      <c r="K2288" s="20"/>
    </row>
    <row r="2289" spans="1:11" x14ac:dyDescent="0.25">
      <c r="A2289" s="16"/>
      <c r="C2289" s="11"/>
      <c r="K2289" s="20"/>
    </row>
    <row r="2290" spans="1:11" x14ac:dyDescent="0.25">
      <c r="A2290" s="16"/>
      <c r="C2290" s="11"/>
      <c r="K2290" s="20"/>
    </row>
    <row r="2291" spans="1:11" x14ac:dyDescent="0.25">
      <c r="A2291" s="16"/>
      <c r="C2291" s="11"/>
      <c r="K2291" s="20"/>
    </row>
    <row r="2292" spans="1:11" x14ac:dyDescent="0.25">
      <c r="A2292" s="16"/>
      <c r="C2292" s="11"/>
      <c r="K2292" s="20"/>
    </row>
    <row r="2293" spans="1:11" x14ac:dyDescent="0.25">
      <c r="A2293" s="16"/>
      <c r="C2293" s="11"/>
      <c r="K2293" s="20"/>
    </row>
    <row r="2294" spans="1:11" x14ac:dyDescent="0.25">
      <c r="A2294" s="16"/>
      <c r="C2294" s="11"/>
      <c r="K2294" s="20"/>
    </row>
    <row r="2295" spans="1:11" x14ac:dyDescent="0.25">
      <c r="A2295" s="16"/>
      <c r="C2295" s="11"/>
      <c r="K2295" s="20"/>
    </row>
    <row r="2296" spans="1:11" x14ac:dyDescent="0.25">
      <c r="A2296" s="16"/>
      <c r="C2296" s="11"/>
      <c r="K2296" s="20"/>
    </row>
    <row r="2297" spans="1:11" x14ac:dyDescent="0.25">
      <c r="A2297" s="16"/>
      <c r="C2297" s="11"/>
      <c r="K2297" s="20"/>
    </row>
    <row r="2298" spans="1:11" x14ac:dyDescent="0.25">
      <c r="A2298" s="16"/>
      <c r="C2298" s="11"/>
      <c r="K2298" s="20"/>
    </row>
    <row r="2299" spans="1:11" x14ac:dyDescent="0.25">
      <c r="A2299" s="16"/>
      <c r="C2299" s="11"/>
      <c r="K2299" s="20"/>
    </row>
    <row r="2300" spans="1:11" x14ac:dyDescent="0.25">
      <c r="A2300" s="16"/>
      <c r="C2300" s="11"/>
      <c r="K2300" s="20"/>
    </row>
    <row r="2301" spans="1:11" x14ac:dyDescent="0.25">
      <c r="A2301" s="16"/>
      <c r="C2301" s="11"/>
      <c r="K2301" s="20"/>
    </row>
    <row r="2302" spans="1:11" x14ac:dyDescent="0.25">
      <c r="A2302" s="16"/>
      <c r="C2302" s="11"/>
      <c r="K2302" s="20"/>
    </row>
    <row r="2303" spans="1:11" x14ac:dyDescent="0.25">
      <c r="A2303" s="16"/>
      <c r="C2303" s="11"/>
      <c r="K2303" s="20"/>
    </row>
    <row r="2304" spans="1:11" x14ac:dyDescent="0.25">
      <c r="A2304" s="16"/>
      <c r="C2304" s="11"/>
      <c r="K2304" s="20"/>
    </row>
    <row r="2305" spans="1:11" x14ac:dyDescent="0.25">
      <c r="A2305" s="16"/>
      <c r="C2305" s="11"/>
      <c r="K2305" s="20"/>
    </row>
    <row r="2306" spans="1:11" x14ac:dyDescent="0.25">
      <c r="A2306" s="16"/>
      <c r="C2306" s="11"/>
      <c r="K2306" s="20"/>
    </row>
    <row r="2307" spans="1:11" x14ac:dyDescent="0.25">
      <c r="A2307" s="16"/>
      <c r="C2307" s="11"/>
      <c r="K2307" s="20"/>
    </row>
    <row r="2308" spans="1:11" x14ac:dyDescent="0.25">
      <c r="A2308" s="16"/>
      <c r="C2308" s="11"/>
      <c r="K2308" s="20"/>
    </row>
    <row r="2309" spans="1:11" x14ac:dyDescent="0.25">
      <c r="A2309" s="16"/>
      <c r="C2309" s="11"/>
      <c r="K2309" s="20"/>
    </row>
    <row r="2310" spans="1:11" x14ac:dyDescent="0.25">
      <c r="A2310" s="16"/>
      <c r="C2310" s="11"/>
      <c r="K2310" s="20"/>
    </row>
    <row r="2311" spans="1:11" x14ac:dyDescent="0.25">
      <c r="A2311" s="16"/>
      <c r="C2311" s="11"/>
      <c r="K2311" s="20"/>
    </row>
    <row r="2312" spans="1:11" x14ac:dyDescent="0.25">
      <c r="A2312" s="16"/>
      <c r="C2312" s="11"/>
      <c r="K2312" s="20"/>
    </row>
    <row r="2313" spans="1:11" x14ac:dyDescent="0.25">
      <c r="A2313" s="16"/>
      <c r="C2313" s="11"/>
      <c r="K2313" s="20"/>
    </row>
    <row r="2314" spans="1:11" x14ac:dyDescent="0.25">
      <c r="A2314" s="16"/>
      <c r="C2314" s="11"/>
      <c r="K2314" s="20"/>
    </row>
    <row r="2315" spans="1:11" x14ac:dyDescent="0.25">
      <c r="A2315" s="16"/>
      <c r="C2315" s="11"/>
      <c r="K2315" s="20"/>
    </row>
    <row r="2316" spans="1:11" x14ac:dyDescent="0.25">
      <c r="A2316" s="16"/>
      <c r="C2316" s="11"/>
      <c r="K2316" s="20"/>
    </row>
    <row r="2317" spans="1:11" x14ac:dyDescent="0.25">
      <c r="A2317" s="16"/>
      <c r="C2317" s="11"/>
      <c r="K2317" s="20"/>
    </row>
    <row r="2318" spans="1:11" x14ac:dyDescent="0.25">
      <c r="A2318" s="16"/>
      <c r="C2318" s="11"/>
      <c r="K2318" s="20"/>
    </row>
    <row r="2319" spans="1:11" x14ac:dyDescent="0.25">
      <c r="A2319" s="16"/>
      <c r="C2319" s="11"/>
      <c r="K2319" s="20"/>
    </row>
    <row r="2320" spans="1:11" x14ac:dyDescent="0.25">
      <c r="A2320" s="16"/>
      <c r="C2320" s="11"/>
      <c r="K2320" s="20"/>
    </row>
    <row r="2321" spans="1:11" x14ac:dyDescent="0.25">
      <c r="A2321" s="16"/>
      <c r="C2321" s="11"/>
      <c r="K2321" s="20"/>
    </row>
    <row r="2322" spans="1:11" x14ac:dyDescent="0.25">
      <c r="A2322" s="16"/>
      <c r="C2322" s="11"/>
      <c r="K2322" s="20"/>
    </row>
    <row r="2323" spans="1:11" x14ac:dyDescent="0.25">
      <c r="A2323" s="16"/>
      <c r="C2323" s="11"/>
      <c r="K2323" s="20"/>
    </row>
    <row r="2324" spans="1:11" x14ac:dyDescent="0.25">
      <c r="A2324" s="16"/>
      <c r="C2324" s="11"/>
      <c r="K2324" s="20"/>
    </row>
    <row r="2325" spans="1:11" x14ac:dyDescent="0.25">
      <c r="A2325" s="16"/>
      <c r="C2325" s="11"/>
      <c r="K2325" s="20"/>
    </row>
    <row r="2326" spans="1:11" x14ac:dyDescent="0.25">
      <c r="A2326" s="16"/>
      <c r="C2326" s="11"/>
      <c r="K2326" s="20"/>
    </row>
    <row r="2327" spans="1:11" x14ac:dyDescent="0.25">
      <c r="A2327" s="16"/>
      <c r="C2327" s="11"/>
      <c r="K2327" s="20"/>
    </row>
    <row r="2328" spans="1:11" x14ac:dyDescent="0.25">
      <c r="A2328" s="16"/>
      <c r="C2328" s="11"/>
      <c r="K2328" s="20"/>
    </row>
    <row r="2329" spans="1:11" x14ac:dyDescent="0.25">
      <c r="A2329" s="16"/>
      <c r="C2329" s="11"/>
      <c r="K2329" s="20"/>
    </row>
    <row r="2330" spans="1:11" x14ac:dyDescent="0.25">
      <c r="A2330" s="16"/>
      <c r="C2330" s="11"/>
      <c r="K2330" s="20"/>
    </row>
    <row r="2331" spans="1:11" x14ac:dyDescent="0.25">
      <c r="A2331" s="16"/>
      <c r="C2331" s="11"/>
      <c r="K2331" s="20"/>
    </row>
    <row r="2332" spans="1:11" x14ac:dyDescent="0.25">
      <c r="A2332" s="16"/>
      <c r="C2332" s="11"/>
      <c r="K2332" s="20"/>
    </row>
    <row r="2333" spans="1:11" x14ac:dyDescent="0.25">
      <c r="A2333" s="16"/>
      <c r="C2333" s="11"/>
      <c r="K2333" s="20"/>
    </row>
    <row r="2334" spans="1:11" x14ac:dyDescent="0.25">
      <c r="A2334" s="16"/>
      <c r="C2334" s="11"/>
      <c r="K2334" s="20"/>
    </row>
    <row r="2335" spans="1:11" x14ac:dyDescent="0.25">
      <c r="A2335" s="16"/>
      <c r="C2335" s="11"/>
      <c r="K2335" s="20"/>
    </row>
    <row r="2336" spans="1:11" x14ac:dyDescent="0.25">
      <c r="A2336" s="16"/>
      <c r="C2336" s="11"/>
      <c r="K2336" s="20"/>
    </row>
    <row r="2337" spans="1:11" x14ac:dyDescent="0.25">
      <c r="A2337" s="16"/>
      <c r="C2337" s="11"/>
      <c r="K2337" s="20"/>
    </row>
    <row r="2338" spans="1:11" x14ac:dyDescent="0.25">
      <c r="A2338" s="16"/>
      <c r="C2338" s="11"/>
      <c r="K2338" s="20"/>
    </row>
    <row r="2339" spans="1:11" x14ac:dyDescent="0.25">
      <c r="A2339" s="16"/>
      <c r="C2339" s="11"/>
      <c r="K2339" s="20"/>
    </row>
    <row r="2340" spans="1:11" x14ac:dyDescent="0.25">
      <c r="A2340" s="16"/>
      <c r="C2340" s="11"/>
      <c r="K2340" s="20"/>
    </row>
    <row r="2341" spans="1:11" x14ac:dyDescent="0.25">
      <c r="A2341" s="16"/>
      <c r="C2341" s="11"/>
      <c r="K2341" s="20"/>
    </row>
    <row r="2342" spans="1:11" x14ac:dyDescent="0.25">
      <c r="A2342" s="16"/>
      <c r="C2342" s="11"/>
      <c r="K2342" s="20"/>
    </row>
    <row r="2343" spans="1:11" x14ac:dyDescent="0.25">
      <c r="A2343" s="16"/>
      <c r="C2343" s="11"/>
      <c r="K2343" s="20"/>
    </row>
    <row r="2344" spans="1:11" x14ac:dyDescent="0.25">
      <c r="A2344" s="16"/>
      <c r="C2344" s="11"/>
      <c r="K2344" s="20"/>
    </row>
    <row r="2345" spans="1:11" x14ac:dyDescent="0.25">
      <c r="A2345" s="16"/>
      <c r="C2345" s="11"/>
      <c r="K2345" s="20"/>
    </row>
    <row r="2346" spans="1:11" x14ac:dyDescent="0.25">
      <c r="A2346" s="16"/>
      <c r="C2346" s="11"/>
      <c r="K2346" s="20"/>
    </row>
    <row r="2347" spans="1:11" x14ac:dyDescent="0.25">
      <c r="A2347" s="16"/>
      <c r="C2347" s="11"/>
      <c r="K2347" s="20"/>
    </row>
    <row r="2348" spans="1:11" x14ac:dyDescent="0.25">
      <c r="A2348" s="16"/>
      <c r="C2348" s="11"/>
      <c r="K2348" s="20"/>
    </row>
    <row r="2349" spans="1:11" x14ac:dyDescent="0.25">
      <c r="A2349" s="16"/>
      <c r="C2349" s="11"/>
      <c r="K2349" s="20"/>
    </row>
    <row r="2350" spans="1:11" x14ac:dyDescent="0.25">
      <c r="A2350" s="16"/>
      <c r="C2350" s="11"/>
      <c r="K2350" s="20"/>
    </row>
    <row r="2351" spans="1:11" x14ac:dyDescent="0.25">
      <c r="A2351" s="16"/>
      <c r="C2351" s="11"/>
      <c r="K2351" s="20"/>
    </row>
    <row r="2352" spans="1:11" x14ac:dyDescent="0.25">
      <c r="A2352" s="16"/>
      <c r="C2352" s="11"/>
      <c r="K2352" s="20"/>
    </row>
    <row r="2353" spans="1:11" x14ac:dyDescent="0.25">
      <c r="A2353" s="16"/>
      <c r="C2353" s="11"/>
      <c r="K2353" s="20"/>
    </row>
    <row r="2354" spans="1:11" x14ac:dyDescent="0.25">
      <c r="A2354" s="16"/>
      <c r="C2354" s="11"/>
      <c r="K2354" s="20"/>
    </row>
    <row r="2355" spans="1:11" x14ac:dyDescent="0.25">
      <c r="A2355" s="16"/>
      <c r="C2355" s="11"/>
      <c r="K2355" s="20"/>
    </row>
    <row r="2356" spans="1:11" x14ac:dyDescent="0.25">
      <c r="A2356" s="16"/>
      <c r="C2356" s="11"/>
      <c r="K2356" s="20"/>
    </row>
    <row r="2357" spans="1:11" x14ac:dyDescent="0.25">
      <c r="A2357" s="16"/>
      <c r="C2357" s="11"/>
      <c r="K2357" s="20"/>
    </row>
    <row r="2358" spans="1:11" x14ac:dyDescent="0.25">
      <c r="A2358" s="16"/>
      <c r="C2358" s="11"/>
      <c r="K2358" s="20"/>
    </row>
    <row r="2359" spans="1:11" x14ac:dyDescent="0.25">
      <c r="A2359" s="16"/>
      <c r="C2359" s="11"/>
      <c r="K2359" s="20"/>
    </row>
    <row r="2360" spans="1:11" x14ac:dyDescent="0.25">
      <c r="A2360" s="16"/>
      <c r="C2360" s="11"/>
      <c r="K2360" s="20"/>
    </row>
    <row r="2361" spans="1:11" x14ac:dyDescent="0.25">
      <c r="A2361" s="16"/>
      <c r="C2361" s="11"/>
      <c r="K2361" s="20"/>
    </row>
    <row r="2362" spans="1:11" x14ac:dyDescent="0.25">
      <c r="A2362" s="16"/>
      <c r="C2362" s="11"/>
      <c r="K2362" s="20"/>
    </row>
    <row r="2363" spans="1:11" x14ac:dyDescent="0.25">
      <c r="A2363" s="16"/>
      <c r="C2363" s="11"/>
      <c r="K2363" s="20"/>
    </row>
    <row r="2364" spans="1:11" x14ac:dyDescent="0.25">
      <c r="A2364" s="16"/>
      <c r="C2364" s="11"/>
      <c r="K2364" s="20"/>
    </row>
    <row r="2365" spans="1:11" x14ac:dyDescent="0.25">
      <c r="A2365" s="16"/>
      <c r="C2365" s="11"/>
      <c r="K2365" s="20"/>
    </row>
    <row r="2366" spans="1:11" x14ac:dyDescent="0.25">
      <c r="A2366" s="16"/>
      <c r="C2366" s="11"/>
      <c r="K2366" s="20"/>
    </row>
    <row r="2367" spans="1:11" x14ac:dyDescent="0.25">
      <c r="A2367" s="16"/>
      <c r="C2367" s="11"/>
      <c r="K2367" s="20"/>
    </row>
    <row r="2368" spans="1:11" x14ac:dyDescent="0.25">
      <c r="A2368" s="16"/>
      <c r="C2368" s="11"/>
      <c r="K2368" s="20"/>
    </row>
    <row r="2369" spans="1:11" x14ac:dyDescent="0.25">
      <c r="A2369" s="16"/>
      <c r="C2369" s="11"/>
      <c r="K2369" s="20"/>
    </row>
    <row r="2370" spans="1:11" x14ac:dyDescent="0.25">
      <c r="A2370" s="16"/>
      <c r="C2370" s="11"/>
      <c r="K2370" s="20"/>
    </row>
    <row r="2371" spans="1:11" x14ac:dyDescent="0.25">
      <c r="A2371" s="16"/>
      <c r="C2371" s="11"/>
      <c r="K2371" s="20"/>
    </row>
    <row r="2372" spans="1:11" x14ac:dyDescent="0.25">
      <c r="A2372" s="16"/>
      <c r="C2372" s="11"/>
      <c r="K2372" s="20"/>
    </row>
    <row r="2373" spans="1:11" x14ac:dyDescent="0.25">
      <c r="A2373" s="16"/>
      <c r="C2373" s="11"/>
      <c r="K2373" s="20"/>
    </row>
    <row r="2374" spans="1:11" x14ac:dyDescent="0.25">
      <c r="A2374" s="16"/>
      <c r="C2374" s="11"/>
      <c r="K2374" s="20"/>
    </row>
    <row r="2375" spans="1:11" x14ac:dyDescent="0.25">
      <c r="A2375" s="16"/>
      <c r="C2375" s="11"/>
      <c r="K2375" s="20"/>
    </row>
    <row r="2376" spans="1:11" x14ac:dyDescent="0.25">
      <c r="A2376" s="16"/>
      <c r="C2376" s="11"/>
      <c r="K2376" s="20"/>
    </row>
    <row r="2377" spans="1:11" x14ac:dyDescent="0.25">
      <c r="A2377" s="16"/>
      <c r="C2377" s="11"/>
      <c r="K2377" s="20"/>
    </row>
    <row r="2378" spans="1:11" x14ac:dyDescent="0.25">
      <c r="A2378" s="16"/>
      <c r="C2378" s="11"/>
      <c r="K2378" s="20"/>
    </row>
    <row r="2379" spans="1:11" x14ac:dyDescent="0.25">
      <c r="A2379" s="16"/>
      <c r="C2379" s="11"/>
      <c r="K2379" s="20"/>
    </row>
    <row r="2380" spans="1:11" x14ac:dyDescent="0.25">
      <c r="A2380" s="16"/>
      <c r="C2380" s="11"/>
      <c r="K2380" s="20"/>
    </row>
    <row r="2381" spans="1:11" x14ac:dyDescent="0.25">
      <c r="A2381" s="16"/>
      <c r="C2381" s="11"/>
      <c r="K2381" s="20"/>
    </row>
    <row r="2382" spans="1:11" x14ac:dyDescent="0.25">
      <c r="A2382" s="16"/>
      <c r="C2382" s="11"/>
      <c r="K2382" s="20"/>
    </row>
    <row r="2383" spans="1:11" x14ac:dyDescent="0.25">
      <c r="A2383" s="16"/>
      <c r="C2383" s="11"/>
      <c r="K2383" s="20"/>
    </row>
    <row r="2384" spans="1:11" x14ac:dyDescent="0.25">
      <c r="A2384" s="16"/>
      <c r="C2384" s="11"/>
      <c r="K2384" s="20"/>
    </row>
    <row r="2385" spans="1:11" x14ac:dyDescent="0.25">
      <c r="A2385" s="16"/>
      <c r="C2385" s="11"/>
      <c r="K2385" s="20"/>
    </row>
    <row r="2386" spans="1:11" x14ac:dyDescent="0.25">
      <c r="A2386" s="16"/>
      <c r="C2386" s="11"/>
      <c r="K2386" s="20"/>
    </row>
    <row r="2387" spans="1:11" x14ac:dyDescent="0.25">
      <c r="A2387" s="16"/>
      <c r="C2387" s="11"/>
      <c r="K2387" s="20"/>
    </row>
    <row r="2388" spans="1:11" x14ac:dyDescent="0.25">
      <c r="A2388" s="16"/>
      <c r="C2388" s="11"/>
      <c r="K2388" s="20"/>
    </row>
    <row r="2389" spans="1:11" x14ac:dyDescent="0.25">
      <c r="A2389" s="16"/>
      <c r="C2389" s="11"/>
      <c r="K2389" s="20"/>
    </row>
    <row r="2390" spans="1:11" x14ac:dyDescent="0.25">
      <c r="A2390" s="16"/>
      <c r="C2390" s="11"/>
      <c r="K2390" s="20"/>
    </row>
    <row r="2391" spans="1:11" x14ac:dyDescent="0.25">
      <c r="A2391" s="16"/>
      <c r="C2391" s="11"/>
      <c r="K2391" s="20"/>
    </row>
    <row r="2392" spans="1:11" x14ac:dyDescent="0.25">
      <c r="A2392" s="16"/>
      <c r="C2392" s="11"/>
      <c r="K2392" s="20"/>
    </row>
    <row r="2393" spans="1:11" x14ac:dyDescent="0.25">
      <c r="A2393" s="16"/>
      <c r="C2393" s="11"/>
      <c r="K2393" s="20"/>
    </row>
    <row r="2394" spans="1:11" x14ac:dyDescent="0.25">
      <c r="A2394" s="16"/>
      <c r="C2394" s="11"/>
      <c r="K2394" s="20"/>
    </row>
    <row r="2395" spans="1:11" x14ac:dyDescent="0.25">
      <c r="A2395" s="16"/>
      <c r="C2395" s="11"/>
      <c r="K2395" s="20"/>
    </row>
    <row r="2396" spans="1:11" x14ac:dyDescent="0.25">
      <c r="A2396" s="16"/>
      <c r="C2396" s="11"/>
      <c r="K2396" s="20"/>
    </row>
    <row r="2397" spans="1:11" x14ac:dyDescent="0.25">
      <c r="A2397" s="16"/>
      <c r="C2397" s="11"/>
      <c r="K2397" s="20"/>
    </row>
    <row r="2398" spans="1:11" x14ac:dyDescent="0.25">
      <c r="A2398" s="16"/>
      <c r="C2398" s="11"/>
      <c r="K2398" s="20"/>
    </row>
    <row r="2399" spans="1:11" x14ac:dyDescent="0.25">
      <c r="A2399" s="16"/>
      <c r="C2399" s="11"/>
      <c r="K2399" s="20"/>
    </row>
    <row r="2400" spans="1:11" x14ac:dyDescent="0.25">
      <c r="A2400" s="16"/>
      <c r="C2400" s="11"/>
      <c r="K2400" s="20"/>
    </row>
    <row r="2401" spans="1:11" x14ac:dyDescent="0.25">
      <c r="A2401" s="16"/>
      <c r="C2401" s="11"/>
      <c r="K2401" s="20"/>
    </row>
    <row r="2402" spans="1:11" x14ac:dyDescent="0.25">
      <c r="A2402" s="16"/>
      <c r="C2402" s="11"/>
      <c r="K2402" s="20"/>
    </row>
    <row r="2403" spans="1:11" x14ac:dyDescent="0.25">
      <c r="A2403" s="16"/>
      <c r="C2403" s="11"/>
      <c r="K2403" s="20"/>
    </row>
    <row r="2404" spans="1:11" x14ac:dyDescent="0.25">
      <c r="A2404" s="16"/>
      <c r="C2404" s="11"/>
      <c r="K2404" s="20"/>
    </row>
    <row r="2405" spans="1:11" x14ac:dyDescent="0.25">
      <c r="A2405" s="16"/>
      <c r="C2405" s="11"/>
      <c r="K2405" s="20"/>
    </row>
    <row r="2406" spans="1:11" x14ac:dyDescent="0.25">
      <c r="A2406" s="16"/>
      <c r="C2406" s="11"/>
      <c r="K2406" s="20"/>
    </row>
    <row r="2407" spans="1:11" x14ac:dyDescent="0.25">
      <c r="A2407" s="16"/>
      <c r="C2407" s="11"/>
      <c r="K2407" s="20"/>
    </row>
    <row r="2408" spans="1:11" x14ac:dyDescent="0.25">
      <c r="A2408" s="16"/>
      <c r="C2408" s="11"/>
      <c r="K2408" s="20"/>
    </row>
    <row r="2409" spans="1:11" x14ac:dyDescent="0.25">
      <c r="A2409" s="16"/>
      <c r="C2409" s="11"/>
      <c r="K2409" s="20"/>
    </row>
    <row r="2410" spans="1:11" x14ac:dyDescent="0.25">
      <c r="A2410" s="16"/>
      <c r="C2410" s="11"/>
      <c r="K2410" s="20"/>
    </row>
    <row r="2411" spans="1:11" x14ac:dyDescent="0.25">
      <c r="A2411" s="16"/>
      <c r="C2411" s="11"/>
      <c r="K2411" s="20"/>
    </row>
    <row r="2412" spans="1:11" x14ac:dyDescent="0.25">
      <c r="A2412" s="16"/>
      <c r="C2412" s="11"/>
      <c r="K2412" s="20"/>
    </row>
    <row r="2413" spans="1:11" x14ac:dyDescent="0.25">
      <c r="A2413" s="16"/>
      <c r="C2413" s="11"/>
      <c r="K2413" s="20"/>
    </row>
    <row r="2414" spans="1:11" x14ac:dyDescent="0.25">
      <c r="A2414" s="16"/>
      <c r="C2414" s="11"/>
      <c r="K2414" s="20"/>
    </row>
    <row r="2415" spans="1:11" x14ac:dyDescent="0.25">
      <c r="A2415" s="16"/>
      <c r="C2415" s="11"/>
      <c r="K2415" s="20"/>
    </row>
    <row r="2416" spans="1:11" x14ac:dyDescent="0.25">
      <c r="A2416" s="16"/>
      <c r="C2416" s="11"/>
      <c r="K2416" s="20"/>
    </row>
    <row r="2417" spans="1:11" x14ac:dyDescent="0.25">
      <c r="A2417" s="16"/>
      <c r="C2417" s="11"/>
      <c r="K2417" s="20"/>
    </row>
    <row r="2418" spans="1:11" x14ac:dyDescent="0.25">
      <c r="A2418" s="16"/>
      <c r="C2418" s="11"/>
      <c r="K2418" s="20"/>
    </row>
    <row r="2419" spans="1:11" x14ac:dyDescent="0.25">
      <c r="A2419" s="16"/>
      <c r="C2419" s="11"/>
      <c r="K2419" s="20"/>
    </row>
    <row r="2420" spans="1:11" x14ac:dyDescent="0.25">
      <c r="A2420" s="16"/>
      <c r="C2420" s="11"/>
      <c r="K2420" s="20"/>
    </row>
    <row r="2421" spans="1:11" x14ac:dyDescent="0.25">
      <c r="A2421" s="16"/>
      <c r="C2421" s="11"/>
      <c r="K2421" s="20"/>
    </row>
    <row r="2422" spans="1:11" x14ac:dyDescent="0.25">
      <c r="A2422" s="16"/>
      <c r="C2422" s="11"/>
      <c r="K2422" s="20"/>
    </row>
    <row r="2423" spans="1:11" x14ac:dyDescent="0.25">
      <c r="A2423" s="16"/>
      <c r="C2423" s="11"/>
      <c r="K2423" s="20"/>
    </row>
    <row r="2424" spans="1:11" x14ac:dyDescent="0.25">
      <c r="A2424" s="16"/>
      <c r="C2424" s="11"/>
      <c r="K2424" s="20"/>
    </row>
    <row r="2425" spans="1:11" x14ac:dyDescent="0.25">
      <c r="A2425" s="16"/>
      <c r="C2425" s="11"/>
      <c r="K2425" s="20"/>
    </row>
    <row r="2426" spans="1:11" x14ac:dyDescent="0.25">
      <c r="A2426" s="16"/>
      <c r="C2426" s="11"/>
      <c r="K2426" s="20"/>
    </row>
    <row r="2427" spans="1:11" x14ac:dyDescent="0.25">
      <c r="A2427" s="16"/>
      <c r="C2427" s="11"/>
      <c r="K2427" s="20"/>
    </row>
    <row r="2428" spans="1:11" x14ac:dyDescent="0.25">
      <c r="A2428" s="16"/>
      <c r="C2428" s="11"/>
      <c r="K2428" s="20"/>
    </row>
    <row r="2429" spans="1:11" x14ac:dyDescent="0.25">
      <c r="A2429" s="16"/>
      <c r="C2429" s="11"/>
      <c r="K2429" s="20"/>
    </row>
    <row r="2430" spans="1:11" x14ac:dyDescent="0.25">
      <c r="A2430" s="16"/>
      <c r="C2430" s="11"/>
      <c r="K2430" s="20"/>
    </row>
    <row r="2431" spans="1:11" x14ac:dyDescent="0.25">
      <c r="A2431" s="16"/>
      <c r="C2431" s="11"/>
      <c r="K2431" s="20"/>
    </row>
    <row r="2432" spans="1:11" x14ac:dyDescent="0.25">
      <c r="A2432" s="16"/>
      <c r="C2432" s="11"/>
      <c r="K2432" s="20"/>
    </row>
    <row r="2433" spans="1:11" x14ac:dyDescent="0.25">
      <c r="A2433" s="16"/>
      <c r="C2433" s="11"/>
      <c r="K2433" s="20"/>
    </row>
    <row r="2434" spans="1:11" x14ac:dyDescent="0.25">
      <c r="A2434" s="16"/>
      <c r="C2434" s="11"/>
      <c r="K2434" s="20"/>
    </row>
    <row r="2435" spans="1:11" x14ac:dyDescent="0.25">
      <c r="A2435" s="16"/>
      <c r="C2435" s="11"/>
      <c r="K2435" s="20"/>
    </row>
    <row r="2436" spans="1:11" x14ac:dyDescent="0.25">
      <c r="A2436" s="16"/>
      <c r="C2436" s="11"/>
      <c r="K2436" s="20"/>
    </row>
    <row r="2437" spans="1:11" x14ac:dyDescent="0.25">
      <c r="A2437" s="16"/>
      <c r="C2437" s="11"/>
      <c r="K2437" s="20"/>
    </row>
    <row r="2438" spans="1:11" x14ac:dyDescent="0.25">
      <c r="A2438" s="16"/>
      <c r="C2438" s="11"/>
      <c r="K2438" s="20"/>
    </row>
    <row r="2439" spans="1:11" x14ac:dyDescent="0.25">
      <c r="A2439" s="16"/>
      <c r="C2439" s="11"/>
      <c r="K2439" s="20"/>
    </row>
    <row r="2440" spans="1:11" x14ac:dyDescent="0.25">
      <c r="A2440" s="16"/>
      <c r="C2440" s="11"/>
      <c r="K2440" s="20"/>
    </row>
    <row r="2441" spans="1:11" x14ac:dyDescent="0.25">
      <c r="A2441" s="16"/>
      <c r="C2441" s="11"/>
      <c r="K2441" s="20"/>
    </row>
    <row r="2442" spans="1:11" x14ac:dyDescent="0.25">
      <c r="A2442" s="16"/>
      <c r="C2442" s="11"/>
      <c r="K2442" s="20"/>
    </row>
    <row r="2443" spans="1:11" x14ac:dyDescent="0.25">
      <c r="A2443" s="16"/>
      <c r="C2443" s="11"/>
      <c r="K2443" s="20"/>
    </row>
    <row r="2444" spans="1:11" x14ac:dyDescent="0.25">
      <c r="A2444" s="16"/>
      <c r="C2444" s="11"/>
      <c r="K2444" s="20"/>
    </row>
    <row r="2445" spans="1:11" x14ac:dyDescent="0.25">
      <c r="A2445" s="16"/>
      <c r="C2445" s="11"/>
      <c r="K2445" s="20"/>
    </row>
    <row r="2446" spans="1:11" x14ac:dyDescent="0.25">
      <c r="A2446" s="16"/>
      <c r="C2446" s="11"/>
      <c r="K2446" s="20"/>
    </row>
    <row r="2447" spans="1:11" x14ac:dyDescent="0.25">
      <c r="A2447" s="16"/>
      <c r="C2447" s="11"/>
      <c r="K2447" s="20"/>
    </row>
    <row r="2448" spans="1:11" x14ac:dyDescent="0.25">
      <c r="A2448" s="16"/>
      <c r="C2448" s="11"/>
      <c r="K2448" s="20"/>
    </row>
    <row r="2449" spans="1:11" x14ac:dyDescent="0.25">
      <c r="A2449" s="16"/>
      <c r="C2449" s="11"/>
      <c r="K2449" s="20"/>
    </row>
    <row r="2450" spans="1:11" x14ac:dyDescent="0.25">
      <c r="A2450" s="16"/>
      <c r="C2450" s="11"/>
      <c r="K2450" s="20"/>
    </row>
    <row r="2451" spans="1:11" x14ac:dyDescent="0.25">
      <c r="A2451" s="16"/>
      <c r="C2451" s="11"/>
      <c r="K2451" s="20"/>
    </row>
    <row r="2452" spans="1:11" x14ac:dyDescent="0.25">
      <c r="A2452" s="16"/>
      <c r="C2452" s="11"/>
      <c r="K2452" s="20"/>
    </row>
    <row r="2453" spans="1:11" x14ac:dyDescent="0.25">
      <c r="A2453" s="16"/>
      <c r="C2453" s="11"/>
      <c r="K2453" s="20"/>
    </row>
    <row r="2454" spans="1:11" x14ac:dyDescent="0.25">
      <c r="A2454" s="16"/>
      <c r="C2454" s="11"/>
      <c r="K2454" s="20"/>
    </row>
    <row r="2455" spans="1:11" x14ac:dyDescent="0.25">
      <c r="A2455" s="16"/>
      <c r="C2455" s="11"/>
      <c r="K2455" s="20"/>
    </row>
    <row r="2456" spans="1:11" x14ac:dyDescent="0.25">
      <c r="A2456" s="16"/>
      <c r="C2456" s="11"/>
      <c r="K2456" s="20"/>
    </row>
    <row r="2457" spans="1:11" x14ac:dyDescent="0.25">
      <c r="A2457" s="16"/>
      <c r="C2457" s="11"/>
      <c r="K2457" s="20"/>
    </row>
    <row r="2458" spans="1:11" x14ac:dyDescent="0.25">
      <c r="A2458" s="16"/>
      <c r="C2458" s="11"/>
      <c r="K2458" s="20"/>
    </row>
    <row r="2459" spans="1:11" x14ac:dyDescent="0.25">
      <c r="A2459" s="16"/>
      <c r="C2459" s="11"/>
      <c r="K2459" s="20"/>
    </row>
    <row r="2460" spans="1:11" x14ac:dyDescent="0.25">
      <c r="A2460" s="16"/>
      <c r="C2460" s="11"/>
      <c r="K2460" s="20"/>
    </row>
    <row r="2461" spans="1:11" x14ac:dyDescent="0.25">
      <c r="A2461" s="16"/>
      <c r="C2461" s="11"/>
      <c r="K2461" s="20"/>
    </row>
    <row r="2462" spans="1:11" x14ac:dyDescent="0.25">
      <c r="A2462" s="16"/>
      <c r="C2462" s="11"/>
      <c r="K2462" s="20"/>
    </row>
    <row r="2463" spans="1:11" x14ac:dyDescent="0.25">
      <c r="A2463" s="16"/>
      <c r="C2463" s="11"/>
      <c r="K2463" s="20"/>
    </row>
    <row r="2464" spans="1:11" x14ac:dyDescent="0.25">
      <c r="A2464" s="16"/>
      <c r="C2464" s="11"/>
      <c r="K2464" s="20"/>
    </row>
    <row r="2465" spans="1:11" x14ac:dyDescent="0.25">
      <c r="A2465" s="16"/>
      <c r="C2465" s="11"/>
      <c r="K2465" s="20"/>
    </row>
    <row r="2466" spans="1:11" x14ac:dyDescent="0.25">
      <c r="A2466" s="16"/>
      <c r="C2466" s="11"/>
      <c r="K2466" s="20"/>
    </row>
    <row r="2467" spans="1:11" x14ac:dyDescent="0.25">
      <c r="A2467" s="16"/>
      <c r="C2467" s="11"/>
      <c r="K2467" s="20"/>
    </row>
    <row r="2468" spans="1:11" x14ac:dyDescent="0.25">
      <c r="A2468" s="16"/>
      <c r="C2468" s="11"/>
      <c r="K2468" s="20"/>
    </row>
    <row r="2469" spans="1:11" x14ac:dyDescent="0.25">
      <c r="A2469" s="16"/>
      <c r="C2469" s="11"/>
      <c r="K2469" s="20"/>
    </row>
    <row r="2470" spans="1:11" x14ac:dyDescent="0.25">
      <c r="A2470" s="16"/>
      <c r="C2470" s="11"/>
      <c r="K2470" s="20"/>
    </row>
    <row r="2471" spans="1:11" x14ac:dyDescent="0.25">
      <c r="A2471" s="16"/>
      <c r="C2471" s="11"/>
      <c r="K2471" s="20"/>
    </row>
    <row r="2472" spans="1:11" x14ac:dyDescent="0.25">
      <c r="A2472" s="16"/>
      <c r="C2472" s="11"/>
      <c r="K2472" s="20"/>
    </row>
    <row r="2473" spans="1:11" x14ac:dyDescent="0.25">
      <c r="A2473" s="16"/>
      <c r="C2473" s="11"/>
      <c r="K2473" s="20"/>
    </row>
    <row r="2474" spans="1:11" x14ac:dyDescent="0.25">
      <c r="A2474" s="16"/>
      <c r="C2474" s="11"/>
      <c r="K2474" s="20"/>
    </row>
    <row r="2475" spans="1:11" x14ac:dyDescent="0.25">
      <c r="A2475" s="16"/>
      <c r="C2475" s="11"/>
      <c r="K2475" s="20"/>
    </row>
    <row r="2476" spans="1:11" x14ac:dyDescent="0.25">
      <c r="A2476" s="16"/>
      <c r="C2476" s="11"/>
      <c r="K2476" s="20"/>
    </row>
    <row r="2477" spans="1:11" x14ac:dyDescent="0.25">
      <c r="A2477" s="16"/>
      <c r="C2477" s="11"/>
      <c r="K2477" s="20"/>
    </row>
    <row r="2478" spans="1:11" x14ac:dyDescent="0.25">
      <c r="A2478" s="16"/>
      <c r="C2478" s="11"/>
      <c r="K2478" s="20"/>
    </row>
    <row r="2479" spans="1:11" x14ac:dyDescent="0.25">
      <c r="A2479" s="16"/>
      <c r="C2479" s="11"/>
      <c r="K2479" s="20"/>
    </row>
    <row r="2480" spans="1:11" x14ac:dyDescent="0.25">
      <c r="A2480" s="16"/>
      <c r="C2480" s="11"/>
      <c r="K2480" s="20"/>
    </row>
    <row r="2481" spans="1:11" x14ac:dyDescent="0.25">
      <c r="A2481" s="16"/>
      <c r="C2481" s="11"/>
      <c r="K2481" s="20"/>
    </row>
    <row r="2482" spans="1:11" x14ac:dyDescent="0.25">
      <c r="A2482" s="16"/>
      <c r="C2482" s="11"/>
      <c r="K2482" s="20"/>
    </row>
    <row r="2483" spans="1:11" x14ac:dyDescent="0.25">
      <c r="A2483" s="16"/>
      <c r="C2483" s="11"/>
      <c r="K2483" s="20"/>
    </row>
    <row r="2484" spans="1:11" x14ac:dyDescent="0.25">
      <c r="A2484" s="16"/>
      <c r="C2484" s="11"/>
      <c r="K2484" s="20"/>
    </row>
    <row r="2485" spans="1:11" x14ac:dyDescent="0.25">
      <c r="A2485" s="16"/>
      <c r="C2485" s="11"/>
      <c r="K2485" s="20"/>
    </row>
    <row r="2486" spans="1:11" x14ac:dyDescent="0.25">
      <c r="A2486" s="16"/>
      <c r="C2486" s="11"/>
      <c r="K2486" s="20"/>
    </row>
    <row r="2487" spans="1:11" x14ac:dyDescent="0.25">
      <c r="A2487" s="16"/>
      <c r="C2487" s="11"/>
      <c r="K2487" s="20"/>
    </row>
    <row r="2488" spans="1:11" x14ac:dyDescent="0.25">
      <c r="A2488" s="16"/>
      <c r="C2488" s="11"/>
      <c r="K2488" s="20"/>
    </row>
    <row r="2489" spans="1:11" x14ac:dyDescent="0.25">
      <c r="A2489" s="16"/>
      <c r="C2489" s="11"/>
      <c r="K2489" s="20"/>
    </row>
    <row r="2490" spans="1:11" x14ac:dyDescent="0.25">
      <c r="A2490" s="16"/>
      <c r="C2490" s="11"/>
      <c r="K2490" s="20"/>
    </row>
    <row r="2491" spans="1:11" x14ac:dyDescent="0.25">
      <c r="A2491" s="16"/>
      <c r="C2491" s="11"/>
      <c r="K2491" s="20"/>
    </row>
    <row r="2492" spans="1:11" x14ac:dyDescent="0.25">
      <c r="A2492" s="16"/>
      <c r="C2492" s="11"/>
      <c r="K2492" s="20"/>
    </row>
    <row r="2493" spans="1:11" x14ac:dyDescent="0.25">
      <c r="A2493" s="16"/>
      <c r="C2493" s="11"/>
      <c r="K2493" s="20"/>
    </row>
    <row r="2494" spans="1:11" x14ac:dyDescent="0.25">
      <c r="A2494" s="16"/>
      <c r="C2494" s="11"/>
      <c r="K2494" s="20"/>
    </row>
    <row r="2495" spans="1:11" x14ac:dyDescent="0.25">
      <c r="A2495" s="16"/>
      <c r="C2495" s="11"/>
      <c r="K2495" s="20"/>
    </row>
    <row r="2496" spans="1:11" x14ac:dyDescent="0.25">
      <c r="A2496" s="16"/>
      <c r="C2496" s="11"/>
      <c r="K2496" s="20"/>
    </row>
    <row r="2497" spans="1:11" x14ac:dyDescent="0.25">
      <c r="A2497" s="16"/>
      <c r="C2497" s="11"/>
      <c r="K2497" s="20"/>
    </row>
    <row r="2498" spans="1:11" x14ac:dyDescent="0.25">
      <c r="A2498" s="16"/>
      <c r="C2498" s="11"/>
      <c r="K2498" s="20"/>
    </row>
    <row r="2499" spans="1:11" x14ac:dyDescent="0.25">
      <c r="A2499" s="16"/>
      <c r="C2499" s="11"/>
      <c r="K2499" s="20"/>
    </row>
    <row r="2500" spans="1:11" x14ac:dyDescent="0.25">
      <c r="A2500" s="16"/>
      <c r="C2500" s="11"/>
      <c r="K2500" s="20"/>
    </row>
    <row r="2501" spans="1:11" x14ac:dyDescent="0.25">
      <c r="A2501" s="16"/>
      <c r="C2501" s="11"/>
      <c r="K2501" s="20"/>
    </row>
    <row r="2502" spans="1:11" x14ac:dyDescent="0.25">
      <c r="A2502" s="16"/>
      <c r="C2502" s="11"/>
      <c r="K2502" s="20"/>
    </row>
    <row r="2503" spans="1:11" x14ac:dyDescent="0.25">
      <c r="A2503" s="16"/>
      <c r="C2503" s="11"/>
      <c r="K2503" s="20"/>
    </row>
    <row r="2504" spans="1:11" x14ac:dyDescent="0.25">
      <c r="A2504" s="16"/>
      <c r="C2504" s="11"/>
      <c r="K2504" s="20"/>
    </row>
    <row r="2505" spans="1:11" x14ac:dyDescent="0.25">
      <c r="A2505" s="16"/>
      <c r="C2505" s="11"/>
      <c r="K2505" s="20"/>
    </row>
    <row r="2506" spans="1:11" x14ac:dyDescent="0.25">
      <c r="A2506" s="16"/>
      <c r="C2506" s="11"/>
      <c r="K2506" s="20"/>
    </row>
    <row r="2507" spans="1:11" x14ac:dyDescent="0.25">
      <c r="A2507" s="16"/>
      <c r="C2507" s="11"/>
      <c r="K2507" s="20"/>
    </row>
    <row r="2508" spans="1:11" x14ac:dyDescent="0.25">
      <c r="A2508" s="16"/>
      <c r="C2508" s="11"/>
      <c r="K2508" s="20"/>
    </row>
    <row r="2509" spans="1:11" x14ac:dyDescent="0.25">
      <c r="A2509" s="16"/>
      <c r="C2509" s="11"/>
      <c r="K2509" s="20"/>
    </row>
    <row r="2510" spans="1:11" x14ac:dyDescent="0.25">
      <c r="A2510" s="16"/>
      <c r="C2510" s="11"/>
      <c r="K2510" s="20"/>
    </row>
    <row r="2511" spans="1:11" x14ac:dyDescent="0.25">
      <c r="A2511" s="16"/>
      <c r="C2511" s="11"/>
      <c r="K2511" s="20"/>
    </row>
    <row r="2512" spans="1:11" x14ac:dyDescent="0.25">
      <c r="A2512" s="16"/>
      <c r="C2512" s="11"/>
      <c r="K2512" s="20"/>
    </row>
    <row r="2513" spans="1:11" x14ac:dyDescent="0.25">
      <c r="A2513" s="16"/>
      <c r="C2513" s="11"/>
      <c r="K2513" s="20"/>
    </row>
    <row r="2514" spans="1:11" x14ac:dyDescent="0.25">
      <c r="A2514" s="16"/>
      <c r="C2514" s="11"/>
      <c r="K2514" s="20"/>
    </row>
    <row r="2515" spans="1:11" x14ac:dyDescent="0.25">
      <c r="A2515" s="16"/>
      <c r="C2515" s="11"/>
      <c r="K2515" s="20"/>
    </row>
    <row r="2516" spans="1:11" x14ac:dyDescent="0.25">
      <c r="A2516" s="16"/>
      <c r="C2516" s="11"/>
      <c r="K2516" s="20"/>
    </row>
    <row r="2517" spans="1:11" x14ac:dyDescent="0.25">
      <c r="A2517" s="16"/>
      <c r="C2517" s="11"/>
      <c r="K2517" s="20"/>
    </row>
    <row r="2518" spans="1:11" x14ac:dyDescent="0.25">
      <c r="A2518" s="16"/>
      <c r="C2518" s="11"/>
      <c r="K2518" s="20"/>
    </row>
    <row r="2519" spans="1:11" x14ac:dyDescent="0.25">
      <c r="A2519" s="16"/>
      <c r="C2519" s="11"/>
      <c r="K2519" s="20"/>
    </row>
    <row r="2520" spans="1:11" x14ac:dyDescent="0.25">
      <c r="A2520" s="16"/>
      <c r="C2520" s="11"/>
      <c r="K2520" s="20"/>
    </row>
    <row r="2521" spans="1:11" x14ac:dyDescent="0.25">
      <c r="A2521" s="16"/>
      <c r="C2521" s="11"/>
      <c r="K2521" s="20"/>
    </row>
    <row r="2522" spans="1:11" x14ac:dyDescent="0.25">
      <c r="A2522" s="16"/>
      <c r="C2522" s="11"/>
      <c r="K2522" s="20"/>
    </row>
    <row r="2523" spans="1:11" x14ac:dyDescent="0.25">
      <c r="A2523" s="16"/>
      <c r="C2523" s="11"/>
      <c r="K2523" s="20"/>
    </row>
    <row r="2524" spans="1:11" x14ac:dyDescent="0.25">
      <c r="A2524" s="16"/>
      <c r="C2524" s="11"/>
      <c r="K2524" s="20"/>
    </row>
    <row r="2525" spans="1:11" x14ac:dyDescent="0.25">
      <c r="A2525" s="16"/>
      <c r="C2525" s="11"/>
    </row>
    <row r="2526" spans="1:11" x14ac:dyDescent="0.25">
      <c r="A2526" s="16"/>
      <c r="C2526" s="11"/>
    </row>
    <row r="2527" spans="1:11" x14ac:dyDescent="0.25">
      <c r="A2527" s="16"/>
      <c r="C2527" s="11"/>
    </row>
    <row r="2528" spans="1:11" x14ac:dyDescent="0.25">
      <c r="A2528" s="16"/>
      <c r="C2528" s="11"/>
    </row>
    <row r="2529" spans="1:3" x14ac:dyDescent="0.25">
      <c r="A2529" s="16"/>
      <c r="C2529" s="11"/>
    </row>
    <row r="2530" spans="1:3" x14ac:dyDescent="0.25">
      <c r="A2530" s="16"/>
      <c r="C2530" s="11"/>
    </row>
    <row r="2531" spans="1:3" x14ac:dyDescent="0.25">
      <c r="A2531" s="16"/>
      <c r="C2531" s="11"/>
    </row>
    <row r="2532" spans="1:3" x14ac:dyDescent="0.25">
      <c r="A2532" s="16"/>
      <c r="C2532" s="11"/>
    </row>
    <row r="2533" spans="1:3" x14ac:dyDescent="0.25">
      <c r="A2533" s="16"/>
      <c r="C2533" s="11"/>
    </row>
    <row r="2534" spans="1:3" x14ac:dyDescent="0.25">
      <c r="A2534" s="16"/>
      <c r="C2534" s="11"/>
    </row>
    <row r="2535" spans="1:3" x14ac:dyDescent="0.25">
      <c r="A2535" s="16"/>
      <c r="C2535" s="11"/>
    </row>
    <row r="2536" spans="1:3" x14ac:dyDescent="0.25">
      <c r="A2536" s="16"/>
      <c r="C2536" s="11"/>
    </row>
    <row r="2537" spans="1:3" x14ac:dyDescent="0.25">
      <c r="A2537" s="16"/>
      <c r="C2537" s="11"/>
    </row>
    <row r="2538" spans="1:3" x14ac:dyDescent="0.25">
      <c r="A2538" s="16"/>
      <c r="C2538" s="11"/>
    </row>
    <row r="2539" spans="1:3" x14ac:dyDescent="0.25">
      <c r="A2539" s="16"/>
      <c r="C2539" s="11"/>
    </row>
    <row r="2540" spans="1:3" x14ac:dyDescent="0.25">
      <c r="A2540" s="16"/>
      <c r="C2540" s="11"/>
    </row>
    <row r="2541" spans="1:3" x14ac:dyDescent="0.25">
      <c r="A2541" s="16"/>
      <c r="C2541" s="11"/>
    </row>
    <row r="2542" spans="1:3" x14ac:dyDescent="0.25">
      <c r="A2542" s="16"/>
      <c r="C2542" s="11"/>
    </row>
    <row r="2543" spans="1:3" x14ac:dyDescent="0.25">
      <c r="A2543" s="16"/>
      <c r="C2543" s="11"/>
    </row>
    <row r="2544" spans="1:3" x14ac:dyDescent="0.25">
      <c r="A2544" s="16"/>
      <c r="C2544" s="11"/>
    </row>
    <row r="2545" spans="1:3" x14ac:dyDescent="0.25">
      <c r="A2545" s="16"/>
      <c r="C2545" s="11"/>
    </row>
    <row r="2546" spans="1:3" x14ac:dyDescent="0.25">
      <c r="A2546" s="16"/>
      <c r="C2546" s="11"/>
    </row>
    <row r="2547" spans="1:3" x14ac:dyDescent="0.25">
      <c r="A2547" s="16"/>
      <c r="C2547" s="11"/>
    </row>
    <row r="2548" spans="1:3" x14ac:dyDescent="0.25">
      <c r="A2548" s="16"/>
      <c r="C2548" s="11"/>
    </row>
    <row r="2549" spans="1:3" x14ac:dyDescent="0.25">
      <c r="A2549" s="16"/>
      <c r="C2549" s="11"/>
    </row>
    <row r="2550" spans="1:3" x14ac:dyDescent="0.25">
      <c r="A2550" s="16"/>
      <c r="C2550" s="11"/>
    </row>
    <row r="2551" spans="1:3" x14ac:dyDescent="0.25">
      <c r="A2551" s="16"/>
      <c r="C2551" s="11"/>
    </row>
    <row r="2552" spans="1:3" x14ac:dyDescent="0.25">
      <c r="A2552" s="16"/>
      <c r="C2552" s="11"/>
    </row>
    <row r="2553" spans="1:3" x14ac:dyDescent="0.25">
      <c r="A2553" s="16"/>
      <c r="C2553" s="11"/>
    </row>
    <row r="2554" spans="1:3" x14ac:dyDescent="0.25">
      <c r="A2554" s="16"/>
      <c r="C2554" s="11"/>
    </row>
    <row r="2555" spans="1:3" x14ac:dyDescent="0.25">
      <c r="A2555" s="16"/>
      <c r="C2555" s="11"/>
    </row>
    <row r="2556" spans="1:3" x14ac:dyDescent="0.25">
      <c r="A2556" s="16"/>
      <c r="C2556" s="11"/>
    </row>
    <row r="2557" spans="1:3" x14ac:dyDescent="0.25">
      <c r="A2557" s="16"/>
      <c r="C2557" s="11"/>
    </row>
    <row r="2558" spans="1:3" x14ac:dyDescent="0.25">
      <c r="A2558" s="16"/>
      <c r="C2558" s="11"/>
    </row>
    <row r="2559" spans="1:3" x14ac:dyDescent="0.25">
      <c r="A2559" s="16"/>
      <c r="C2559" s="11"/>
    </row>
    <row r="2560" spans="1:3" x14ac:dyDescent="0.25">
      <c r="A2560" s="16"/>
      <c r="C2560" s="11"/>
    </row>
    <row r="2561" spans="1:3" x14ac:dyDescent="0.25">
      <c r="A2561" s="16"/>
      <c r="C2561" s="11"/>
    </row>
    <row r="2562" spans="1:3" x14ac:dyDescent="0.25">
      <c r="A2562" s="16"/>
      <c r="C2562" s="11"/>
    </row>
    <row r="2563" spans="1:3" x14ac:dyDescent="0.25">
      <c r="A2563" s="16"/>
      <c r="C2563" s="11"/>
    </row>
    <row r="2564" spans="1:3" x14ac:dyDescent="0.25">
      <c r="A2564" s="16"/>
      <c r="C2564" s="11"/>
    </row>
    <row r="2565" spans="1:3" x14ac:dyDescent="0.25">
      <c r="A2565" s="16"/>
      <c r="C2565" s="11"/>
    </row>
    <row r="2566" spans="1:3" x14ac:dyDescent="0.25">
      <c r="A2566" s="16"/>
      <c r="C2566" s="11"/>
    </row>
    <row r="2567" spans="1:3" x14ac:dyDescent="0.25">
      <c r="A2567" s="16"/>
      <c r="C2567" s="11"/>
    </row>
    <row r="2568" spans="1:3" x14ac:dyDescent="0.25">
      <c r="A2568" s="16"/>
      <c r="C2568" s="11"/>
    </row>
    <row r="2569" spans="1:3" x14ac:dyDescent="0.25">
      <c r="A2569" s="16"/>
      <c r="C2569" s="11"/>
    </row>
    <row r="2570" spans="1:3" x14ac:dyDescent="0.25">
      <c r="A2570" s="16"/>
      <c r="C2570" s="11"/>
    </row>
    <row r="2571" spans="1:3" x14ac:dyDescent="0.25">
      <c r="A2571" s="16"/>
      <c r="C2571" s="11"/>
    </row>
    <row r="2572" spans="1:3" x14ac:dyDescent="0.25">
      <c r="A2572" s="16"/>
      <c r="C2572" s="11"/>
    </row>
    <row r="2573" spans="1:3" x14ac:dyDescent="0.25">
      <c r="A2573" s="16"/>
      <c r="C2573" s="11"/>
    </row>
    <row r="2574" spans="1:3" x14ac:dyDescent="0.25">
      <c r="A2574" s="16"/>
      <c r="C2574" s="11"/>
    </row>
    <row r="2575" spans="1:3" x14ac:dyDescent="0.25">
      <c r="A2575" s="16"/>
      <c r="C2575" s="11"/>
    </row>
    <row r="2576" spans="1:3" x14ac:dyDescent="0.25">
      <c r="A2576" s="16"/>
      <c r="C2576" s="11"/>
    </row>
    <row r="2577" spans="1:3" x14ac:dyDescent="0.25">
      <c r="A2577" s="16"/>
      <c r="C2577" s="11"/>
    </row>
    <row r="2578" spans="1:3" x14ac:dyDescent="0.25">
      <c r="A2578" s="16"/>
      <c r="C2578" s="11"/>
    </row>
    <row r="2579" spans="1:3" x14ac:dyDescent="0.25">
      <c r="A2579" s="16"/>
      <c r="C2579" s="11"/>
    </row>
    <row r="2580" spans="1:3" x14ac:dyDescent="0.25">
      <c r="A2580" s="16"/>
      <c r="C2580" s="11"/>
    </row>
    <row r="2581" spans="1:3" x14ac:dyDescent="0.25">
      <c r="A2581" s="16"/>
      <c r="C2581" s="11"/>
    </row>
    <row r="2582" spans="1:3" x14ac:dyDescent="0.25">
      <c r="A2582" s="16"/>
      <c r="C2582" s="11"/>
    </row>
    <row r="2583" spans="1:3" x14ac:dyDescent="0.25">
      <c r="A2583" s="16"/>
      <c r="C2583" s="11"/>
    </row>
    <row r="2584" spans="1:3" x14ac:dyDescent="0.25">
      <c r="A2584" s="16"/>
      <c r="C2584" s="11"/>
    </row>
    <row r="2585" spans="1:3" x14ac:dyDescent="0.25">
      <c r="A2585" s="16"/>
      <c r="C2585" s="11"/>
    </row>
    <row r="2586" spans="1:3" x14ac:dyDescent="0.25">
      <c r="A2586" s="16"/>
      <c r="C2586" s="11"/>
    </row>
    <row r="2587" spans="1:3" x14ac:dyDescent="0.25">
      <c r="A2587" s="16"/>
      <c r="C2587" s="11"/>
    </row>
    <row r="2588" spans="1:3" x14ac:dyDescent="0.25">
      <c r="A2588" s="16"/>
      <c r="C2588" s="11"/>
    </row>
    <row r="2589" spans="1:3" x14ac:dyDescent="0.25">
      <c r="A2589" s="16"/>
      <c r="C2589" s="11"/>
    </row>
    <row r="2590" spans="1:3" x14ac:dyDescent="0.25">
      <c r="A2590" s="16"/>
      <c r="C2590" s="11"/>
    </row>
    <row r="2591" spans="1:3" x14ac:dyDescent="0.25">
      <c r="A2591" s="16"/>
      <c r="C2591" s="11"/>
    </row>
    <row r="2592" spans="1:3" x14ac:dyDescent="0.25">
      <c r="A2592" s="16"/>
      <c r="C2592" s="11"/>
    </row>
    <row r="2593" spans="1:3" x14ac:dyDescent="0.25">
      <c r="A2593" s="16"/>
      <c r="C2593" s="11"/>
    </row>
    <row r="2594" spans="1:3" x14ac:dyDescent="0.25">
      <c r="A2594" s="16"/>
      <c r="C2594" s="11"/>
    </row>
    <row r="2595" spans="1:3" x14ac:dyDescent="0.25">
      <c r="A2595" s="16"/>
      <c r="C2595" s="11"/>
    </row>
    <row r="2596" spans="1:3" x14ac:dyDescent="0.25">
      <c r="A2596" s="16"/>
      <c r="C2596" s="11"/>
    </row>
    <row r="2597" spans="1:3" x14ac:dyDescent="0.25">
      <c r="A2597" s="16"/>
      <c r="C2597" s="11"/>
    </row>
    <row r="2598" spans="1:3" x14ac:dyDescent="0.25">
      <c r="A2598" s="16"/>
      <c r="C2598" s="11"/>
    </row>
    <row r="2599" spans="1:3" x14ac:dyDescent="0.25">
      <c r="A2599" s="16"/>
      <c r="C2599" s="11"/>
    </row>
    <row r="2600" spans="1:3" x14ac:dyDescent="0.25">
      <c r="A2600" s="16"/>
      <c r="C2600" s="11"/>
    </row>
    <row r="2601" spans="1:3" x14ac:dyDescent="0.25">
      <c r="A2601" s="16"/>
      <c r="C2601" s="11"/>
    </row>
    <row r="2602" spans="1:3" x14ac:dyDescent="0.25">
      <c r="A2602" s="16"/>
      <c r="C2602" s="11"/>
    </row>
    <row r="2603" spans="1:3" x14ac:dyDescent="0.25">
      <c r="A2603" s="16"/>
      <c r="C2603" s="11"/>
    </row>
    <row r="2604" spans="1:3" x14ac:dyDescent="0.25">
      <c r="A2604" s="16"/>
      <c r="C2604" s="11"/>
    </row>
    <row r="2605" spans="1:3" x14ac:dyDescent="0.25">
      <c r="A2605" s="16"/>
      <c r="C2605" s="11"/>
    </row>
    <row r="2606" spans="1:3" x14ac:dyDescent="0.25">
      <c r="A2606" s="16"/>
      <c r="C2606" s="11"/>
    </row>
    <row r="2607" spans="1:3" x14ac:dyDescent="0.25">
      <c r="A2607" s="16"/>
      <c r="C2607" s="11"/>
    </row>
    <row r="2608" spans="1:3" x14ac:dyDescent="0.25">
      <c r="A2608" s="16"/>
      <c r="C2608" s="11"/>
    </row>
    <row r="2609" spans="1:3" x14ac:dyDescent="0.25">
      <c r="A2609" s="16"/>
      <c r="C2609" s="11"/>
    </row>
    <row r="2610" spans="1:3" x14ac:dyDescent="0.25">
      <c r="A2610" s="16"/>
      <c r="C2610" s="11"/>
    </row>
    <row r="2611" spans="1:3" x14ac:dyDescent="0.25">
      <c r="A2611" s="16"/>
      <c r="C2611" s="11"/>
    </row>
    <row r="2612" spans="1:3" x14ac:dyDescent="0.25">
      <c r="A2612" s="16"/>
      <c r="C2612" s="11"/>
    </row>
    <row r="2613" spans="1:3" x14ac:dyDescent="0.25">
      <c r="A2613" s="16"/>
      <c r="C2613" s="11"/>
    </row>
    <row r="2614" spans="1:3" x14ac:dyDescent="0.25">
      <c r="A2614" s="16"/>
      <c r="C2614" s="11"/>
    </row>
    <row r="2615" spans="1:3" x14ac:dyDescent="0.25">
      <c r="A2615" s="16"/>
      <c r="C2615" s="11"/>
    </row>
    <row r="2616" spans="1:3" x14ac:dyDescent="0.25">
      <c r="A2616" s="16"/>
      <c r="C2616" s="11"/>
    </row>
    <row r="2617" spans="1:3" x14ac:dyDescent="0.25">
      <c r="A2617" s="16"/>
      <c r="C2617" s="11"/>
    </row>
    <row r="2618" spans="1:3" x14ac:dyDescent="0.25">
      <c r="A2618" s="16"/>
      <c r="C2618" s="11"/>
    </row>
    <row r="2619" spans="1:3" x14ac:dyDescent="0.25">
      <c r="A2619" s="16"/>
      <c r="C2619" s="11"/>
    </row>
    <row r="2620" spans="1:3" x14ac:dyDescent="0.25">
      <c r="A2620" s="16"/>
      <c r="C2620" s="11"/>
    </row>
    <row r="2621" spans="1:3" x14ac:dyDescent="0.25">
      <c r="A2621" s="16"/>
      <c r="C2621" s="11"/>
    </row>
    <row r="2622" spans="1:3" x14ac:dyDescent="0.25">
      <c r="A2622" s="16"/>
      <c r="C2622" s="11"/>
    </row>
    <row r="2623" spans="1:3" x14ac:dyDescent="0.25">
      <c r="A2623" s="16"/>
      <c r="C2623" s="11"/>
    </row>
    <row r="2624" spans="1:3" x14ac:dyDescent="0.25">
      <c r="A2624" s="16"/>
      <c r="C2624" s="11"/>
    </row>
    <row r="2625" spans="1:3" x14ac:dyDescent="0.25">
      <c r="A2625" s="16"/>
      <c r="C2625" s="11"/>
    </row>
    <row r="2626" spans="1:3" x14ac:dyDescent="0.25">
      <c r="A2626" s="16"/>
      <c r="C2626" s="11"/>
    </row>
    <row r="2627" spans="1:3" x14ac:dyDescent="0.25">
      <c r="A2627" s="16"/>
      <c r="C2627" s="11"/>
    </row>
    <row r="2628" spans="1:3" x14ac:dyDescent="0.25">
      <c r="A2628" s="16"/>
      <c r="C2628" s="11"/>
    </row>
    <row r="2629" spans="1:3" x14ac:dyDescent="0.25">
      <c r="A2629" s="16"/>
      <c r="C2629" s="11"/>
    </row>
    <row r="2630" spans="1:3" x14ac:dyDescent="0.25">
      <c r="A2630" s="16"/>
      <c r="C2630" s="11"/>
    </row>
    <row r="2631" spans="1:3" x14ac:dyDescent="0.25">
      <c r="A2631" s="16"/>
      <c r="C2631" s="11"/>
    </row>
    <row r="2632" spans="1:3" x14ac:dyDescent="0.25">
      <c r="A2632" s="16"/>
      <c r="C2632" s="11"/>
    </row>
    <row r="2633" spans="1:3" x14ac:dyDescent="0.25">
      <c r="A2633" s="16"/>
      <c r="C2633" s="11"/>
    </row>
    <row r="2634" spans="1:3" x14ac:dyDescent="0.25">
      <c r="A2634" s="16"/>
      <c r="C2634" s="11"/>
    </row>
    <row r="2635" spans="1:3" x14ac:dyDescent="0.25">
      <c r="A2635" s="16"/>
      <c r="C2635" s="11"/>
    </row>
    <row r="2636" spans="1:3" x14ac:dyDescent="0.25">
      <c r="A2636" s="16"/>
      <c r="C2636" s="11"/>
    </row>
    <row r="2637" spans="1:3" x14ac:dyDescent="0.25">
      <c r="A2637" s="16"/>
      <c r="C2637" s="11"/>
    </row>
    <row r="2638" spans="1:3" x14ac:dyDescent="0.25">
      <c r="A2638" s="16"/>
      <c r="C2638" s="11"/>
    </row>
    <row r="2639" spans="1:3" x14ac:dyDescent="0.25">
      <c r="A2639" s="16"/>
      <c r="C2639" s="11"/>
    </row>
    <row r="2640" spans="1:3" x14ac:dyDescent="0.25">
      <c r="A2640" s="16"/>
      <c r="C2640" s="11"/>
    </row>
    <row r="2641" spans="1:3" x14ac:dyDescent="0.25">
      <c r="A2641" s="16"/>
      <c r="C2641" s="11"/>
    </row>
    <row r="2642" spans="1:3" x14ac:dyDescent="0.25">
      <c r="A2642" s="16"/>
      <c r="C2642" s="11"/>
    </row>
    <row r="2643" spans="1:3" x14ac:dyDescent="0.25">
      <c r="A2643" s="16"/>
      <c r="C2643" s="11"/>
    </row>
    <row r="2644" spans="1:3" x14ac:dyDescent="0.25">
      <c r="A2644" s="16"/>
      <c r="C2644" s="11"/>
    </row>
    <row r="2645" spans="1:3" x14ac:dyDescent="0.25">
      <c r="A2645" s="16"/>
      <c r="C2645" s="11"/>
    </row>
    <row r="2646" spans="1:3" x14ac:dyDescent="0.25">
      <c r="A2646" s="16"/>
      <c r="C2646" s="11"/>
    </row>
    <row r="2647" spans="1:3" x14ac:dyDescent="0.25">
      <c r="A2647" s="16"/>
      <c r="C2647" s="11"/>
    </row>
    <row r="2648" spans="1:3" x14ac:dyDescent="0.25">
      <c r="A2648" s="16"/>
      <c r="C2648" s="11"/>
    </row>
    <row r="2649" spans="1:3" x14ac:dyDescent="0.25">
      <c r="A2649" s="16"/>
      <c r="C2649" s="11"/>
    </row>
    <row r="2650" spans="1:3" x14ac:dyDescent="0.25">
      <c r="A2650" s="16"/>
      <c r="C2650" s="11"/>
    </row>
    <row r="2651" spans="1:3" x14ac:dyDescent="0.25">
      <c r="A2651" s="16"/>
      <c r="C2651" s="11"/>
    </row>
    <row r="2652" spans="1:3" x14ac:dyDescent="0.25">
      <c r="A2652" s="16"/>
      <c r="C2652" s="11"/>
    </row>
    <row r="2653" spans="1:3" x14ac:dyDescent="0.25">
      <c r="A2653" s="16"/>
      <c r="C2653" s="11"/>
    </row>
    <row r="2654" spans="1:3" x14ac:dyDescent="0.25">
      <c r="A2654" s="16"/>
      <c r="C2654" s="11"/>
    </row>
    <row r="2655" spans="1:3" x14ac:dyDescent="0.25">
      <c r="A2655" s="16"/>
      <c r="C2655" s="11"/>
    </row>
    <row r="2656" spans="1:3" x14ac:dyDescent="0.25">
      <c r="A2656" s="16"/>
      <c r="C2656" s="11"/>
    </row>
    <row r="2657" spans="1:3" x14ac:dyDescent="0.25">
      <c r="A2657" s="16"/>
      <c r="C2657" s="11"/>
    </row>
    <row r="2658" spans="1:3" x14ac:dyDescent="0.25">
      <c r="A2658" s="16"/>
      <c r="C2658" s="11"/>
    </row>
    <row r="2659" spans="1:3" x14ac:dyDescent="0.25">
      <c r="A2659" s="16"/>
      <c r="C2659" s="11"/>
    </row>
    <row r="2660" spans="1:3" x14ac:dyDescent="0.25">
      <c r="A2660" s="16"/>
      <c r="C2660" s="11"/>
    </row>
    <row r="2661" spans="1:3" x14ac:dyDescent="0.25">
      <c r="A2661" s="16"/>
      <c r="C2661" s="11"/>
    </row>
    <row r="2662" spans="1:3" x14ac:dyDescent="0.25">
      <c r="A2662" s="16"/>
      <c r="C2662" s="11"/>
    </row>
    <row r="2663" spans="1:3" x14ac:dyDescent="0.25">
      <c r="A2663" s="16"/>
      <c r="C2663" s="11"/>
    </row>
    <row r="2664" spans="1:3" x14ac:dyDescent="0.25">
      <c r="A2664" s="16"/>
      <c r="C2664" s="11"/>
    </row>
    <row r="2665" spans="1:3" x14ac:dyDescent="0.25">
      <c r="A2665" s="16"/>
      <c r="C2665" s="11"/>
    </row>
    <row r="2666" spans="1:3" x14ac:dyDescent="0.25">
      <c r="A2666" s="16"/>
      <c r="C2666" s="11"/>
    </row>
    <row r="2667" spans="1:3" x14ac:dyDescent="0.25">
      <c r="A2667" s="16"/>
      <c r="C2667" s="11"/>
    </row>
    <row r="2668" spans="1:3" x14ac:dyDescent="0.25">
      <c r="A2668" s="16"/>
      <c r="C2668" s="11"/>
    </row>
    <row r="2669" spans="1:3" x14ac:dyDescent="0.25">
      <c r="A2669" s="16"/>
      <c r="C2669" s="11"/>
    </row>
    <row r="2670" spans="1:3" x14ac:dyDescent="0.25">
      <c r="A2670" s="16"/>
      <c r="C2670" s="11"/>
    </row>
    <row r="2671" spans="1:3" x14ac:dyDescent="0.25">
      <c r="A2671" s="16"/>
      <c r="C2671" s="11"/>
    </row>
    <row r="2672" spans="1:3" x14ac:dyDescent="0.25">
      <c r="A2672" s="16"/>
      <c r="C2672" s="11"/>
    </row>
    <row r="2673" spans="1:3" x14ac:dyDescent="0.25">
      <c r="A2673" s="16"/>
      <c r="C2673" s="11"/>
    </row>
    <row r="2674" spans="1:3" x14ac:dyDescent="0.25">
      <c r="A2674" s="16"/>
      <c r="C2674" s="11"/>
    </row>
    <row r="2675" spans="1:3" x14ac:dyDescent="0.25">
      <c r="A2675" s="16"/>
      <c r="C2675" s="11"/>
    </row>
    <row r="2676" spans="1:3" x14ac:dyDescent="0.25">
      <c r="A2676" s="16"/>
      <c r="C2676" s="11"/>
    </row>
    <row r="2677" spans="1:3" x14ac:dyDescent="0.25">
      <c r="A2677" s="16"/>
      <c r="C2677" s="11"/>
    </row>
    <row r="2678" spans="1:3" x14ac:dyDescent="0.25">
      <c r="A2678" s="16"/>
      <c r="C2678" s="11"/>
    </row>
    <row r="2679" spans="1:3" x14ac:dyDescent="0.25">
      <c r="A2679" s="16"/>
      <c r="C2679" s="11"/>
    </row>
    <row r="2680" spans="1:3" x14ac:dyDescent="0.25">
      <c r="A2680" s="16"/>
      <c r="C2680" s="11"/>
    </row>
    <row r="2681" spans="1:3" x14ac:dyDescent="0.25">
      <c r="A2681" s="16"/>
      <c r="C2681" s="11"/>
    </row>
    <row r="2682" spans="1:3" x14ac:dyDescent="0.25">
      <c r="A2682" s="16"/>
      <c r="C2682" s="11"/>
    </row>
    <row r="2683" spans="1:3" x14ac:dyDescent="0.25">
      <c r="A2683" s="16"/>
      <c r="C2683" s="11"/>
    </row>
    <row r="2684" spans="1:3" x14ac:dyDescent="0.25">
      <c r="A2684" s="16"/>
      <c r="C2684" s="11"/>
    </row>
    <row r="2685" spans="1:3" x14ac:dyDescent="0.25">
      <c r="A2685" s="16"/>
      <c r="C2685" s="11"/>
    </row>
    <row r="2686" spans="1:3" x14ac:dyDescent="0.25">
      <c r="A2686" s="16"/>
      <c r="C2686" s="11"/>
    </row>
    <row r="2687" spans="1:3" x14ac:dyDescent="0.25">
      <c r="A2687" s="16"/>
      <c r="C2687" s="11"/>
    </row>
    <row r="2688" spans="1:3" x14ac:dyDescent="0.25">
      <c r="A2688" s="16"/>
      <c r="C2688" s="11"/>
    </row>
    <row r="2689" spans="1:3" x14ac:dyDescent="0.25">
      <c r="A2689" s="16"/>
      <c r="C2689" s="11"/>
    </row>
    <row r="2690" spans="1:3" x14ac:dyDescent="0.25">
      <c r="A2690" s="16"/>
      <c r="C2690" s="11"/>
    </row>
    <row r="2691" spans="1:3" x14ac:dyDescent="0.25">
      <c r="A2691" s="16"/>
      <c r="C2691" s="11"/>
    </row>
    <row r="2692" spans="1:3" x14ac:dyDescent="0.25">
      <c r="A2692" s="16"/>
      <c r="C2692" s="11"/>
    </row>
    <row r="2693" spans="1:3" x14ac:dyDescent="0.25">
      <c r="A2693" s="16"/>
      <c r="C2693" s="11"/>
    </row>
    <row r="2694" spans="1:3" x14ac:dyDescent="0.25">
      <c r="A2694" s="16"/>
      <c r="C2694" s="11"/>
    </row>
    <row r="2695" spans="1:3" x14ac:dyDescent="0.25">
      <c r="A2695" s="16"/>
      <c r="C2695" s="11"/>
    </row>
    <row r="2696" spans="1:3" x14ac:dyDescent="0.25">
      <c r="A2696" s="16"/>
      <c r="C2696" s="11"/>
    </row>
    <row r="2697" spans="1:3" x14ac:dyDescent="0.25">
      <c r="A2697" s="16"/>
      <c r="C2697" s="11"/>
    </row>
    <row r="2698" spans="1:3" x14ac:dyDescent="0.25">
      <c r="A2698" s="16"/>
      <c r="C2698" s="11"/>
    </row>
    <row r="2699" spans="1:3" x14ac:dyDescent="0.25">
      <c r="A2699" s="16"/>
      <c r="C2699" s="11"/>
    </row>
    <row r="2700" spans="1:3" x14ac:dyDescent="0.25">
      <c r="A2700" s="16"/>
      <c r="C2700" s="11"/>
    </row>
    <row r="2701" spans="1:3" x14ac:dyDescent="0.25">
      <c r="A2701" s="16"/>
      <c r="C2701" s="11"/>
    </row>
    <row r="2702" spans="1:3" x14ac:dyDescent="0.25">
      <c r="A2702" s="16"/>
      <c r="C2702" s="11"/>
    </row>
    <row r="2703" spans="1:3" x14ac:dyDescent="0.25">
      <c r="A2703" s="16"/>
      <c r="C2703" s="11"/>
    </row>
    <row r="2704" spans="1:3" x14ac:dyDescent="0.25">
      <c r="A2704" s="16"/>
      <c r="C2704" s="11"/>
    </row>
    <row r="2705" spans="1:3" x14ac:dyDescent="0.25">
      <c r="A2705" s="16"/>
      <c r="C2705" s="11"/>
    </row>
    <row r="2706" spans="1:3" x14ac:dyDescent="0.25">
      <c r="A2706" s="16"/>
      <c r="C2706" s="11"/>
    </row>
    <row r="2707" spans="1:3" x14ac:dyDescent="0.25">
      <c r="A2707" s="16"/>
      <c r="C2707" s="11"/>
    </row>
    <row r="2708" spans="1:3" x14ac:dyDescent="0.25">
      <c r="A2708" s="16"/>
      <c r="C2708" s="11"/>
    </row>
    <row r="2709" spans="1:3" x14ac:dyDescent="0.25">
      <c r="A2709" s="16"/>
      <c r="C2709" s="11"/>
    </row>
    <row r="2710" spans="1:3" x14ac:dyDescent="0.25">
      <c r="A2710" s="16"/>
      <c r="C2710" s="11"/>
    </row>
    <row r="2711" spans="1:3" x14ac:dyDescent="0.25">
      <c r="A2711" s="16"/>
      <c r="C2711" s="11"/>
    </row>
    <row r="2712" spans="1:3" x14ac:dyDescent="0.25">
      <c r="A2712" s="16"/>
      <c r="C2712" s="11"/>
    </row>
    <row r="2713" spans="1:3" x14ac:dyDescent="0.25">
      <c r="A2713" s="16"/>
      <c r="C2713" s="11"/>
    </row>
    <row r="2714" spans="1:3" x14ac:dyDescent="0.25">
      <c r="A2714" s="16"/>
      <c r="C2714" s="11"/>
    </row>
    <row r="2715" spans="1:3" x14ac:dyDescent="0.25">
      <c r="A2715" s="16"/>
      <c r="C2715" s="11"/>
    </row>
    <row r="2716" spans="1:3" x14ac:dyDescent="0.25">
      <c r="A2716" s="16"/>
      <c r="C2716" s="11"/>
    </row>
    <row r="2717" spans="1:3" x14ac:dyDescent="0.25">
      <c r="A2717" s="16"/>
      <c r="C2717" s="11"/>
    </row>
    <row r="2718" spans="1:3" x14ac:dyDescent="0.25">
      <c r="A2718" s="16"/>
      <c r="C2718" s="11"/>
    </row>
    <row r="2719" spans="1:3" x14ac:dyDescent="0.25">
      <c r="A2719" s="16"/>
      <c r="C2719" s="11"/>
    </row>
    <row r="2720" spans="1:3" x14ac:dyDescent="0.25">
      <c r="A2720" s="16"/>
      <c r="C2720" s="11"/>
    </row>
    <row r="2721" spans="1:3" x14ac:dyDescent="0.25">
      <c r="A2721" s="16"/>
      <c r="C2721" s="11"/>
    </row>
    <row r="2722" spans="1:3" x14ac:dyDescent="0.25">
      <c r="A2722" s="16"/>
      <c r="C2722" s="11"/>
    </row>
    <row r="2723" spans="1:3" x14ac:dyDescent="0.25">
      <c r="A2723" s="16"/>
      <c r="C2723" s="11"/>
    </row>
    <row r="2724" spans="1:3" x14ac:dyDescent="0.25">
      <c r="A2724" s="16"/>
      <c r="C2724" s="11"/>
    </row>
    <row r="2725" spans="1:3" x14ac:dyDescent="0.25">
      <c r="A2725" s="16"/>
      <c r="C2725" s="11"/>
    </row>
    <row r="2726" spans="1:3" x14ac:dyDescent="0.25">
      <c r="A2726" s="16"/>
      <c r="C2726" s="11"/>
    </row>
    <row r="2727" spans="1:3" x14ac:dyDescent="0.25">
      <c r="A2727" s="16"/>
      <c r="C2727" s="11"/>
    </row>
    <row r="2728" spans="1:3" x14ac:dyDescent="0.25">
      <c r="A2728" s="16"/>
      <c r="C2728" s="11"/>
    </row>
    <row r="2729" spans="1:3" x14ac:dyDescent="0.25">
      <c r="A2729" s="16"/>
      <c r="C2729" s="11"/>
    </row>
    <row r="2730" spans="1:3" x14ac:dyDescent="0.25">
      <c r="A2730" s="16"/>
      <c r="C2730" s="11"/>
    </row>
    <row r="2731" spans="1:3" x14ac:dyDescent="0.25">
      <c r="A2731" s="16"/>
      <c r="C2731" s="11"/>
    </row>
    <row r="2732" spans="1:3" x14ac:dyDescent="0.25">
      <c r="A2732" s="16"/>
      <c r="C2732" s="11"/>
    </row>
    <row r="2733" spans="1:3" x14ac:dyDescent="0.25">
      <c r="A2733" s="16"/>
      <c r="C2733" s="11"/>
    </row>
    <row r="2734" spans="1:3" x14ac:dyDescent="0.25">
      <c r="A2734" s="16"/>
      <c r="C2734" s="11"/>
    </row>
    <row r="2735" spans="1:3" x14ac:dyDescent="0.25">
      <c r="A2735" s="16"/>
      <c r="C2735" s="11"/>
    </row>
    <row r="2736" spans="1:3" x14ac:dyDescent="0.25">
      <c r="A2736" s="16"/>
      <c r="C2736" s="11"/>
    </row>
    <row r="2737" spans="1:3" x14ac:dyDescent="0.25">
      <c r="A2737" s="16"/>
      <c r="C2737" s="11"/>
    </row>
    <row r="2738" spans="1:3" x14ac:dyDescent="0.25">
      <c r="A2738" s="16"/>
      <c r="C2738" s="11"/>
    </row>
    <row r="2739" spans="1:3" x14ac:dyDescent="0.25">
      <c r="A2739" s="16"/>
      <c r="C2739" s="11"/>
    </row>
    <row r="2740" spans="1:3" x14ac:dyDescent="0.25">
      <c r="A2740" s="16"/>
      <c r="C2740" s="11"/>
    </row>
    <row r="2741" spans="1:3" x14ac:dyDescent="0.25">
      <c r="A2741" s="16"/>
      <c r="C2741" s="11"/>
    </row>
    <row r="2742" spans="1:3" x14ac:dyDescent="0.25">
      <c r="A2742" s="16"/>
      <c r="C2742" s="11"/>
    </row>
    <row r="2743" spans="1:3" x14ac:dyDescent="0.25">
      <c r="A2743" s="16"/>
      <c r="C2743" s="11"/>
    </row>
    <row r="2744" spans="1:3" x14ac:dyDescent="0.25">
      <c r="A2744" s="16"/>
      <c r="C2744" s="11"/>
    </row>
    <row r="2745" spans="1:3" x14ac:dyDescent="0.25">
      <c r="A2745" s="16"/>
      <c r="C2745" s="11"/>
    </row>
    <row r="2746" spans="1:3" x14ac:dyDescent="0.25">
      <c r="A2746" s="16"/>
      <c r="C2746" s="11"/>
    </row>
    <row r="2747" spans="1:3" x14ac:dyDescent="0.25">
      <c r="A2747" s="16"/>
      <c r="C2747" s="11"/>
    </row>
    <row r="2748" spans="1:3" x14ac:dyDescent="0.25">
      <c r="A2748" s="16"/>
      <c r="C2748" s="11"/>
    </row>
    <row r="2749" spans="1:3" x14ac:dyDescent="0.25">
      <c r="A2749" s="16"/>
      <c r="C2749" s="11"/>
    </row>
    <row r="2750" spans="1:3" x14ac:dyDescent="0.25">
      <c r="A2750" s="16"/>
      <c r="C2750" s="11"/>
    </row>
    <row r="2751" spans="1:3" x14ac:dyDescent="0.25">
      <c r="A2751" s="16"/>
      <c r="C2751" s="11"/>
    </row>
    <row r="2752" spans="1:3" x14ac:dyDescent="0.25">
      <c r="A2752" s="16"/>
      <c r="C2752" s="11"/>
    </row>
    <row r="2753" spans="1:3" x14ac:dyDescent="0.25">
      <c r="A2753" s="16"/>
      <c r="C2753" s="11"/>
    </row>
    <row r="2754" spans="1:3" x14ac:dyDescent="0.25">
      <c r="A2754" s="16"/>
      <c r="C2754" s="11"/>
    </row>
    <row r="2755" spans="1:3" x14ac:dyDescent="0.25">
      <c r="A2755" s="16"/>
      <c r="C2755" s="11"/>
    </row>
    <row r="2756" spans="1:3" x14ac:dyDescent="0.25">
      <c r="A2756" s="16"/>
      <c r="C2756" s="11"/>
    </row>
    <row r="2757" spans="1:3" x14ac:dyDescent="0.25">
      <c r="A2757" s="16"/>
      <c r="C2757" s="11"/>
    </row>
    <row r="2758" spans="1:3" x14ac:dyDescent="0.25">
      <c r="A2758" s="16"/>
      <c r="C2758" s="11"/>
    </row>
    <row r="2759" spans="1:3" x14ac:dyDescent="0.25">
      <c r="A2759" s="16"/>
      <c r="C2759" s="11"/>
    </row>
    <row r="2760" spans="1:3" x14ac:dyDescent="0.25">
      <c r="A2760" s="16"/>
      <c r="C2760" s="11"/>
    </row>
    <row r="2761" spans="1:3" x14ac:dyDescent="0.25">
      <c r="A2761" s="16"/>
      <c r="C2761" s="11"/>
    </row>
    <row r="2762" spans="1:3" x14ac:dyDescent="0.25">
      <c r="A2762" s="16"/>
      <c r="C2762" s="11"/>
    </row>
    <row r="2763" spans="1:3" x14ac:dyDescent="0.25">
      <c r="A2763" s="16"/>
      <c r="C2763" s="11"/>
    </row>
    <row r="2764" spans="1:3" x14ac:dyDescent="0.25">
      <c r="A2764" s="16"/>
      <c r="C2764" s="11"/>
    </row>
    <row r="2765" spans="1:3" x14ac:dyDescent="0.25">
      <c r="A2765" s="16"/>
      <c r="C2765" s="11"/>
    </row>
    <row r="2766" spans="1:3" x14ac:dyDescent="0.25">
      <c r="A2766" s="16"/>
      <c r="C2766" s="11"/>
    </row>
    <row r="2767" spans="1:3" x14ac:dyDescent="0.25">
      <c r="A2767" s="16"/>
      <c r="C2767" s="11"/>
    </row>
    <row r="2768" spans="1:3" x14ac:dyDescent="0.25">
      <c r="A2768" s="16"/>
      <c r="C2768" s="11"/>
    </row>
    <row r="2769" spans="1:3" x14ac:dyDescent="0.25">
      <c r="A2769" s="16"/>
      <c r="C2769" s="11"/>
    </row>
    <row r="2770" spans="1:3" x14ac:dyDescent="0.25">
      <c r="A2770" s="16"/>
      <c r="C2770" s="11"/>
    </row>
    <row r="2771" spans="1:3" x14ac:dyDescent="0.25">
      <c r="A2771" s="16"/>
      <c r="C2771" s="11"/>
    </row>
    <row r="2772" spans="1:3" x14ac:dyDescent="0.25">
      <c r="A2772" s="16"/>
      <c r="C2772" s="11"/>
    </row>
    <row r="2773" spans="1:3" x14ac:dyDescent="0.25">
      <c r="A2773" s="16"/>
      <c r="C2773" s="11"/>
    </row>
    <row r="2774" spans="1:3" x14ac:dyDescent="0.25">
      <c r="A2774" s="16"/>
      <c r="C2774" s="11"/>
    </row>
    <row r="2775" spans="1:3" x14ac:dyDescent="0.25">
      <c r="A2775" s="16"/>
      <c r="C2775" s="11"/>
    </row>
    <row r="2776" spans="1:3" x14ac:dyDescent="0.25">
      <c r="A2776" s="16"/>
      <c r="C2776" s="11"/>
    </row>
    <row r="2777" spans="1:3" x14ac:dyDescent="0.25">
      <c r="A2777" s="16"/>
      <c r="C2777" s="11"/>
    </row>
    <row r="2778" spans="1:3" x14ac:dyDescent="0.25">
      <c r="A2778" s="16"/>
      <c r="C2778" s="11"/>
    </row>
    <row r="2779" spans="1:3" x14ac:dyDescent="0.25">
      <c r="A2779" s="16"/>
      <c r="C2779" s="11"/>
    </row>
    <row r="2780" spans="1:3" x14ac:dyDescent="0.25">
      <c r="A2780" s="16"/>
      <c r="C2780" s="11"/>
    </row>
    <row r="2781" spans="1:3" x14ac:dyDescent="0.25">
      <c r="A2781" s="16"/>
      <c r="C2781" s="11"/>
    </row>
    <row r="2782" spans="1:3" x14ac:dyDescent="0.25">
      <c r="A2782" s="16"/>
      <c r="C2782" s="11"/>
    </row>
    <row r="2783" spans="1:3" x14ac:dyDescent="0.25">
      <c r="A2783" s="16"/>
      <c r="C2783" s="11"/>
    </row>
    <row r="2784" spans="1:3" x14ac:dyDescent="0.25">
      <c r="A2784" s="16"/>
      <c r="C2784" s="11"/>
    </row>
    <row r="2785" spans="1:3" x14ac:dyDescent="0.25">
      <c r="A2785" s="16"/>
      <c r="C2785" s="11"/>
    </row>
    <row r="2786" spans="1:3" x14ac:dyDescent="0.25">
      <c r="A2786" s="16"/>
      <c r="C2786" s="11"/>
    </row>
    <row r="2787" spans="1:3" x14ac:dyDescent="0.25">
      <c r="A2787" s="16"/>
      <c r="C2787" s="11"/>
    </row>
    <row r="2788" spans="1:3" x14ac:dyDescent="0.25">
      <c r="A2788" s="16"/>
      <c r="C2788" s="11"/>
    </row>
    <row r="2789" spans="1:3" x14ac:dyDescent="0.25">
      <c r="A2789" s="16"/>
      <c r="C2789" s="11"/>
    </row>
    <row r="2790" spans="1:3" x14ac:dyDescent="0.25">
      <c r="A2790" s="16"/>
      <c r="C2790" s="11"/>
    </row>
    <row r="2791" spans="1:3" x14ac:dyDescent="0.25">
      <c r="A2791" s="16"/>
      <c r="C2791" s="11"/>
    </row>
    <row r="2792" spans="1:3" x14ac:dyDescent="0.25">
      <c r="A2792" s="16"/>
      <c r="C2792" s="11"/>
    </row>
    <row r="2793" spans="1:3" x14ac:dyDescent="0.25">
      <c r="A2793" s="16"/>
      <c r="C2793" s="11"/>
    </row>
    <row r="2794" spans="1:3" x14ac:dyDescent="0.25">
      <c r="A2794" s="16"/>
      <c r="C2794" s="11"/>
    </row>
    <row r="2795" spans="1:3" x14ac:dyDescent="0.25">
      <c r="A2795" s="16"/>
      <c r="C2795" s="11"/>
    </row>
    <row r="2796" spans="1:3" x14ac:dyDescent="0.25">
      <c r="A2796" s="16"/>
      <c r="C2796" s="11"/>
    </row>
    <row r="2797" spans="1:3" x14ac:dyDescent="0.25">
      <c r="A2797" s="16"/>
      <c r="C2797" s="11"/>
    </row>
    <row r="2798" spans="1:3" x14ac:dyDescent="0.25">
      <c r="A2798" s="16"/>
      <c r="C2798" s="11"/>
    </row>
    <row r="2799" spans="1:3" x14ac:dyDescent="0.25">
      <c r="A2799" s="16"/>
      <c r="C2799" s="11"/>
    </row>
    <row r="2800" spans="1:3" x14ac:dyDescent="0.25">
      <c r="A2800" s="16"/>
      <c r="C2800" s="11"/>
    </row>
    <row r="2801" spans="1:3" x14ac:dyDescent="0.25">
      <c r="A2801" s="16"/>
      <c r="C2801" s="11"/>
    </row>
    <row r="2802" spans="1:3" x14ac:dyDescent="0.25">
      <c r="A2802" s="16"/>
      <c r="C2802" s="11"/>
    </row>
    <row r="2803" spans="1:3" x14ac:dyDescent="0.25">
      <c r="A2803" s="16"/>
      <c r="C2803" s="11"/>
    </row>
    <row r="2804" spans="1:3" x14ac:dyDescent="0.25">
      <c r="A2804" s="16"/>
      <c r="C2804" s="11"/>
    </row>
    <row r="2805" spans="1:3" x14ac:dyDescent="0.25">
      <c r="A2805" s="16"/>
      <c r="C2805" s="11"/>
    </row>
    <row r="2806" spans="1:3" x14ac:dyDescent="0.25">
      <c r="A2806" s="16"/>
      <c r="C2806" s="11"/>
    </row>
    <row r="2807" spans="1:3" x14ac:dyDescent="0.25">
      <c r="A2807" s="16"/>
      <c r="C2807" s="11"/>
    </row>
    <row r="2808" spans="1:3" x14ac:dyDescent="0.25">
      <c r="A2808" s="16"/>
      <c r="C2808" s="11"/>
    </row>
    <row r="2809" spans="1:3" x14ac:dyDescent="0.25">
      <c r="A2809" s="16"/>
      <c r="C2809" s="11"/>
    </row>
    <row r="2810" spans="1:3" x14ac:dyDescent="0.25">
      <c r="A2810" s="16"/>
      <c r="C2810" s="11"/>
    </row>
    <row r="2811" spans="1:3" x14ac:dyDescent="0.25">
      <c r="A2811" s="16"/>
      <c r="C2811" s="11"/>
    </row>
    <row r="2812" spans="1:3" x14ac:dyDescent="0.25">
      <c r="A2812" s="16"/>
      <c r="C2812" s="11"/>
    </row>
    <row r="2813" spans="1:3" x14ac:dyDescent="0.25">
      <c r="A2813" s="16"/>
      <c r="C2813" s="11"/>
    </row>
    <row r="2814" spans="1:3" x14ac:dyDescent="0.25">
      <c r="A2814" s="16"/>
      <c r="C2814" s="11"/>
    </row>
    <row r="2815" spans="1:3" x14ac:dyDescent="0.25">
      <c r="A2815" s="16"/>
      <c r="C2815" s="11"/>
    </row>
    <row r="2816" spans="1:3" x14ac:dyDescent="0.25">
      <c r="A2816" s="16"/>
      <c r="C2816" s="11"/>
    </row>
    <row r="2817" spans="1:3" x14ac:dyDescent="0.25">
      <c r="A2817" s="16"/>
      <c r="C2817" s="11"/>
    </row>
    <row r="2818" spans="1:3" x14ac:dyDescent="0.25">
      <c r="A2818" s="16"/>
      <c r="C2818" s="11"/>
    </row>
    <row r="2819" spans="1:3" x14ac:dyDescent="0.25">
      <c r="A2819" s="16"/>
      <c r="C2819" s="11"/>
    </row>
    <row r="2820" spans="1:3" x14ac:dyDescent="0.25">
      <c r="A2820" s="16"/>
      <c r="C2820" s="11"/>
    </row>
    <row r="2821" spans="1:3" x14ac:dyDescent="0.25">
      <c r="A2821" s="16"/>
      <c r="C2821" s="11"/>
    </row>
    <row r="2822" spans="1:3" x14ac:dyDescent="0.25">
      <c r="A2822" s="16"/>
      <c r="C2822" s="11"/>
    </row>
    <row r="2823" spans="1:3" x14ac:dyDescent="0.25">
      <c r="A2823" s="16"/>
      <c r="C2823" s="11"/>
    </row>
    <row r="2824" spans="1:3" x14ac:dyDescent="0.25">
      <c r="A2824" s="16"/>
      <c r="C2824" s="11"/>
    </row>
    <row r="2825" spans="1:3" x14ac:dyDescent="0.25">
      <c r="A2825" s="16"/>
      <c r="C2825" s="11"/>
    </row>
    <row r="2826" spans="1:3" x14ac:dyDescent="0.25">
      <c r="A2826" s="16"/>
      <c r="C2826" s="11"/>
    </row>
    <row r="2827" spans="1:3" x14ac:dyDescent="0.25">
      <c r="A2827" s="16"/>
      <c r="C2827" s="11"/>
    </row>
    <row r="2828" spans="1:3" x14ac:dyDescent="0.25">
      <c r="A2828" s="16"/>
      <c r="C2828" s="11"/>
    </row>
    <row r="2829" spans="1:3" x14ac:dyDescent="0.25">
      <c r="A2829" s="16"/>
      <c r="C2829" s="11"/>
    </row>
    <row r="2830" spans="1:3" x14ac:dyDescent="0.25">
      <c r="A2830" s="16"/>
      <c r="C2830" s="11"/>
    </row>
    <row r="2831" spans="1:3" x14ac:dyDescent="0.25">
      <c r="A2831" s="16"/>
      <c r="C2831" s="11"/>
    </row>
    <row r="2832" spans="1:3" x14ac:dyDescent="0.25">
      <c r="A2832" s="16"/>
      <c r="C2832" s="11"/>
    </row>
    <row r="2833" spans="1:3" x14ac:dyDescent="0.25">
      <c r="A2833" s="16"/>
      <c r="C2833" s="11"/>
    </row>
    <row r="2834" spans="1:3" x14ac:dyDescent="0.25">
      <c r="A2834" s="16"/>
      <c r="C2834" s="11"/>
    </row>
    <row r="2835" spans="1:3" x14ac:dyDescent="0.25">
      <c r="A2835" s="16"/>
      <c r="C2835" s="11"/>
    </row>
    <row r="2836" spans="1:3" x14ac:dyDescent="0.25">
      <c r="A2836" s="16"/>
      <c r="C2836" s="11"/>
    </row>
    <row r="2837" spans="1:3" x14ac:dyDescent="0.25">
      <c r="A2837" s="16"/>
      <c r="C2837" s="11"/>
    </row>
    <row r="2838" spans="1:3" x14ac:dyDescent="0.25">
      <c r="A2838" s="16"/>
      <c r="C2838" s="11"/>
    </row>
    <row r="2839" spans="1:3" x14ac:dyDescent="0.25">
      <c r="A2839" s="16"/>
      <c r="C2839" s="11"/>
    </row>
    <row r="2840" spans="1:3" x14ac:dyDescent="0.25">
      <c r="A2840" s="16"/>
      <c r="C2840" s="11"/>
    </row>
    <row r="2841" spans="1:3" x14ac:dyDescent="0.25">
      <c r="A2841" s="16"/>
      <c r="C2841" s="11"/>
    </row>
    <row r="2842" spans="1:3" x14ac:dyDescent="0.25">
      <c r="A2842" s="16"/>
      <c r="C2842" s="11"/>
    </row>
    <row r="2843" spans="1:3" x14ac:dyDescent="0.25">
      <c r="A2843" s="16"/>
      <c r="C2843" s="11"/>
    </row>
    <row r="2844" spans="1:3" x14ac:dyDescent="0.25">
      <c r="A2844" s="16"/>
      <c r="C2844" s="11"/>
    </row>
    <row r="2845" spans="1:3" x14ac:dyDescent="0.25">
      <c r="A2845" s="16"/>
      <c r="C2845" s="11"/>
    </row>
    <row r="2846" spans="1:3" x14ac:dyDescent="0.25">
      <c r="A2846" s="16"/>
      <c r="C2846" s="11"/>
    </row>
    <row r="2847" spans="1:3" x14ac:dyDescent="0.25">
      <c r="A2847" s="16"/>
      <c r="C2847" s="11"/>
    </row>
    <row r="2848" spans="1:3" x14ac:dyDescent="0.25">
      <c r="A2848" s="16"/>
      <c r="C2848" s="11"/>
    </row>
    <row r="2849" spans="1:3" x14ac:dyDescent="0.25">
      <c r="A2849" s="16"/>
      <c r="C2849" s="11"/>
    </row>
    <row r="2850" spans="1:3" x14ac:dyDescent="0.25">
      <c r="A2850" s="16"/>
      <c r="C2850" s="11"/>
    </row>
    <row r="2851" spans="1:3" x14ac:dyDescent="0.25">
      <c r="A2851" s="16"/>
      <c r="C2851" s="11"/>
    </row>
    <row r="2852" spans="1:3" x14ac:dyDescent="0.25">
      <c r="A2852" s="16"/>
      <c r="C2852" s="11"/>
    </row>
    <row r="2853" spans="1:3" x14ac:dyDescent="0.25">
      <c r="A2853" s="16"/>
      <c r="C2853" s="11"/>
    </row>
    <row r="2854" spans="1:3" x14ac:dyDescent="0.25">
      <c r="A2854" s="16"/>
      <c r="C2854" s="11"/>
    </row>
    <row r="2855" spans="1:3" x14ac:dyDescent="0.25">
      <c r="A2855" s="16"/>
      <c r="C2855" s="11"/>
    </row>
    <row r="2856" spans="1:3" x14ac:dyDescent="0.25">
      <c r="A2856" s="16"/>
      <c r="C2856" s="11"/>
    </row>
    <row r="2857" spans="1:3" x14ac:dyDescent="0.25">
      <c r="A2857" s="16"/>
      <c r="C2857" s="11"/>
    </row>
    <row r="2858" spans="1:3" x14ac:dyDescent="0.25">
      <c r="A2858" s="16"/>
      <c r="C2858" s="11"/>
    </row>
    <row r="2859" spans="1:3" x14ac:dyDescent="0.25">
      <c r="A2859" s="16"/>
      <c r="C2859" s="11"/>
    </row>
    <row r="2860" spans="1:3" x14ac:dyDescent="0.25">
      <c r="A2860" s="16"/>
      <c r="C2860" s="11"/>
    </row>
    <row r="2861" spans="1:3" x14ac:dyDescent="0.25">
      <c r="A2861" s="16"/>
      <c r="C2861" s="11"/>
    </row>
    <row r="2862" spans="1:3" x14ac:dyDescent="0.25">
      <c r="A2862" s="16"/>
      <c r="C2862" s="11"/>
    </row>
    <row r="2863" spans="1:3" x14ac:dyDescent="0.25">
      <c r="A2863" s="16"/>
      <c r="C2863" s="11"/>
    </row>
    <row r="2864" spans="1:3" x14ac:dyDescent="0.25">
      <c r="A2864" s="16"/>
      <c r="C2864" s="11"/>
    </row>
    <row r="2865" spans="1:3" x14ac:dyDescent="0.25">
      <c r="A2865" s="16"/>
      <c r="C2865" s="11"/>
    </row>
    <row r="2866" spans="1:3" x14ac:dyDescent="0.25">
      <c r="A2866" s="16"/>
      <c r="C2866" s="11"/>
    </row>
    <row r="2867" spans="1:3" x14ac:dyDescent="0.25">
      <c r="A2867" s="16"/>
      <c r="C2867" s="11"/>
    </row>
    <row r="2868" spans="1:3" x14ac:dyDescent="0.25">
      <c r="A2868" s="16"/>
      <c r="C2868" s="11"/>
    </row>
    <row r="2869" spans="1:3" x14ac:dyDescent="0.25">
      <c r="A2869" s="16"/>
      <c r="C2869" s="11"/>
    </row>
    <row r="2870" spans="1:3" x14ac:dyDescent="0.25">
      <c r="A2870" s="16"/>
      <c r="C2870" s="11"/>
    </row>
    <row r="2871" spans="1:3" x14ac:dyDescent="0.25">
      <c r="A2871" s="16"/>
      <c r="C2871" s="11"/>
    </row>
    <row r="2872" spans="1:3" x14ac:dyDescent="0.25">
      <c r="A2872" s="16"/>
      <c r="C2872" s="11"/>
    </row>
    <row r="2873" spans="1:3" x14ac:dyDescent="0.25">
      <c r="A2873" s="16"/>
      <c r="C2873" s="11"/>
    </row>
    <row r="2874" spans="1:3" x14ac:dyDescent="0.25">
      <c r="A2874" s="16"/>
      <c r="C2874" s="11"/>
    </row>
    <row r="2875" spans="1:3" x14ac:dyDescent="0.25">
      <c r="A2875" s="16"/>
      <c r="C2875" s="11"/>
    </row>
    <row r="2876" spans="1:3" x14ac:dyDescent="0.25">
      <c r="A2876" s="16"/>
      <c r="C2876" s="11"/>
    </row>
    <row r="2877" spans="1:3" x14ac:dyDescent="0.25">
      <c r="A2877" s="16"/>
      <c r="C2877" s="11"/>
    </row>
    <row r="2878" spans="1:3" x14ac:dyDescent="0.25">
      <c r="A2878" s="16"/>
      <c r="C2878" s="11"/>
    </row>
    <row r="2879" spans="1:3" x14ac:dyDescent="0.25">
      <c r="A2879" s="16"/>
      <c r="C2879" s="11"/>
    </row>
    <row r="2880" spans="1:3" x14ac:dyDescent="0.25">
      <c r="A2880" s="16"/>
      <c r="C2880" s="11"/>
    </row>
    <row r="2881" spans="1:3" x14ac:dyDescent="0.25">
      <c r="A2881" s="16"/>
      <c r="C2881" s="11"/>
    </row>
    <row r="2882" spans="1:3" x14ac:dyDescent="0.25">
      <c r="A2882" s="16"/>
      <c r="C2882" s="11"/>
    </row>
    <row r="2883" spans="1:3" x14ac:dyDescent="0.25">
      <c r="A2883" s="16"/>
      <c r="C2883" s="11"/>
    </row>
    <row r="2884" spans="1:3" x14ac:dyDescent="0.25">
      <c r="A2884" s="16"/>
      <c r="C2884" s="11"/>
    </row>
    <row r="2885" spans="1:3" x14ac:dyDescent="0.25">
      <c r="A2885" s="16"/>
      <c r="C2885" s="11"/>
    </row>
    <row r="2886" spans="1:3" x14ac:dyDescent="0.25">
      <c r="A2886" s="16"/>
      <c r="C2886" s="11"/>
    </row>
    <row r="2887" spans="1:3" x14ac:dyDescent="0.25">
      <c r="A2887" s="16"/>
      <c r="C2887" s="11"/>
    </row>
    <row r="2888" spans="1:3" x14ac:dyDescent="0.25">
      <c r="A2888" s="16"/>
      <c r="C2888" s="11"/>
    </row>
    <row r="2889" spans="1:3" x14ac:dyDescent="0.25">
      <c r="A2889" s="16"/>
      <c r="C2889" s="11"/>
    </row>
    <row r="2890" spans="1:3" x14ac:dyDescent="0.25">
      <c r="A2890" s="16"/>
      <c r="C2890" s="11"/>
    </row>
    <row r="2891" spans="1:3" x14ac:dyDescent="0.25">
      <c r="A2891" s="16"/>
      <c r="C2891" s="11"/>
    </row>
    <row r="2892" spans="1:3" x14ac:dyDescent="0.25">
      <c r="A2892" s="16"/>
      <c r="C2892" s="11"/>
    </row>
    <row r="2893" spans="1:3" x14ac:dyDescent="0.25">
      <c r="A2893" s="16"/>
      <c r="C2893" s="11"/>
    </row>
    <row r="2894" spans="1:3" x14ac:dyDescent="0.25">
      <c r="A2894" s="16"/>
      <c r="C2894" s="11"/>
    </row>
    <row r="2895" spans="1:3" x14ac:dyDescent="0.25">
      <c r="A2895" s="16"/>
      <c r="C2895" s="11"/>
    </row>
    <row r="2896" spans="1:3" x14ac:dyDescent="0.25">
      <c r="A2896" s="16"/>
      <c r="C2896" s="11"/>
    </row>
    <row r="2897" spans="1:3" x14ac:dyDescent="0.25">
      <c r="A2897" s="16"/>
      <c r="C2897" s="11"/>
    </row>
    <row r="2898" spans="1:3" x14ac:dyDescent="0.25">
      <c r="A2898" s="16"/>
      <c r="C2898" s="11"/>
    </row>
    <row r="2899" spans="1:3" x14ac:dyDescent="0.25">
      <c r="A2899" s="16"/>
      <c r="C2899" s="11"/>
    </row>
    <row r="2900" spans="1:3" x14ac:dyDescent="0.25">
      <c r="A2900" s="16"/>
      <c r="C2900" s="11"/>
    </row>
    <row r="2901" spans="1:3" x14ac:dyDescent="0.25">
      <c r="A2901" s="16"/>
      <c r="C2901" s="11"/>
    </row>
    <row r="2902" spans="1:3" x14ac:dyDescent="0.25">
      <c r="A2902" s="16"/>
      <c r="C2902" s="11"/>
    </row>
    <row r="2903" spans="1:3" x14ac:dyDescent="0.25">
      <c r="A2903" s="16"/>
      <c r="C2903" s="11"/>
    </row>
    <row r="2904" spans="1:3" x14ac:dyDescent="0.25">
      <c r="A2904" s="16"/>
      <c r="C2904" s="11"/>
    </row>
    <row r="2905" spans="1:3" x14ac:dyDescent="0.25">
      <c r="A2905" s="16"/>
      <c r="C2905" s="11"/>
    </row>
    <row r="2906" spans="1:3" x14ac:dyDescent="0.25">
      <c r="A2906" s="16"/>
      <c r="C2906" s="11"/>
    </row>
    <row r="2907" spans="1:3" x14ac:dyDescent="0.25">
      <c r="A2907" s="16"/>
      <c r="C2907" s="11"/>
    </row>
    <row r="2908" spans="1:3" x14ac:dyDescent="0.25">
      <c r="A2908" s="16"/>
      <c r="C2908" s="11"/>
    </row>
    <row r="2909" spans="1:3" x14ac:dyDescent="0.25">
      <c r="A2909" s="16"/>
      <c r="C2909" s="11"/>
    </row>
    <row r="2910" spans="1:3" x14ac:dyDescent="0.25">
      <c r="A2910" s="16"/>
      <c r="C2910" s="11"/>
    </row>
    <row r="2911" spans="1:3" x14ac:dyDescent="0.25">
      <c r="A2911" s="16"/>
      <c r="C2911" s="11"/>
    </row>
    <row r="2912" spans="1:3" x14ac:dyDescent="0.25">
      <c r="A2912" s="16"/>
      <c r="C2912" s="11"/>
    </row>
    <row r="2913" spans="1:3" x14ac:dyDescent="0.25">
      <c r="A2913" s="16"/>
      <c r="C2913" s="11"/>
    </row>
    <row r="2914" spans="1:3" x14ac:dyDescent="0.25">
      <c r="A2914" s="16"/>
      <c r="C2914" s="11"/>
    </row>
    <row r="2915" spans="1:3" x14ac:dyDescent="0.25">
      <c r="A2915" s="16"/>
      <c r="C2915" s="11"/>
    </row>
    <row r="2916" spans="1:3" x14ac:dyDescent="0.25">
      <c r="A2916" s="16"/>
      <c r="C2916" s="11"/>
    </row>
    <row r="2917" spans="1:3" x14ac:dyDescent="0.25">
      <c r="A2917" s="16"/>
      <c r="C2917" s="11"/>
    </row>
    <row r="2918" spans="1:3" x14ac:dyDescent="0.25">
      <c r="A2918" s="16"/>
      <c r="C2918" s="11"/>
    </row>
    <row r="2919" spans="1:3" x14ac:dyDescent="0.25">
      <c r="A2919" s="16"/>
      <c r="C2919" s="11"/>
    </row>
    <row r="2920" spans="1:3" x14ac:dyDescent="0.25">
      <c r="A2920" s="16"/>
      <c r="C2920" s="11"/>
    </row>
    <row r="2921" spans="1:3" x14ac:dyDescent="0.25">
      <c r="A2921" s="16"/>
      <c r="C2921" s="11"/>
    </row>
    <row r="2922" spans="1:3" x14ac:dyDescent="0.25">
      <c r="A2922" s="16"/>
      <c r="C2922" s="11"/>
    </row>
    <row r="2923" spans="1:3" x14ac:dyDescent="0.25">
      <c r="A2923" s="16"/>
      <c r="C2923" s="11"/>
    </row>
    <row r="2924" spans="1:3" x14ac:dyDescent="0.25">
      <c r="A2924" s="16"/>
      <c r="C2924" s="11"/>
    </row>
    <row r="2925" spans="1:3" x14ac:dyDescent="0.25">
      <c r="A2925" s="16"/>
      <c r="C2925" s="11"/>
    </row>
    <row r="2926" spans="1:3" x14ac:dyDescent="0.25">
      <c r="A2926" s="16"/>
      <c r="C2926" s="11"/>
    </row>
    <row r="2927" spans="1:3" x14ac:dyDescent="0.25">
      <c r="A2927" s="16"/>
      <c r="C2927" s="11"/>
    </row>
    <row r="2928" spans="1:3" x14ac:dyDescent="0.25">
      <c r="A2928" s="16"/>
      <c r="C2928" s="11"/>
    </row>
    <row r="2929" spans="1:3" x14ac:dyDescent="0.25">
      <c r="A2929" s="16"/>
      <c r="C2929" s="11"/>
    </row>
    <row r="2930" spans="1:3" x14ac:dyDescent="0.25">
      <c r="A2930" s="16"/>
      <c r="C2930" s="11"/>
    </row>
    <row r="2931" spans="1:3" x14ac:dyDescent="0.25">
      <c r="A2931" s="16"/>
      <c r="C2931" s="11"/>
    </row>
    <row r="2932" spans="1:3" x14ac:dyDescent="0.25">
      <c r="A2932" s="16"/>
      <c r="C2932" s="11"/>
    </row>
    <row r="2933" spans="1:3" x14ac:dyDescent="0.25">
      <c r="A2933" s="16"/>
      <c r="C2933" s="11"/>
    </row>
    <row r="2934" spans="1:3" x14ac:dyDescent="0.25">
      <c r="A2934" s="16"/>
      <c r="C2934" s="11"/>
    </row>
    <row r="2935" spans="1:3" x14ac:dyDescent="0.25">
      <c r="A2935" s="16"/>
      <c r="C2935" s="11"/>
    </row>
    <row r="2936" spans="1:3" x14ac:dyDescent="0.25">
      <c r="A2936" s="16"/>
      <c r="C2936" s="11"/>
    </row>
    <row r="2937" spans="1:3" x14ac:dyDescent="0.25">
      <c r="A2937" s="16"/>
      <c r="C2937" s="11"/>
    </row>
    <row r="2938" spans="1:3" x14ac:dyDescent="0.25">
      <c r="A2938" s="16"/>
      <c r="C2938" s="11"/>
    </row>
    <row r="2939" spans="1:3" x14ac:dyDescent="0.25">
      <c r="A2939" s="16"/>
      <c r="C2939" s="11"/>
    </row>
    <row r="2940" spans="1:3" x14ac:dyDescent="0.25">
      <c r="A2940" s="16"/>
      <c r="C2940" s="11"/>
    </row>
    <row r="2941" spans="1:3" x14ac:dyDescent="0.25">
      <c r="A2941" s="16"/>
      <c r="C2941" s="11"/>
    </row>
    <row r="2942" spans="1:3" x14ac:dyDescent="0.25">
      <c r="A2942" s="16"/>
      <c r="C2942" s="11"/>
    </row>
    <row r="2943" spans="1:3" x14ac:dyDescent="0.25">
      <c r="A2943" s="16"/>
      <c r="C2943" s="11"/>
    </row>
    <row r="2944" spans="1:3" x14ac:dyDescent="0.25">
      <c r="A2944" s="16"/>
      <c r="C2944" s="11"/>
    </row>
    <row r="2945" spans="1:3" x14ac:dyDescent="0.25">
      <c r="A2945" s="16"/>
      <c r="C2945" s="11"/>
    </row>
    <row r="2946" spans="1:3" x14ac:dyDescent="0.25">
      <c r="A2946" s="16"/>
      <c r="C2946" s="11"/>
    </row>
    <row r="2947" spans="1:3" x14ac:dyDescent="0.25">
      <c r="A2947" s="16"/>
      <c r="C2947" s="11"/>
    </row>
    <row r="2948" spans="1:3" x14ac:dyDescent="0.25">
      <c r="A2948" s="16"/>
      <c r="C2948" s="11"/>
    </row>
    <row r="2949" spans="1:3" x14ac:dyDescent="0.25">
      <c r="A2949" s="16"/>
      <c r="C2949" s="11"/>
    </row>
    <row r="2950" spans="1:3" x14ac:dyDescent="0.25">
      <c r="A2950" s="16"/>
      <c r="C2950" s="11"/>
    </row>
    <row r="2951" spans="1:3" x14ac:dyDescent="0.25">
      <c r="A2951" s="16"/>
      <c r="C2951" s="11"/>
    </row>
    <row r="2952" spans="1:3" x14ac:dyDescent="0.25">
      <c r="A2952" s="16"/>
      <c r="C2952" s="11"/>
    </row>
    <row r="2953" spans="1:3" x14ac:dyDescent="0.25">
      <c r="A2953" s="16"/>
      <c r="C2953" s="11"/>
    </row>
    <row r="2954" spans="1:3" x14ac:dyDescent="0.25">
      <c r="A2954" s="16"/>
      <c r="C2954" s="11"/>
    </row>
    <row r="2955" spans="1:3" x14ac:dyDescent="0.25">
      <c r="A2955" s="16"/>
      <c r="C2955" s="11"/>
    </row>
    <row r="2956" spans="1:3" x14ac:dyDescent="0.25">
      <c r="A2956" s="16"/>
      <c r="C2956" s="11"/>
    </row>
    <row r="2957" spans="1:3" x14ac:dyDescent="0.25">
      <c r="A2957" s="16"/>
      <c r="C2957" s="11"/>
    </row>
    <row r="2958" spans="1:3" x14ac:dyDescent="0.25">
      <c r="A2958" s="16"/>
      <c r="C2958" s="11"/>
    </row>
    <row r="2959" spans="1:3" x14ac:dyDescent="0.25">
      <c r="A2959" s="16"/>
      <c r="C2959" s="11"/>
    </row>
    <row r="2960" spans="1:3" x14ac:dyDescent="0.25">
      <c r="A2960" s="16"/>
      <c r="C2960" s="11"/>
    </row>
    <row r="2961" spans="1:3" x14ac:dyDescent="0.25">
      <c r="A2961" s="16"/>
      <c r="C2961" s="11"/>
    </row>
    <row r="2962" spans="1:3" x14ac:dyDescent="0.25">
      <c r="A2962" s="16"/>
      <c r="C2962" s="11"/>
    </row>
    <row r="2963" spans="1:3" x14ac:dyDescent="0.25">
      <c r="A2963" s="16"/>
      <c r="C2963" s="11"/>
    </row>
    <row r="2964" spans="1:3" x14ac:dyDescent="0.25">
      <c r="A2964" s="16"/>
      <c r="C2964" s="11"/>
    </row>
    <row r="2965" spans="1:3" x14ac:dyDescent="0.25">
      <c r="A2965" s="16"/>
      <c r="C2965" s="11"/>
    </row>
    <row r="2966" spans="1:3" x14ac:dyDescent="0.25">
      <c r="A2966" s="16"/>
      <c r="C2966" s="11"/>
    </row>
    <row r="2967" spans="1:3" x14ac:dyDescent="0.25">
      <c r="A2967" s="16"/>
      <c r="C2967" s="11"/>
    </row>
    <row r="2968" spans="1:3" x14ac:dyDescent="0.25">
      <c r="A2968" s="16"/>
      <c r="C2968" s="11"/>
    </row>
    <row r="2969" spans="1:3" x14ac:dyDescent="0.25">
      <c r="A2969" s="16"/>
      <c r="C2969" s="11"/>
    </row>
    <row r="2970" spans="1:3" x14ac:dyDescent="0.25">
      <c r="A2970" s="16"/>
      <c r="C2970" s="11"/>
    </row>
    <row r="2971" spans="1:3" x14ac:dyDescent="0.25">
      <c r="A2971" s="16"/>
      <c r="C2971" s="11"/>
    </row>
    <row r="2972" spans="1:3" x14ac:dyDescent="0.25">
      <c r="A2972" s="16"/>
      <c r="C2972" s="11"/>
    </row>
    <row r="2973" spans="1:3" x14ac:dyDescent="0.25">
      <c r="A2973" s="16"/>
      <c r="C2973" s="11"/>
    </row>
    <row r="2974" spans="1:3" x14ac:dyDescent="0.25">
      <c r="A2974" s="16"/>
      <c r="C2974" s="11"/>
    </row>
    <row r="2975" spans="1:3" x14ac:dyDescent="0.25">
      <c r="A2975" s="16"/>
      <c r="C2975" s="11"/>
    </row>
    <row r="2976" spans="1:3" x14ac:dyDescent="0.25">
      <c r="A2976" s="16"/>
      <c r="C2976" s="11"/>
    </row>
    <row r="2977" spans="1:3" x14ac:dyDescent="0.25">
      <c r="A2977" s="16"/>
      <c r="C2977" s="11"/>
    </row>
    <row r="2978" spans="1:3" x14ac:dyDescent="0.25">
      <c r="A2978" s="16"/>
      <c r="C2978" s="11"/>
    </row>
    <row r="2979" spans="1:3" x14ac:dyDescent="0.25">
      <c r="A2979" s="16"/>
      <c r="C2979" s="11"/>
    </row>
    <row r="2980" spans="1:3" x14ac:dyDescent="0.25">
      <c r="A2980" s="16"/>
      <c r="C2980" s="11"/>
    </row>
    <row r="2981" spans="1:3" x14ac:dyDescent="0.25">
      <c r="A2981" s="16"/>
      <c r="C2981" s="11"/>
    </row>
    <row r="2982" spans="1:3" x14ac:dyDescent="0.25">
      <c r="A2982" s="16"/>
      <c r="C2982" s="11"/>
    </row>
    <row r="2983" spans="1:3" x14ac:dyDescent="0.25">
      <c r="A2983" s="16"/>
      <c r="C2983" s="11"/>
    </row>
    <row r="2984" spans="1:3" x14ac:dyDescent="0.25">
      <c r="A2984" s="16"/>
      <c r="C2984" s="11"/>
    </row>
    <row r="2985" spans="1:3" x14ac:dyDescent="0.25">
      <c r="A2985" s="16"/>
      <c r="C2985" s="11"/>
    </row>
    <row r="2986" spans="1:3" x14ac:dyDescent="0.25">
      <c r="A2986" s="16"/>
      <c r="C2986" s="11"/>
    </row>
    <row r="2987" spans="1:3" x14ac:dyDescent="0.25">
      <c r="A2987" s="16"/>
      <c r="C2987" s="11"/>
    </row>
    <row r="2988" spans="1:3" x14ac:dyDescent="0.25">
      <c r="A2988" s="16"/>
      <c r="C2988" s="11"/>
    </row>
    <row r="2989" spans="1:3" x14ac:dyDescent="0.25">
      <c r="A2989" s="16"/>
      <c r="C2989" s="11"/>
    </row>
    <row r="2990" spans="1:3" x14ac:dyDescent="0.25">
      <c r="A2990" s="16"/>
      <c r="C2990" s="11"/>
    </row>
    <row r="2991" spans="1:3" x14ac:dyDescent="0.25">
      <c r="A2991" s="16"/>
      <c r="C2991" s="11"/>
    </row>
    <row r="2992" spans="1:3" x14ac:dyDescent="0.25">
      <c r="A2992" s="16"/>
      <c r="C2992" s="11"/>
    </row>
    <row r="2993" spans="1:3" x14ac:dyDescent="0.25">
      <c r="A2993" s="16"/>
      <c r="C2993" s="11"/>
    </row>
    <row r="2994" spans="1:3" x14ac:dyDescent="0.25">
      <c r="A2994" s="16"/>
      <c r="C2994" s="11"/>
    </row>
    <row r="2995" spans="1:3" x14ac:dyDescent="0.25">
      <c r="A2995" s="16"/>
      <c r="C2995" s="11"/>
    </row>
    <row r="2996" spans="1:3" x14ac:dyDescent="0.25">
      <c r="A2996" s="16"/>
      <c r="C2996" s="11"/>
    </row>
    <row r="2997" spans="1:3" x14ac:dyDescent="0.25">
      <c r="A2997" s="16"/>
      <c r="C2997" s="11"/>
    </row>
    <row r="2998" spans="1:3" x14ac:dyDescent="0.25">
      <c r="A2998" s="16"/>
      <c r="C2998" s="11"/>
    </row>
    <row r="2999" spans="1:3" x14ac:dyDescent="0.25">
      <c r="A2999" s="16"/>
      <c r="C2999" s="11"/>
    </row>
    <row r="3000" spans="1:3" x14ac:dyDescent="0.25">
      <c r="A3000" s="16"/>
      <c r="C3000" s="11"/>
    </row>
    <row r="3001" spans="1:3" x14ac:dyDescent="0.25">
      <c r="A3001" s="16"/>
      <c r="C3001" s="11"/>
    </row>
    <row r="3002" spans="1:3" x14ac:dyDescent="0.25">
      <c r="A3002" s="16"/>
      <c r="C3002" s="11"/>
    </row>
    <row r="3003" spans="1:3" x14ac:dyDescent="0.25">
      <c r="A3003" s="16"/>
      <c r="C3003" s="11"/>
    </row>
    <row r="3004" spans="1:3" x14ac:dyDescent="0.25">
      <c r="A3004" s="16"/>
      <c r="C3004" s="11"/>
    </row>
    <row r="3005" spans="1:3" x14ac:dyDescent="0.25">
      <c r="A3005" s="16"/>
      <c r="C3005" s="11"/>
    </row>
    <row r="3006" spans="1:3" x14ac:dyDescent="0.25">
      <c r="A3006" s="16"/>
      <c r="C3006" s="11"/>
    </row>
    <row r="3007" spans="1:3" x14ac:dyDescent="0.25">
      <c r="A3007" s="16"/>
      <c r="C3007" s="11"/>
    </row>
    <row r="3008" spans="1:3" x14ac:dyDescent="0.25">
      <c r="A3008" s="16"/>
      <c r="C3008" s="11"/>
    </row>
    <row r="3009" spans="1:3" x14ac:dyDescent="0.25">
      <c r="A3009" s="16"/>
      <c r="C3009" s="11"/>
    </row>
    <row r="3010" spans="1:3" x14ac:dyDescent="0.25">
      <c r="A3010" s="16"/>
      <c r="C3010" s="11"/>
    </row>
    <row r="3011" spans="1:3" x14ac:dyDescent="0.25">
      <c r="A3011" s="16"/>
      <c r="C3011" s="11"/>
    </row>
    <row r="3012" spans="1:3" x14ac:dyDescent="0.25">
      <c r="A3012" s="16"/>
      <c r="C3012" s="11"/>
    </row>
    <row r="3013" spans="1:3" x14ac:dyDescent="0.25">
      <c r="A3013" s="16"/>
      <c r="C3013" s="11"/>
    </row>
    <row r="3014" spans="1:3" x14ac:dyDescent="0.25">
      <c r="A3014" s="16"/>
      <c r="C3014" s="11"/>
    </row>
    <row r="3015" spans="1:3" x14ac:dyDescent="0.25">
      <c r="A3015" s="16"/>
      <c r="C3015" s="11"/>
    </row>
    <row r="3016" spans="1:3" x14ac:dyDescent="0.25">
      <c r="A3016" s="16"/>
      <c r="C3016" s="11"/>
    </row>
    <row r="3017" spans="1:3" x14ac:dyDescent="0.25">
      <c r="A3017" s="16"/>
      <c r="C3017" s="11"/>
    </row>
    <row r="3018" spans="1:3" x14ac:dyDescent="0.25">
      <c r="A3018" s="16"/>
      <c r="C3018" s="11"/>
    </row>
    <row r="3019" spans="1:3" x14ac:dyDescent="0.25">
      <c r="A3019" s="16"/>
      <c r="C3019" s="11"/>
    </row>
    <row r="3020" spans="1:3" x14ac:dyDescent="0.25">
      <c r="A3020" s="16"/>
      <c r="C3020" s="11"/>
    </row>
    <row r="3021" spans="1:3" x14ac:dyDescent="0.25">
      <c r="A3021" s="16"/>
      <c r="C3021" s="11"/>
    </row>
    <row r="3022" spans="1:3" x14ac:dyDescent="0.25">
      <c r="A3022" s="16"/>
      <c r="C3022" s="11"/>
    </row>
    <row r="3023" spans="1:3" x14ac:dyDescent="0.25">
      <c r="A3023" s="16"/>
      <c r="C3023" s="11"/>
    </row>
    <row r="3024" spans="1:3" x14ac:dyDescent="0.25">
      <c r="A3024" s="16"/>
      <c r="C3024" s="11"/>
    </row>
    <row r="3025" spans="1:3" x14ac:dyDescent="0.25">
      <c r="A3025" s="16"/>
      <c r="C3025" s="11"/>
    </row>
    <row r="3026" spans="1:3" x14ac:dyDescent="0.25">
      <c r="A3026" s="16"/>
      <c r="C3026" s="11"/>
    </row>
    <row r="3027" spans="1:3" x14ac:dyDescent="0.25">
      <c r="A3027" s="16"/>
      <c r="C3027" s="11"/>
    </row>
    <row r="3028" spans="1:3" x14ac:dyDescent="0.25">
      <c r="A3028" s="16"/>
      <c r="C302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D401-FCC4-498F-A88F-DB4B497AA13A}">
  <dimension ref="A1:G3601"/>
  <sheetViews>
    <sheetView workbookViewId="0">
      <selection activeCell="J35" sqref="J35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13.7109375" bestFit="1" customWidth="1"/>
  </cols>
  <sheetData>
    <row r="1" spans="1:7" x14ac:dyDescent="0.25">
      <c r="A1" s="10" t="s">
        <v>35</v>
      </c>
      <c r="B1" s="10" t="s">
        <v>21</v>
      </c>
      <c r="C1" s="10" t="s">
        <v>26</v>
      </c>
      <c r="D1" s="10" t="s">
        <v>36</v>
      </c>
      <c r="E1" s="10" t="s">
        <v>37</v>
      </c>
      <c r="F1" s="10" t="s">
        <v>38</v>
      </c>
      <c r="G1" s="10" t="s">
        <v>39</v>
      </c>
    </row>
    <row r="2" spans="1:7" x14ac:dyDescent="0.25">
      <c r="A2" s="21">
        <v>44202</v>
      </c>
      <c r="B2" s="5">
        <v>1918.61</v>
      </c>
      <c r="C2" s="5">
        <v>1908.6</v>
      </c>
      <c r="D2" s="5">
        <f t="shared" ref="D2:E17" si="0">LN(B2)</f>
        <v>7.5593562445041114</v>
      </c>
      <c r="E2" s="5">
        <f t="shared" si="0"/>
        <v>7.554125267983153</v>
      </c>
      <c r="F2" s="5"/>
      <c r="G2" s="5"/>
    </row>
    <row r="3" spans="1:7" x14ac:dyDescent="0.25">
      <c r="A3" s="21">
        <v>44209</v>
      </c>
      <c r="B3" s="5">
        <v>1845.51</v>
      </c>
      <c r="C3" s="5">
        <v>1854.9</v>
      </c>
      <c r="D3" s="5">
        <f t="shared" si="0"/>
        <v>7.5205109410411222</v>
      </c>
      <c r="E3" s="5">
        <f t="shared" si="0"/>
        <v>7.5255860652326332</v>
      </c>
      <c r="F3" s="5">
        <f t="shared" ref="F3:G18" si="1">D3-D2</f>
        <v>-3.88453034629892E-2</v>
      </c>
      <c r="G3" s="5">
        <f t="shared" si="1"/>
        <v>-2.8539202750519799E-2</v>
      </c>
    </row>
    <row r="4" spans="1:7" x14ac:dyDescent="0.25">
      <c r="A4" s="21">
        <v>44216</v>
      </c>
      <c r="B4" s="5">
        <v>1871.84</v>
      </c>
      <c r="C4" s="5">
        <v>1866.5</v>
      </c>
      <c r="D4" s="5">
        <f t="shared" si="0"/>
        <v>7.5346771832992916</v>
      </c>
      <c r="E4" s="5">
        <f t="shared" si="0"/>
        <v>7.5318202983546385</v>
      </c>
      <c r="F4" s="5">
        <f t="shared" si="1"/>
        <v>1.4166242258169426E-2</v>
      </c>
      <c r="G4" s="5">
        <f t="shared" si="1"/>
        <v>6.2342331220053282E-3</v>
      </c>
    </row>
    <row r="5" spans="1:7" x14ac:dyDescent="0.25">
      <c r="A5" s="21">
        <v>44223</v>
      </c>
      <c r="B5" s="5">
        <v>1843.98</v>
      </c>
      <c r="C5" s="5">
        <v>1844.9</v>
      </c>
      <c r="D5" s="5">
        <f t="shared" si="0"/>
        <v>7.5196815580707366</v>
      </c>
      <c r="E5" s="5">
        <f t="shared" si="0"/>
        <v>7.5201803544637196</v>
      </c>
      <c r="F5" s="5">
        <f t="shared" si="1"/>
        <v>-1.4995625228555021E-2</v>
      </c>
      <c r="G5" s="5">
        <f t="shared" si="1"/>
        <v>-1.1639943890918936E-2</v>
      </c>
    </row>
    <row r="6" spans="1:7" x14ac:dyDescent="0.25">
      <c r="A6" s="21">
        <v>44230</v>
      </c>
      <c r="B6" s="5">
        <v>1834.04</v>
      </c>
      <c r="C6" s="5">
        <v>1832.2</v>
      </c>
      <c r="D6" s="5">
        <f t="shared" si="0"/>
        <v>7.5142764628293879</v>
      </c>
      <c r="E6" s="5">
        <f t="shared" si="0"/>
        <v>7.5132727095811083</v>
      </c>
      <c r="F6" s="5">
        <f t="shared" si="1"/>
        <v>-5.4050952413486897E-3</v>
      </c>
      <c r="G6" s="5">
        <f t="shared" si="1"/>
        <v>-6.9076448826113079E-3</v>
      </c>
    </row>
    <row r="7" spans="1:7" x14ac:dyDescent="0.25">
      <c r="A7" s="21">
        <v>44237</v>
      </c>
      <c r="B7" s="5">
        <v>1842.89</v>
      </c>
      <c r="C7" s="5">
        <v>1840.6</v>
      </c>
      <c r="D7" s="5">
        <f t="shared" si="0"/>
        <v>7.5190902705928719</v>
      </c>
      <c r="E7" s="5">
        <f t="shared" si="0"/>
        <v>7.5178468844047561</v>
      </c>
      <c r="F7" s="5">
        <f t="shared" si="1"/>
        <v>4.813807763484057E-3</v>
      </c>
      <c r="G7" s="5">
        <f t="shared" si="1"/>
        <v>4.5741748236478585E-3</v>
      </c>
    </row>
    <row r="8" spans="1:7" x14ac:dyDescent="0.25">
      <c r="A8" s="21">
        <v>44244</v>
      </c>
      <c r="B8" s="5">
        <v>1776.13</v>
      </c>
      <c r="C8" s="5">
        <v>1771.1</v>
      </c>
      <c r="D8" s="5">
        <f t="shared" si="0"/>
        <v>7.4821921190714562</v>
      </c>
      <c r="E8" s="5">
        <f t="shared" si="0"/>
        <v>7.4793561014625869</v>
      </c>
      <c r="F8" s="5">
        <f t="shared" si="1"/>
        <v>-3.6898151521415734E-2</v>
      </c>
      <c r="G8" s="5">
        <f t="shared" si="1"/>
        <v>-3.8490782942169233E-2</v>
      </c>
    </row>
    <row r="9" spans="1:7" x14ac:dyDescent="0.25">
      <c r="A9" s="21">
        <v>44251</v>
      </c>
      <c r="B9" s="5">
        <v>1805.06</v>
      </c>
      <c r="C9" s="5">
        <v>1796.4</v>
      </c>
      <c r="D9" s="5">
        <f t="shared" si="0"/>
        <v>7.4983491112117413</v>
      </c>
      <c r="E9" s="5">
        <f t="shared" si="0"/>
        <v>7.4935399412135828</v>
      </c>
      <c r="F9" s="5">
        <f t="shared" si="1"/>
        <v>1.6156992140285098E-2</v>
      </c>
      <c r="G9" s="5">
        <f t="shared" si="1"/>
        <v>1.4183839750995908E-2</v>
      </c>
    </row>
    <row r="10" spans="1:7" x14ac:dyDescent="0.25">
      <c r="A10" s="21">
        <v>44258</v>
      </c>
      <c r="B10" s="5">
        <v>1711.23</v>
      </c>
      <c r="C10" s="5">
        <v>1715.8</v>
      </c>
      <c r="D10" s="5">
        <f t="shared" si="0"/>
        <v>7.4449676891713219</v>
      </c>
      <c r="E10" s="5">
        <f t="shared" si="0"/>
        <v>7.4476347231388651</v>
      </c>
      <c r="F10" s="5">
        <f t="shared" si="1"/>
        <v>-5.3381422040419402E-2</v>
      </c>
      <c r="G10" s="5">
        <f t="shared" si="1"/>
        <v>-4.5905218074717702E-2</v>
      </c>
    </row>
    <row r="11" spans="1:7" x14ac:dyDescent="0.25">
      <c r="A11" s="21">
        <v>44265</v>
      </c>
      <c r="B11" s="5">
        <v>1726.71</v>
      </c>
      <c r="C11" s="5">
        <v>1721.8</v>
      </c>
      <c r="D11" s="5">
        <f t="shared" si="0"/>
        <v>7.4539731427956033</v>
      </c>
      <c r="E11" s="5">
        <f t="shared" si="0"/>
        <v>7.4511255342238538</v>
      </c>
      <c r="F11" s="5">
        <f t="shared" si="1"/>
        <v>9.0054536242814009E-3</v>
      </c>
      <c r="G11" s="5">
        <f t="shared" si="1"/>
        <v>3.4908110849887208E-3</v>
      </c>
    </row>
    <row r="12" spans="1:7" x14ac:dyDescent="0.25">
      <c r="A12" s="21">
        <v>44272</v>
      </c>
      <c r="B12" s="5">
        <v>1745.33</v>
      </c>
      <c r="C12" s="5">
        <v>1727.1</v>
      </c>
      <c r="D12" s="5">
        <f t="shared" si="0"/>
        <v>7.4646989285050056</v>
      </c>
      <c r="E12" s="5">
        <f t="shared" si="0"/>
        <v>7.4541989803498732</v>
      </c>
      <c r="F12" s="5">
        <f t="shared" si="1"/>
        <v>1.0725785709402302E-2</v>
      </c>
      <c r="G12" s="5">
        <f t="shared" si="1"/>
        <v>3.0734461260193413E-3</v>
      </c>
    </row>
    <row r="13" spans="1:7" x14ac:dyDescent="0.25">
      <c r="A13" s="21">
        <v>44279</v>
      </c>
      <c r="B13" s="5">
        <v>1734.69</v>
      </c>
      <c r="C13" s="5">
        <v>1733.2</v>
      </c>
      <c r="D13" s="5">
        <f t="shared" si="0"/>
        <v>7.4585840020652112</v>
      </c>
      <c r="E13" s="5">
        <f t="shared" si="0"/>
        <v>7.4577246898657545</v>
      </c>
      <c r="F13" s="5">
        <f t="shared" si="1"/>
        <v>-6.1149264397943881E-3</v>
      </c>
      <c r="G13" s="5">
        <f t="shared" si="1"/>
        <v>3.5257095158813812E-3</v>
      </c>
    </row>
    <row r="14" spans="1:7" x14ac:dyDescent="0.25">
      <c r="A14" s="21">
        <v>44286</v>
      </c>
      <c r="B14" s="5">
        <v>1707.71</v>
      </c>
      <c r="C14" s="5">
        <v>1713.8</v>
      </c>
      <c r="D14" s="5">
        <f t="shared" si="0"/>
        <v>7.4429085707055265</v>
      </c>
      <c r="E14" s="5">
        <f t="shared" si="0"/>
        <v>7.4464684062350184</v>
      </c>
      <c r="F14" s="5">
        <f t="shared" si="1"/>
        <v>-1.5675431359684744E-2</v>
      </c>
      <c r="G14" s="5">
        <f t="shared" si="1"/>
        <v>-1.1256283630736164E-2</v>
      </c>
    </row>
    <row r="15" spans="1:7" x14ac:dyDescent="0.25">
      <c r="A15" s="21">
        <v>44293</v>
      </c>
      <c r="B15" s="5">
        <v>1737.72</v>
      </c>
      <c r="C15" s="5">
        <v>1740.1</v>
      </c>
      <c r="D15" s="5">
        <f t="shared" si="0"/>
        <v>7.4603291881285116</v>
      </c>
      <c r="E15" s="5">
        <f t="shared" si="0"/>
        <v>7.4616978618215324</v>
      </c>
      <c r="F15" s="5">
        <f t="shared" si="1"/>
        <v>1.7420617422985174E-2</v>
      </c>
      <c r="G15" s="5">
        <f t="shared" si="1"/>
        <v>1.5229455586514007E-2</v>
      </c>
    </row>
    <row r="16" spans="1:7" x14ac:dyDescent="0.25">
      <c r="A16" s="21">
        <v>44300</v>
      </c>
      <c r="B16" s="5">
        <v>1736.43</v>
      </c>
      <c r="C16" s="5">
        <v>1734.9</v>
      </c>
      <c r="D16" s="5">
        <f t="shared" si="0"/>
        <v>7.4595865604012772</v>
      </c>
      <c r="E16" s="5">
        <f t="shared" si="0"/>
        <v>7.4587050538322819</v>
      </c>
      <c r="F16" s="5">
        <f t="shared" si="1"/>
        <v>-7.4262772723443504E-4</v>
      </c>
      <c r="G16" s="5">
        <f t="shared" si="1"/>
        <v>-2.9928079892505011E-3</v>
      </c>
    </row>
    <row r="17" spans="1:7" x14ac:dyDescent="0.25">
      <c r="A17" s="21">
        <v>44307</v>
      </c>
      <c r="B17" s="5">
        <v>1793.79</v>
      </c>
      <c r="C17" s="5">
        <v>1792.3</v>
      </c>
      <c r="D17" s="5">
        <f t="shared" si="0"/>
        <v>7.4920859789108656</v>
      </c>
      <c r="E17" s="5">
        <f t="shared" si="0"/>
        <v>7.491254990237552</v>
      </c>
      <c r="F17" s="5">
        <f t="shared" si="1"/>
        <v>3.2499418509588374E-2</v>
      </c>
      <c r="G17" s="5">
        <f t="shared" si="1"/>
        <v>3.2549936405270152E-2</v>
      </c>
    </row>
    <row r="18" spans="1:7" x14ac:dyDescent="0.25">
      <c r="A18" s="21">
        <v>44314</v>
      </c>
      <c r="B18" s="5">
        <v>1781.68</v>
      </c>
      <c r="C18" s="5">
        <v>1773.2</v>
      </c>
      <c r="D18" s="5">
        <f t="shared" ref="D18:E81" si="2">LN(B18)</f>
        <v>7.4853120183925936</v>
      </c>
      <c r="E18" s="5">
        <f t="shared" si="2"/>
        <v>7.4805411028708981</v>
      </c>
      <c r="F18" s="5">
        <f t="shared" si="1"/>
        <v>-6.7739605182719487E-3</v>
      </c>
      <c r="G18" s="5">
        <f t="shared" si="1"/>
        <v>-1.0713887366653907E-2</v>
      </c>
    </row>
    <row r="19" spans="1:7" x14ac:dyDescent="0.25">
      <c r="A19" s="21">
        <v>44321</v>
      </c>
      <c r="B19" s="5">
        <v>1786.87</v>
      </c>
      <c r="C19" s="5">
        <v>1784.3</v>
      </c>
      <c r="D19" s="5">
        <f t="shared" si="2"/>
        <v>7.4882207648914791</v>
      </c>
      <c r="E19" s="5">
        <f t="shared" si="2"/>
        <v>7.486781460437383</v>
      </c>
      <c r="F19" s="5">
        <f t="shared" ref="F19:G82" si="3">D19-D18</f>
        <v>2.9087464988855061E-3</v>
      </c>
      <c r="G19" s="5">
        <f t="shared" si="3"/>
        <v>6.2403575664848887E-3</v>
      </c>
    </row>
    <row r="20" spans="1:7" x14ac:dyDescent="0.25">
      <c r="A20" s="21">
        <v>44328</v>
      </c>
      <c r="B20" s="5">
        <v>1815.69</v>
      </c>
      <c r="C20" s="5">
        <v>1822.8</v>
      </c>
      <c r="D20" s="5">
        <f t="shared" si="2"/>
        <v>7.5042208397436934</v>
      </c>
      <c r="E20" s="5">
        <f t="shared" si="2"/>
        <v>7.5081290593897272</v>
      </c>
      <c r="F20" s="5">
        <f t="shared" si="3"/>
        <v>1.6000074852214219E-2</v>
      </c>
      <c r="G20" s="5">
        <f t="shared" si="3"/>
        <v>2.1347598952344171E-2</v>
      </c>
    </row>
    <row r="21" spans="1:7" x14ac:dyDescent="0.25">
      <c r="A21" s="21">
        <v>44335</v>
      </c>
      <c r="B21" s="5">
        <v>1869.62</v>
      </c>
      <c r="C21" s="5">
        <v>1881.5</v>
      </c>
      <c r="D21" s="5">
        <f t="shared" si="2"/>
        <v>7.5334904806428264</v>
      </c>
      <c r="E21" s="5">
        <f t="shared" si="2"/>
        <v>7.5398246100334916</v>
      </c>
      <c r="F21" s="5">
        <f t="shared" si="3"/>
        <v>2.9269640899133087E-2</v>
      </c>
      <c r="G21" s="5">
        <f t="shared" si="3"/>
        <v>3.1695550643764392E-2</v>
      </c>
    </row>
    <row r="22" spans="1:7" x14ac:dyDescent="0.25">
      <c r="A22" s="21">
        <v>44342</v>
      </c>
      <c r="B22" s="5">
        <v>1896.67</v>
      </c>
      <c r="C22" s="5">
        <v>1901.2</v>
      </c>
      <c r="D22" s="5">
        <f t="shared" si="2"/>
        <v>7.547854995919967</v>
      </c>
      <c r="E22" s="5">
        <f t="shared" si="2"/>
        <v>7.5502405447398546</v>
      </c>
      <c r="F22" s="5">
        <f t="shared" si="3"/>
        <v>1.4364515277140555E-2</v>
      </c>
      <c r="G22" s="5">
        <f t="shared" si="3"/>
        <v>1.0415934706363039E-2</v>
      </c>
    </row>
    <row r="23" spans="1:7" x14ac:dyDescent="0.25">
      <c r="A23" s="21">
        <v>44349</v>
      </c>
      <c r="B23" s="5">
        <v>1908.38</v>
      </c>
      <c r="C23" s="5">
        <v>1907.5</v>
      </c>
      <c r="D23" s="5">
        <f t="shared" si="2"/>
        <v>7.5540099936038043</v>
      </c>
      <c r="E23" s="5">
        <f t="shared" si="2"/>
        <v>7.553548763158612</v>
      </c>
      <c r="F23" s="5">
        <f t="shared" si="3"/>
        <v>6.1549976838373155E-3</v>
      </c>
      <c r="G23" s="5">
        <f t="shared" si="3"/>
        <v>3.3082184187573915E-3</v>
      </c>
    </row>
    <row r="24" spans="1:7" x14ac:dyDescent="0.25">
      <c r="A24" s="21">
        <v>44356</v>
      </c>
      <c r="B24" s="5">
        <v>1888.57</v>
      </c>
      <c r="C24" s="5">
        <v>1893.2</v>
      </c>
      <c r="D24" s="5">
        <f t="shared" si="2"/>
        <v>7.5435752079204255</v>
      </c>
      <c r="E24" s="5">
        <f t="shared" si="2"/>
        <v>7.5460237980320928</v>
      </c>
      <c r="F24" s="5">
        <f t="shared" si="3"/>
        <v>-1.0434785683378855E-2</v>
      </c>
      <c r="G24" s="5">
        <f t="shared" si="3"/>
        <v>-7.5249651265192341E-3</v>
      </c>
    </row>
    <row r="25" spans="1:7" x14ac:dyDescent="0.25">
      <c r="A25" s="21">
        <v>44363</v>
      </c>
      <c r="B25" s="5">
        <v>1811.47</v>
      </c>
      <c r="C25" s="5">
        <v>1859.5</v>
      </c>
      <c r="D25" s="5">
        <f t="shared" si="2"/>
        <v>7.5018939493368348</v>
      </c>
      <c r="E25" s="5">
        <f t="shared" si="2"/>
        <v>7.5280629133651251</v>
      </c>
      <c r="F25" s="5">
        <f t="shared" si="3"/>
        <v>-4.1681258583590619E-2</v>
      </c>
      <c r="G25" s="5">
        <f t="shared" si="3"/>
        <v>-1.7960884666967658E-2</v>
      </c>
    </row>
    <row r="26" spans="1:7" x14ac:dyDescent="0.25">
      <c r="A26" s="21">
        <v>44370</v>
      </c>
      <c r="B26" s="5">
        <v>1778.68</v>
      </c>
      <c r="C26" s="5">
        <v>1782.3</v>
      </c>
      <c r="D26" s="5">
        <f t="shared" si="2"/>
        <v>7.4836267951511273</v>
      </c>
      <c r="E26" s="5">
        <f t="shared" si="2"/>
        <v>7.4856599440298055</v>
      </c>
      <c r="F26" s="5">
        <f t="shared" si="3"/>
        <v>-1.8267154185707568E-2</v>
      </c>
      <c r="G26" s="5">
        <f t="shared" si="3"/>
        <v>-4.2402969335319618E-2</v>
      </c>
    </row>
    <row r="27" spans="1:7" x14ac:dyDescent="0.25">
      <c r="A27" s="21">
        <v>44377</v>
      </c>
      <c r="B27" s="5">
        <v>1770.11</v>
      </c>
      <c r="C27" s="5">
        <v>1771.6</v>
      </c>
      <c r="D27" s="5">
        <f t="shared" si="2"/>
        <v>7.4787969705294923</v>
      </c>
      <c r="E27" s="5">
        <f t="shared" si="2"/>
        <v>7.4796383720490427</v>
      </c>
      <c r="F27" s="5">
        <f t="shared" si="3"/>
        <v>-4.8298246216349483E-3</v>
      </c>
      <c r="G27" s="5">
        <f t="shared" si="3"/>
        <v>-6.0215719807628076E-3</v>
      </c>
    </row>
    <row r="28" spans="1:7" x14ac:dyDescent="0.25">
      <c r="A28" s="21">
        <v>44384</v>
      </c>
      <c r="B28" s="5">
        <v>1803.63</v>
      </c>
      <c r="C28" s="5">
        <v>1802.1</v>
      </c>
      <c r="D28" s="5">
        <f t="shared" si="2"/>
        <v>7.4975565798084629</v>
      </c>
      <c r="E28" s="5">
        <f t="shared" si="2"/>
        <v>7.4967079305242255</v>
      </c>
      <c r="F28" s="5">
        <f t="shared" si="3"/>
        <v>1.8759609278970579E-2</v>
      </c>
      <c r="G28" s="5">
        <f t="shared" si="3"/>
        <v>1.7069558475182767E-2</v>
      </c>
    </row>
    <row r="29" spans="1:7" x14ac:dyDescent="0.25">
      <c r="A29" s="21">
        <v>44391</v>
      </c>
      <c r="B29" s="5">
        <v>1827.53</v>
      </c>
      <c r="C29" s="5">
        <v>1825</v>
      </c>
      <c r="D29" s="5">
        <f t="shared" si="2"/>
        <v>7.5107206073578681</v>
      </c>
      <c r="E29" s="5">
        <f t="shared" si="2"/>
        <v>7.509335266016592</v>
      </c>
      <c r="F29" s="5">
        <f t="shared" si="3"/>
        <v>1.3164027549405155E-2</v>
      </c>
      <c r="G29" s="5">
        <f t="shared" si="3"/>
        <v>1.2627335492366498E-2</v>
      </c>
    </row>
    <row r="30" spans="1:7" x14ac:dyDescent="0.25">
      <c r="A30" s="21">
        <v>44398</v>
      </c>
      <c r="B30" s="5">
        <v>1803.66</v>
      </c>
      <c r="C30" s="5">
        <v>1803.4</v>
      </c>
      <c r="D30" s="5">
        <f t="shared" si="2"/>
        <v>7.497573212793335</v>
      </c>
      <c r="E30" s="5">
        <f t="shared" si="2"/>
        <v>7.4974290510658061</v>
      </c>
      <c r="F30" s="5">
        <f t="shared" si="3"/>
        <v>-1.3147394564533066E-2</v>
      </c>
      <c r="G30" s="5">
        <f t="shared" si="3"/>
        <v>-1.1906214950785809E-2</v>
      </c>
    </row>
    <row r="31" spans="1:7" x14ac:dyDescent="0.25">
      <c r="A31" s="21">
        <v>44405</v>
      </c>
      <c r="B31" s="5">
        <v>1807.11</v>
      </c>
      <c r="C31" s="5">
        <v>1799.7</v>
      </c>
      <c r="D31" s="5">
        <f t="shared" si="2"/>
        <v>7.4994841631168798</v>
      </c>
      <c r="E31" s="5">
        <f t="shared" si="2"/>
        <v>7.4953752633271575</v>
      </c>
      <c r="F31" s="5">
        <f t="shared" si="3"/>
        <v>1.9109503235448244E-3</v>
      </c>
      <c r="G31" s="5">
        <f t="shared" si="3"/>
        <v>-2.0537877386486159E-3</v>
      </c>
    </row>
    <row r="32" spans="1:7" x14ac:dyDescent="0.25">
      <c r="A32" s="21">
        <v>44412</v>
      </c>
      <c r="B32" s="5">
        <v>1811.74</v>
      </c>
      <c r="C32" s="5">
        <v>1810.5</v>
      </c>
      <c r="D32" s="5">
        <f t="shared" si="2"/>
        <v>7.5020429884488378</v>
      </c>
      <c r="E32" s="5">
        <f t="shared" si="2"/>
        <v>7.5013583292056962</v>
      </c>
      <c r="F32" s="5">
        <f t="shared" si="3"/>
        <v>2.5588253319579479E-3</v>
      </c>
      <c r="G32" s="5">
        <f t="shared" si="3"/>
        <v>5.9830658785386959E-3</v>
      </c>
    </row>
    <row r="33" spans="1:7" x14ac:dyDescent="0.25">
      <c r="A33" s="21">
        <v>44419</v>
      </c>
      <c r="B33" s="5">
        <v>1751.7</v>
      </c>
      <c r="C33" s="5">
        <v>1750.4</v>
      </c>
      <c r="D33" s="5">
        <f t="shared" si="2"/>
        <v>7.4683420239576019</v>
      </c>
      <c r="E33" s="5">
        <f t="shared" si="2"/>
        <v>7.4675996122276622</v>
      </c>
      <c r="F33" s="5">
        <f t="shared" si="3"/>
        <v>-3.370096449123583E-2</v>
      </c>
      <c r="G33" s="5">
        <f t="shared" si="3"/>
        <v>-3.3758716978034009E-2</v>
      </c>
    </row>
    <row r="34" spans="1:7" x14ac:dyDescent="0.25">
      <c r="A34" s="21">
        <v>44426</v>
      </c>
      <c r="B34" s="5">
        <v>1787.82</v>
      </c>
      <c r="C34" s="5">
        <v>1781.6</v>
      </c>
      <c r="D34" s="5">
        <f t="shared" si="2"/>
        <v>7.4887522795248405</v>
      </c>
      <c r="E34" s="5">
        <f t="shared" si="2"/>
        <v>7.4852671159431576</v>
      </c>
      <c r="F34" s="5">
        <f t="shared" si="3"/>
        <v>2.0410255567238522E-2</v>
      </c>
      <c r="G34" s="5">
        <f t="shared" si="3"/>
        <v>1.7667503715495414E-2</v>
      </c>
    </row>
    <row r="35" spans="1:7" x14ac:dyDescent="0.25">
      <c r="A35" s="21">
        <v>44433</v>
      </c>
      <c r="B35" s="5">
        <v>1791</v>
      </c>
      <c r="C35" s="5">
        <v>1788.2</v>
      </c>
      <c r="D35" s="5">
        <f t="shared" si="2"/>
        <v>7.4905294020607114</v>
      </c>
      <c r="E35" s="5">
        <f t="shared" si="2"/>
        <v>7.488964806301218</v>
      </c>
      <c r="F35" s="5">
        <f t="shared" si="3"/>
        <v>1.7771225358709231E-3</v>
      </c>
      <c r="G35" s="5">
        <f t="shared" si="3"/>
        <v>3.6976903580603349E-3</v>
      </c>
    </row>
    <row r="36" spans="1:7" x14ac:dyDescent="0.25">
      <c r="A36" s="21">
        <v>44440</v>
      </c>
      <c r="B36" s="5">
        <v>1813.9</v>
      </c>
      <c r="C36" s="5">
        <v>1813.8</v>
      </c>
      <c r="D36" s="5">
        <f t="shared" si="2"/>
        <v>7.5032345023639238</v>
      </c>
      <c r="E36" s="5">
        <f t="shared" si="2"/>
        <v>7.5031793710134673</v>
      </c>
      <c r="F36" s="5">
        <f t="shared" si="3"/>
        <v>1.2705100303212369E-2</v>
      </c>
      <c r="G36" s="5">
        <f t="shared" si="3"/>
        <v>1.4214564712249356E-2</v>
      </c>
    </row>
    <row r="37" spans="1:7" x14ac:dyDescent="0.25">
      <c r="A37" s="21">
        <v>44447</v>
      </c>
      <c r="B37" s="5">
        <v>1789.26</v>
      </c>
      <c r="C37" s="5">
        <v>1791.2</v>
      </c>
      <c r="D37" s="5">
        <f t="shared" si="2"/>
        <v>7.489557405537</v>
      </c>
      <c r="E37" s="5">
        <f t="shared" si="2"/>
        <v>7.490641065284545</v>
      </c>
      <c r="F37" s="5">
        <f t="shared" si="3"/>
        <v>-1.3677096826923751E-2</v>
      </c>
      <c r="G37" s="5">
        <f t="shared" si="3"/>
        <v>-1.2538305728922339E-2</v>
      </c>
    </row>
    <row r="38" spans="1:7" x14ac:dyDescent="0.25">
      <c r="A38" s="21">
        <v>44454</v>
      </c>
      <c r="B38" s="5">
        <v>1794.06</v>
      </c>
      <c r="C38" s="5">
        <v>1792.6</v>
      </c>
      <c r="D38" s="5">
        <f t="shared" si="2"/>
        <v>7.4922364868755293</v>
      </c>
      <c r="E38" s="5">
        <f t="shared" si="2"/>
        <v>7.4914223589232609</v>
      </c>
      <c r="F38" s="5">
        <f t="shared" si="3"/>
        <v>2.6790813385293433E-3</v>
      </c>
      <c r="G38" s="5">
        <f t="shared" si="3"/>
        <v>7.8129363871592972E-4</v>
      </c>
    </row>
    <row r="39" spans="1:7" x14ac:dyDescent="0.25">
      <c r="A39" s="21">
        <v>44461</v>
      </c>
      <c r="B39" s="5">
        <v>1768.16</v>
      </c>
      <c r="C39" s="5">
        <v>1776.7</v>
      </c>
      <c r="D39" s="5">
        <f t="shared" si="2"/>
        <v>7.4776947368404718</v>
      </c>
      <c r="E39" s="5">
        <f t="shared" si="2"/>
        <v>7.4825129900418608</v>
      </c>
      <c r="F39" s="5">
        <f t="shared" si="3"/>
        <v>-1.4541750035057532E-2</v>
      </c>
      <c r="G39" s="5">
        <f t="shared" si="3"/>
        <v>-8.9093688814001482E-3</v>
      </c>
    </row>
    <row r="40" spans="1:7" x14ac:dyDescent="0.25">
      <c r="A40" s="21">
        <v>44468</v>
      </c>
      <c r="B40" s="5">
        <v>1726.37</v>
      </c>
      <c r="C40" s="5">
        <v>1721.5</v>
      </c>
      <c r="D40" s="5">
        <f t="shared" si="2"/>
        <v>7.4537762171517725</v>
      </c>
      <c r="E40" s="5">
        <f t="shared" si="2"/>
        <v>7.4509512827785782</v>
      </c>
      <c r="F40" s="5">
        <f t="shared" si="3"/>
        <v>-2.3918519688699291E-2</v>
      </c>
      <c r="G40" s="5">
        <f t="shared" si="3"/>
        <v>-3.1561707263282557E-2</v>
      </c>
    </row>
    <row r="41" spans="1:7" x14ac:dyDescent="0.25">
      <c r="A41" s="21">
        <v>44475</v>
      </c>
      <c r="B41" s="5">
        <v>1762.74</v>
      </c>
      <c r="C41" s="5">
        <v>1760.5</v>
      </c>
      <c r="D41" s="5">
        <f t="shared" si="2"/>
        <v>7.4746246956288678</v>
      </c>
      <c r="E41" s="5">
        <f t="shared" si="2"/>
        <v>7.4733531385951073</v>
      </c>
      <c r="F41" s="5">
        <f t="shared" si="3"/>
        <v>2.0848478477095256E-2</v>
      </c>
      <c r="G41" s="5">
        <f t="shared" si="3"/>
        <v>2.2401855816529093E-2</v>
      </c>
    </row>
    <row r="42" spans="1:7" x14ac:dyDescent="0.25">
      <c r="A42" s="21">
        <v>44482</v>
      </c>
      <c r="B42" s="5">
        <v>1792.97</v>
      </c>
      <c r="C42" s="5">
        <v>1793.7</v>
      </c>
      <c r="D42" s="5">
        <f t="shared" si="2"/>
        <v>7.4916287417306329</v>
      </c>
      <c r="E42" s="5">
        <f t="shared" si="2"/>
        <v>7.4920358045549689</v>
      </c>
      <c r="F42" s="5">
        <f t="shared" si="3"/>
        <v>1.7004046101765091E-2</v>
      </c>
      <c r="G42" s="5">
        <f t="shared" si="3"/>
        <v>1.8682665959861566E-2</v>
      </c>
    </row>
    <row r="43" spans="1:7" x14ac:dyDescent="0.25">
      <c r="A43" s="21">
        <v>44489</v>
      </c>
      <c r="B43" s="5">
        <v>1782.08</v>
      </c>
      <c r="C43" s="5">
        <v>1784.1</v>
      </c>
      <c r="D43" s="5">
        <f t="shared" si="2"/>
        <v>7.4855365004013041</v>
      </c>
      <c r="E43" s="5">
        <f t="shared" si="2"/>
        <v>7.4866693653806573</v>
      </c>
      <c r="F43" s="5">
        <f t="shared" si="3"/>
        <v>-6.0922413293287292E-3</v>
      </c>
      <c r="G43" s="5">
        <f t="shared" si="3"/>
        <v>-5.3664391743115658E-3</v>
      </c>
    </row>
    <row r="44" spans="1:7" x14ac:dyDescent="0.25">
      <c r="A44" s="21">
        <v>44496</v>
      </c>
      <c r="B44" s="5">
        <v>1796.81</v>
      </c>
      <c r="C44" s="5">
        <v>1797.9</v>
      </c>
      <c r="D44" s="5">
        <f t="shared" si="2"/>
        <v>7.4937681494183801</v>
      </c>
      <c r="E44" s="5">
        <f t="shared" si="2"/>
        <v>7.494374596132249</v>
      </c>
      <c r="F44" s="5">
        <f t="shared" si="3"/>
        <v>8.2316490170759593E-3</v>
      </c>
      <c r="G44" s="5">
        <f t="shared" si="3"/>
        <v>7.7052307515916851E-3</v>
      </c>
    </row>
    <row r="45" spans="1:7" x14ac:dyDescent="0.25">
      <c r="A45" s="21">
        <v>44503</v>
      </c>
      <c r="B45" s="5">
        <v>1769.84</v>
      </c>
      <c r="C45" s="5">
        <v>1763.9</v>
      </c>
      <c r="D45" s="5">
        <f t="shared" si="2"/>
        <v>7.4786444260017308</v>
      </c>
      <c r="E45" s="5">
        <f t="shared" si="2"/>
        <v>7.4752825456174312</v>
      </c>
      <c r="F45" s="5">
        <f t="shared" si="3"/>
        <v>-1.5123723416649248E-2</v>
      </c>
      <c r="G45" s="5">
        <f t="shared" si="3"/>
        <v>-1.9092050514817771E-2</v>
      </c>
    </row>
    <row r="46" spans="1:7" x14ac:dyDescent="0.25">
      <c r="A46" s="21">
        <v>44510</v>
      </c>
      <c r="B46" s="5">
        <v>1849.6</v>
      </c>
      <c r="C46" s="5">
        <v>1848.3</v>
      </c>
      <c r="D46" s="5">
        <f t="shared" si="2"/>
        <v>7.5227246784780579</v>
      </c>
      <c r="E46" s="5">
        <f t="shared" si="2"/>
        <v>7.5220215766886342</v>
      </c>
      <c r="F46" s="5">
        <f t="shared" si="3"/>
        <v>4.4080252476327075E-2</v>
      </c>
      <c r="G46" s="5">
        <f t="shared" si="3"/>
        <v>4.673903107120303E-2</v>
      </c>
    </row>
    <row r="47" spans="1:7" x14ac:dyDescent="0.25">
      <c r="A47" s="21">
        <v>44517</v>
      </c>
      <c r="B47" s="5">
        <v>1867.48</v>
      </c>
      <c r="C47" s="5">
        <v>1870.2</v>
      </c>
      <c r="D47" s="5">
        <f t="shared" si="2"/>
        <v>7.5323452074449397</v>
      </c>
      <c r="E47" s="5">
        <f t="shared" si="2"/>
        <v>7.5338006560013469</v>
      </c>
      <c r="F47" s="5">
        <f t="shared" si="3"/>
        <v>9.6205289668818139E-3</v>
      </c>
      <c r="G47" s="5">
        <f t="shared" si="3"/>
        <v>1.1779079312712604E-2</v>
      </c>
    </row>
    <row r="48" spans="1:7" x14ac:dyDescent="0.25">
      <c r="A48" s="21">
        <v>44524</v>
      </c>
      <c r="B48" s="5">
        <v>1788.61</v>
      </c>
      <c r="C48" s="5">
        <v>1784.3</v>
      </c>
      <c r="D48" s="5">
        <f t="shared" si="2"/>
        <v>7.4891940608614522</v>
      </c>
      <c r="E48" s="5">
        <f t="shared" si="2"/>
        <v>7.486781460437383</v>
      </c>
      <c r="F48" s="5">
        <f t="shared" si="3"/>
        <v>-4.315114658348751E-2</v>
      </c>
      <c r="G48" s="5">
        <f t="shared" si="3"/>
        <v>-4.7019195563963834E-2</v>
      </c>
    </row>
    <row r="49" spans="1:7" x14ac:dyDescent="0.25">
      <c r="A49" s="21">
        <v>44531</v>
      </c>
      <c r="B49" s="5">
        <v>1781.73</v>
      </c>
      <c r="C49" s="5">
        <v>1781.6</v>
      </c>
      <c r="D49" s="5">
        <f t="shared" si="2"/>
        <v>7.4853400813996593</v>
      </c>
      <c r="E49" s="5">
        <f t="shared" si="2"/>
        <v>7.4852671159431576</v>
      </c>
      <c r="F49" s="5">
        <f t="shared" si="3"/>
        <v>-3.8539794617928891E-3</v>
      </c>
      <c r="G49" s="5">
        <f t="shared" si="3"/>
        <v>-1.5143444942253836E-3</v>
      </c>
    </row>
    <row r="50" spans="1:7" x14ac:dyDescent="0.25">
      <c r="A50" s="21">
        <v>44538</v>
      </c>
      <c r="B50" s="5">
        <v>1782.99</v>
      </c>
      <c r="C50" s="5">
        <v>1783.4</v>
      </c>
      <c r="D50" s="5">
        <f t="shared" si="2"/>
        <v>7.4860470093224549</v>
      </c>
      <c r="E50" s="5">
        <f t="shared" si="2"/>
        <v>7.4862769337007791</v>
      </c>
      <c r="F50" s="5">
        <f t="shared" si="3"/>
        <v>7.0692792279558603E-4</v>
      </c>
      <c r="G50" s="5">
        <f t="shared" si="3"/>
        <v>1.009817757621434E-3</v>
      </c>
    </row>
    <row r="51" spans="1:7" x14ac:dyDescent="0.25">
      <c r="A51" s="21">
        <v>44545</v>
      </c>
      <c r="B51" s="5">
        <v>1776.92</v>
      </c>
      <c r="C51" s="5">
        <v>1762.6</v>
      </c>
      <c r="D51" s="5">
        <f t="shared" si="2"/>
        <v>7.4826368074451173</v>
      </c>
      <c r="E51" s="5">
        <f t="shared" si="2"/>
        <v>7.4745452706655602</v>
      </c>
      <c r="F51" s="5">
        <f t="shared" si="3"/>
        <v>-3.4102018773376486E-3</v>
      </c>
      <c r="G51" s="5">
        <f t="shared" si="3"/>
        <v>-1.1731663035218887E-2</v>
      </c>
    </row>
    <row r="52" spans="1:7" x14ac:dyDescent="0.25">
      <c r="A52" s="21">
        <v>44552</v>
      </c>
      <c r="B52" s="5">
        <v>1803.67</v>
      </c>
      <c r="C52" s="5">
        <v>1801.6</v>
      </c>
      <c r="D52" s="5">
        <f t="shared" si="2"/>
        <v>7.4975787570601478</v>
      </c>
      <c r="E52" s="5">
        <f t="shared" si="2"/>
        <v>7.4964304379453708</v>
      </c>
      <c r="F52" s="5">
        <f t="shared" si="3"/>
        <v>1.4941949615030481E-2</v>
      </c>
      <c r="G52" s="5">
        <f t="shared" si="3"/>
        <v>2.1885167279810602E-2</v>
      </c>
    </row>
    <row r="53" spans="1:7" x14ac:dyDescent="0.25">
      <c r="A53" s="21">
        <v>44559</v>
      </c>
      <c r="B53" s="5">
        <v>1804.71</v>
      </c>
      <c r="C53" s="5">
        <v>1805.1</v>
      </c>
      <c r="D53" s="5">
        <f t="shared" si="2"/>
        <v>7.4981551930390617</v>
      </c>
      <c r="E53" s="5">
        <f t="shared" si="2"/>
        <v>7.4983712708944159</v>
      </c>
      <c r="F53" s="5">
        <f t="shared" si="3"/>
        <v>5.7643597891399168E-4</v>
      </c>
      <c r="G53" s="5">
        <f t="shared" si="3"/>
        <v>1.9408329490451237E-3</v>
      </c>
    </row>
    <row r="54" spans="1:7" x14ac:dyDescent="0.25">
      <c r="A54" s="21">
        <v>44566</v>
      </c>
      <c r="B54" s="5">
        <v>1810.44</v>
      </c>
      <c r="C54" s="5">
        <v>1825.1</v>
      </c>
      <c r="D54" s="5">
        <f t="shared" si="2"/>
        <v>7.5013251886399832</v>
      </c>
      <c r="E54" s="5">
        <f t="shared" si="2"/>
        <v>7.509390059035975</v>
      </c>
      <c r="F54" s="5">
        <f t="shared" si="3"/>
        <v>3.1699956009214603E-3</v>
      </c>
      <c r="G54" s="5">
        <f t="shared" si="3"/>
        <v>1.1018788141559099E-2</v>
      </c>
    </row>
    <row r="55" spans="1:7" x14ac:dyDescent="0.25">
      <c r="A55" s="21">
        <v>44573</v>
      </c>
      <c r="B55" s="5">
        <v>1826.15</v>
      </c>
      <c r="C55" s="5">
        <v>1827.3</v>
      </c>
      <c r="D55" s="5">
        <f t="shared" si="2"/>
        <v>7.5099652045499461</v>
      </c>
      <c r="E55" s="5">
        <f t="shared" si="2"/>
        <v>7.5105947465105487</v>
      </c>
      <c r="F55" s="5">
        <f t="shared" si="3"/>
        <v>8.6400159099628837E-3</v>
      </c>
      <c r="G55" s="5">
        <f t="shared" si="3"/>
        <v>1.2046874745736957E-3</v>
      </c>
    </row>
    <row r="56" spans="1:7" x14ac:dyDescent="0.25">
      <c r="A56" s="21">
        <v>44580</v>
      </c>
      <c r="B56" s="5">
        <v>1840.54</v>
      </c>
      <c r="C56" s="5">
        <v>1843.2</v>
      </c>
      <c r="D56" s="5">
        <f t="shared" si="2"/>
        <v>7.5178142858075798</v>
      </c>
      <c r="E56" s="5">
        <f t="shared" si="2"/>
        <v>7.5192584705015717</v>
      </c>
      <c r="F56" s="5">
        <f t="shared" si="3"/>
        <v>7.8490812576337277E-3</v>
      </c>
      <c r="G56" s="5">
        <f t="shared" si="3"/>
        <v>8.663723991022998E-3</v>
      </c>
    </row>
    <row r="57" spans="1:7" x14ac:dyDescent="0.25">
      <c r="A57" s="21">
        <v>44587</v>
      </c>
      <c r="B57" s="5">
        <v>1819.59</v>
      </c>
      <c r="C57" s="5">
        <v>1829.7</v>
      </c>
      <c r="D57" s="5">
        <f t="shared" si="2"/>
        <v>7.5063664799674035</v>
      </c>
      <c r="E57" s="5">
        <f t="shared" si="2"/>
        <v>7.5119072979705201</v>
      </c>
      <c r="F57" s="5">
        <f t="shared" si="3"/>
        <v>-1.1447805840176351E-2</v>
      </c>
      <c r="G57" s="5">
        <f t="shared" si="3"/>
        <v>-7.351172531051553E-3</v>
      </c>
    </row>
    <row r="58" spans="1:7" x14ac:dyDescent="0.25">
      <c r="A58" s="21">
        <v>44594</v>
      </c>
      <c r="B58" s="5">
        <v>1806.8</v>
      </c>
      <c r="C58" s="5">
        <v>1809.2</v>
      </c>
      <c r="D58" s="5">
        <f t="shared" si="2"/>
        <v>7.4993126037804494</v>
      </c>
      <c r="E58" s="5">
        <f t="shared" si="2"/>
        <v>7.5006400376036879</v>
      </c>
      <c r="F58" s="5">
        <f t="shared" si="3"/>
        <v>-7.0538761869540778E-3</v>
      </c>
      <c r="G58" s="5">
        <f t="shared" si="3"/>
        <v>-1.1267260366832232E-2</v>
      </c>
    </row>
    <row r="59" spans="1:7" x14ac:dyDescent="0.25">
      <c r="A59" s="21">
        <v>44601</v>
      </c>
      <c r="B59" s="5">
        <v>1833.36</v>
      </c>
      <c r="C59" s="5">
        <v>1835.2</v>
      </c>
      <c r="D59" s="5">
        <f t="shared" si="2"/>
        <v>7.513905627901214</v>
      </c>
      <c r="E59" s="5">
        <f t="shared" si="2"/>
        <v>7.5149087463751059</v>
      </c>
      <c r="F59" s="5">
        <f t="shared" si="3"/>
        <v>1.4593024120764575E-2</v>
      </c>
      <c r="G59" s="5">
        <f t="shared" si="3"/>
        <v>1.4268708771417948E-2</v>
      </c>
    </row>
    <row r="60" spans="1:7" x14ac:dyDescent="0.25">
      <c r="A60" s="21">
        <v>44608</v>
      </c>
      <c r="B60" s="5">
        <v>1869.8</v>
      </c>
      <c r="C60" s="5">
        <v>1870.2</v>
      </c>
      <c r="D60" s="5">
        <f t="shared" si="2"/>
        <v>7.5335867522572153</v>
      </c>
      <c r="E60" s="5">
        <f t="shared" si="2"/>
        <v>7.5338006560013469</v>
      </c>
      <c r="F60" s="5">
        <f t="shared" si="3"/>
        <v>1.9681124356001334E-2</v>
      </c>
      <c r="G60" s="5">
        <f t="shared" si="3"/>
        <v>1.8891909626240988E-2</v>
      </c>
    </row>
    <row r="61" spans="1:7" x14ac:dyDescent="0.25">
      <c r="A61" s="21">
        <v>44615</v>
      </c>
      <c r="B61" s="5">
        <v>1909.01</v>
      </c>
      <c r="C61" s="5">
        <v>1909.2</v>
      </c>
      <c r="D61" s="5">
        <f t="shared" si="2"/>
        <v>7.5543400620567107</v>
      </c>
      <c r="E61" s="5">
        <f t="shared" si="2"/>
        <v>7.5544395851317416</v>
      </c>
      <c r="F61" s="5">
        <f t="shared" si="3"/>
        <v>2.0753309799495412E-2</v>
      </c>
      <c r="G61" s="5">
        <f t="shared" si="3"/>
        <v>2.0638929130394779E-2</v>
      </c>
    </row>
    <row r="62" spans="1:7" x14ac:dyDescent="0.25">
      <c r="A62" s="21">
        <v>44622</v>
      </c>
      <c r="B62" s="5">
        <v>1928.72</v>
      </c>
      <c r="C62" s="5">
        <v>1922.3</v>
      </c>
      <c r="D62" s="5">
        <f t="shared" si="2"/>
        <v>7.5646118494410448</v>
      </c>
      <c r="E62" s="5">
        <f t="shared" si="2"/>
        <v>7.5612776647588147</v>
      </c>
      <c r="F62" s="5">
        <f t="shared" si="3"/>
        <v>1.0271787384334097E-2</v>
      </c>
      <c r="G62" s="5">
        <f t="shared" si="3"/>
        <v>6.8380796270730571E-3</v>
      </c>
    </row>
    <row r="63" spans="1:7" x14ac:dyDescent="0.25">
      <c r="A63" s="21">
        <v>44629</v>
      </c>
      <c r="B63" s="5">
        <v>1991.83</v>
      </c>
      <c r="C63" s="5">
        <v>1988.2</v>
      </c>
      <c r="D63" s="5">
        <f t="shared" si="2"/>
        <v>7.5968090931373</v>
      </c>
      <c r="E63" s="5">
        <f t="shared" si="2"/>
        <v>7.5949849857780452</v>
      </c>
      <c r="F63" s="5">
        <f t="shared" si="3"/>
        <v>3.2197243696255207E-2</v>
      </c>
      <c r="G63" s="5">
        <f t="shared" si="3"/>
        <v>3.3707321019230463E-2</v>
      </c>
    </row>
    <row r="64" spans="1:7" x14ac:dyDescent="0.25">
      <c r="A64" s="21">
        <v>44636</v>
      </c>
      <c r="B64" s="5">
        <v>1927.29</v>
      </c>
      <c r="C64" s="5">
        <v>1909.2</v>
      </c>
      <c r="D64" s="5">
        <f t="shared" si="2"/>
        <v>7.5638701500857231</v>
      </c>
      <c r="E64" s="5">
        <f t="shared" si="2"/>
        <v>7.5544395851317416</v>
      </c>
      <c r="F64" s="5">
        <f t="shared" si="3"/>
        <v>-3.2938943051576963E-2</v>
      </c>
      <c r="G64" s="5">
        <f t="shared" si="3"/>
        <v>-4.054540064630352E-2</v>
      </c>
    </row>
    <row r="65" spans="1:7" x14ac:dyDescent="0.25">
      <c r="A65" s="21">
        <v>44643</v>
      </c>
      <c r="B65" s="5">
        <v>1943.86</v>
      </c>
      <c r="C65" s="5">
        <v>1937.3</v>
      </c>
      <c r="D65" s="5">
        <f t="shared" si="2"/>
        <v>7.572430965966169</v>
      </c>
      <c r="E65" s="5">
        <f t="shared" si="2"/>
        <v>7.5690505300929001</v>
      </c>
      <c r="F65" s="5">
        <f t="shared" si="3"/>
        <v>8.5608158804459933E-3</v>
      </c>
      <c r="G65" s="5">
        <f t="shared" si="3"/>
        <v>1.4610944961158445E-2</v>
      </c>
    </row>
    <row r="66" spans="1:7" x14ac:dyDescent="0.25">
      <c r="A66" s="21">
        <v>44650</v>
      </c>
      <c r="B66" s="5">
        <v>1932.87</v>
      </c>
      <c r="C66" s="5">
        <v>1933.5</v>
      </c>
      <c r="D66" s="5">
        <f t="shared" si="2"/>
        <v>7.5667612239720974</v>
      </c>
      <c r="E66" s="5">
        <f t="shared" si="2"/>
        <v>7.5670871110473517</v>
      </c>
      <c r="F66" s="5">
        <f t="shared" si="3"/>
        <v>-5.6697419940716642E-3</v>
      </c>
      <c r="G66" s="5">
        <f t="shared" si="3"/>
        <v>-1.9634190455484202E-3</v>
      </c>
    </row>
    <row r="67" spans="1:7" x14ac:dyDescent="0.25">
      <c r="A67" s="21">
        <v>44657</v>
      </c>
      <c r="B67" s="5">
        <v>1925.35</v>
      </c>
      <c r="C67" s="5">
        <v>1918.4</v>
      </c>
      <c r="D67" s="5">
        <f t="shared" si="2"/>
        <v>7.56286304837678</v>
      </c>
      <c r="E67" s="5">
        <f t="shared" si="2"/>
        <v>7.5592467842732498</v>
      </c>
      <c r="F67" s="5">
        <f t="shared" si="3"/>
        <v>-3.8981755953173547E-3</v>
      </c>
      <c r="G67" s="5">
        <f t="shared" si="3"/>
        <v>-7.8403267741018468E-3</v>
      </c>
    </row>
    <row r="68" spans="1:7" x14ac:dyDescent="0.25">
      <c r="A68" s="21">
        <v>44664</v>
      </c>
      <c r="B68" s="5">
        <v>1977.8</v>
      </c>
      <c r="C68" s="5">
        <v>1981</v>
      </c>
      <c r="D68" s="5">
        <f t="shared" si="2"/>
        <v>7.5897403948358901</v>
      </c>
      <c r="E68" s="5">
        <f t="shared" si="2"/>
        <v>7.5913570466985512</v>
      </c>
      <c r="F68" s="5">
        <f t="shared" si="3"/>
        <v>2.6877346459110107E-2</v>
      </c>
      <c r="G68" s="5">
        <f t="shared" si="3"/>
        <v>3.211026242530135E-2</v>
      </c>
    </row>
    <row r="69" spans="1:7" x14ac:dyDescent="0.25">
      <c r="A69" s="21">
        <v>44671</v>
      </c>
      <c r="B69" s="5">
        <v>1957.77</v>
      </c>
      <c r="C69" s="5">
        <v>1952.3</v>
      </c>
      <c r="D69" s="5">
        <f t="shared" si="2"/>
        <v>7.5795613493878307</v>
      </c>
      <c r="E69" s="5">
        <f t="shared" si="2"/>
        <v>7.5767634436887565</v>
      </c>
      <c r="F69" s="5">
        <f t="shared" si="3"/>
        <v>-1.0179045448059476E-2</v>
      </c>
      <c r="G69" s="5">
        <f t="shared" si="3"/>
        <v>-1.459360300979462E-2</v>
      </c>
    </row>
    <row r="70" spans="1:7" x14ac:dyDescent="0.25">
      <c r="A70" s="21">
        <v>44678</v>
      </c>
      <c r="B70" s="5">
        <v>1886.1</v>
      </c>
      <c r="C70" s="5">
        <v>1885.9</v>
      </c>
      <c r="D70" s="5">
        <f t="shared" si="2"/>
        <v>7.5422664840571247</v>
      </c>
      <c r="E70" s="5">
        <f t="shared" si="2"/>
        <v>7.5421604395183195</v>
      </c>
      <c r="F70" s="5">
        <f t="shared" si="3"/>
        <v>-3.7294865330705917E-2</v>
      </c>
      <c r="G70" s="5">
        <f t="shared" si="3"/>
        <v>-3.4603004170437046E-2</v>
      </c>
    </row>
    <row r="71" spans="1:7" x14ac:dyDescent="0.25">
      <c r="A71" s="21">
        <v>44685</v>
      </c>
      <c r="B71" s="5">
        <v>1881.22</v>
      </c>
      <c r="C71" s="5">
        <v>1868.8</v>
      </c>
      <c r="D71" s="5">
        <f t="shared" si="2"/>
        <v>7.5396757815261797</v>
      </c>
      <c r="E71" s="5">
        <f t="shared" si="2"/>
        <v>7.5330517926339082</v>
      </c>
      <c r="F71" s="5">
        <f t="shared" si="3"/>
        <v>-2.590702530945066E-3</v>
      </c>
      <c r="G71" s="5">
        <f t="shared" si="3"/>
        <v>-9.1086468844112645E-3</v>
      </c>
    </row>
    <row r="72" spans="1:7" x14ac:dyDescent="0.25">
      <c r="A72" s="21">
        <v>44692</v>
      </c>
      <c r="B72" s="5">
        <v>1852.4</v>
      </c>
      <c r="C72" s="5">
        <v>1853.7</v>
      </c>
      <c r="D72" s="5">
        <f t="shared" si="2"/>
        <v>7.5242373746065967</v>
      </c>
      <c r="E72" s="5">
        <f t="shared" si="2"/>
        <v>7.5249389207350434</v>
      </c>
      <c r="F72" s="5">
        <f t="shared" si="3"/>
        <v>-1.5438406919582981E-2</v>
      </c>
      <c r="G72" s="5">
        <f t="shared" si="3"/>
        <v>-8.1128718988647819E-3</v>
      </c>
    </row>
    <row r="73" spans="1:7" x14ac:dyDescent="0.25">
      <c r="A73" s="21">
        <v>44699</v>
      </c>
      <c r="B73" s="5">
        <v>1816.6</v>
      </c>
      <c r="C73" s="5">
        <v>1815.9</v>
      </c>
      <c r="D73" s="5">
        <f t="shared" si="2"/>
        <v>7.5047219010681134</v>
      </c>
      <c r="E73" s="5">
        <f t="shared" si="2"/>
        <v>7.5043364915657511</v>
      </c>
      <c r="F73" s="5">
        <f t="shared" si="3"/>
        <v>-1.9515473538483263E-2</v>
      </c>
      <c r="G73" s="5">
        <f t="shared" si="3"/>
        <v>-2.0602429169292336E-2</v>
      </c>
    </row>
    <row r="74" spans="1:7" x14ac:dyDescent="0.25">
      <c r="A74" s="21">
        <v>44706</v>
      </c>
      <c r="B74" s="5">
        <v>1853.46</v>
      </c>
      <c r="C74" s="5">
        <v>1846.3</v>
      </c>
      <c r="D74" s="5">
        <f t="shared" si="2"/>
        <v>7.5248094415648241</v>
      </c>
      <c r="E74" s="5">
        <f t="shared" si="2"/>
        <v>7.5209389154016977</v>
      </c>
      <c r="F74" s="5">
        <f t="shared" si="3"/>
        <v>2.0087540496710687E-2</v>
      </c>
      <c r="G74" s="5">
        <f t="shared" si="3"/>
        <v>1.6602423835946567E-2</v>
      </c>
    </row>
    <row r="75" spans="1:7" x14ac:dyDescent="0.25">
      <c r="A75" s="21">
        <v>44713</v>
      </c>
      <c r="B75" s="5">
        <v>1846.6</v>
      </c>
      <c r="C75" s="5">
        <v>1843.3</v>
      </c>
      <c r="D75" s="5">
        <f t="shared" si="2"/>
        <v>7.5211013893385275</v>
      </c>
      <c r="E75" s="5">
        <f t="shared" si="2"/>
        <v>7.5193127225021277</v>
      </c>
      <c r="F75" s="5">
        <f t="shared" si="3"/>
        <v>-3.7080522262966653E-3</v>
      </c>
      <c r="G75" s="5">
        <f t="shared" si="3"/>
        <v>-1.6261928995700003E-3</v>
      </c>
    </row>
    <row r="76" spans="1:7" x14ac:dyDescent="0.25">
      <c r="A76" s="21">
        <v>44720</v>
      </c>
      <c r="B76" s="5">
        <v>1853.36</v>
      </c>
      <c r="C76" s="5">
        <v>1851.9</v>
      </c>
      <c r="D76" s="5">
        <f t="shared" si="2"/>
        <v>7.5247554869622135</v>
      </c>
      <c r="E76" s="5">
        <f t="shared" si="2"/>
        <v>7.5239674180679597</v>
      </c>
      <c r="F76" s="5">
        <f t="shared" si="3"/>
        <v>3.6540976236860701E-3</v>
      </c>
      <c r="G76" s="5">
        <f t="shared" si="3"/>
        <v>4.6546955658319789E-3</v>
      </c>
    </row>
    <row r="77" spans="1:7" x14ac:dyDescent="0.25">
      <c r="A77" s="21">
        <v>44727</v>
      </c>
      <c r="B77" s="5">
        <v>1833.82</v>
      </c>
      <c r="C77" s="5">
        <v>1815.3</v>
      </c>
      <c r="D77" s="5">
        <f t="shared" si="2"/>
        <v>7.5141565018710832</v>
      </c>
      <c r="E77" s="5">
        <f t="shared" si="2"/>
        <v>7.5040060222963856</v>
      </c>
      <c r="F77" s="5">
        <f t="shared" si="3"/>
        <v>-1.0598985091130331E-2</v>
      </c>
      <c r="G77" s="5">
        <f t="shared" si="3"/>
        <v>-1.9961395771574075E-2</v>
      </c>
    </row>
    <row r="78" spans="1:7" x14ac:dyDescent="0.25">
      <c r="A78" s="21">
        <v>44734</v>
      </c>
      <c r="B78" s="5">
        <v>1837.72</v>
      </c>
      <c r="C78" s="5">
        <v>1834.3</v>
      </c>
      <c r="D78" s="5">
        <f t="shared" si="2"/>
        <v>7.5162809518113365</v>
      </c>
      <c r="E78" s="5">
        <f t="shared" si="2"/>
        <v>7.5144182163203048</v>
      </c>
      <c r="F78" s="5">
        <f t="shared" si="3"/>
        <v>2.1244499402532924E-3</v>
      </c>
      <c r="G78" s="5">
        <f t="shared" si="3"/>
        <v>1.0412194023919241E-2</v>
      </c>
    </row>
    <row r="79" spans="1:7" x14ac:dyDescent="0.25">
      <c r="A79" s="21">
        <v>44741</v>
      </c>
      <c r="B79" s="5">
        <v>1817.73</v>
      </c>
      <c r="C79" s="5">
        <v>1817.5</v>
      </c>
      <c r="D79" s="5">
        <f t="shared" si="2"/>
        <v>7.5053437488565162</v>
      </c>
      <c r="E79" s="5">
        <f t="shared" si="2"/>
        <v>7.5052172094076743</v>
      </c>
      <c r="F79" s="5">
        <f t="shared" si="3"/>
        <v>-1.0937202954820258E-2</v>
      </c>
      <c r="G79" s="5">
        <f t="shared" si="3"/>
        <v>-9.2010069126304828E-3</v>
      </c>
    </row>
    <row r="80" spans="1:7" x14ac:dyDescent="0.25">
      <c r="A80" s="21">
        <v>44748</v>
      </c>
      <c r="B80" s="5">
        <v>1738.86</v>
      </c>
      <c r="C80" s="5">
        <v>1736.5</v>
      </c>
      <c r="D80" s="5">
        <f t="shared" si="2"/>
        <v>7.4609850050755453</v>
      </c>
      <c r="E80" s="5">
        <f t="shared" si="2"/>
        <v>7.4596268721841286</v>
      </c>
      <c r="F80" s="5">
        <f t="shared" si="3"/>
        <v>-4.4358743780970933E-2</v>
      </c>
      <c r="G80" s="5">
        <f t="shared" si="3"/>
        <v>-4.5590337223545774E-2</v>
      </c>
    </row>
    <row r="81" spans="1:7" x14ac:dyDescent="0.25">
      <c r="A81" s="21">
        <v>44755</v>
      </c>
      <c r="B81" s="5">
        <v>1735.51</v>
      </c>
      <c r="C81" s="5">
        <v>1735.5</v>
      </c>
      <c r="D81" s="5">
        <f t="shared" si="2"/>
        <v>7.4590565973134746</v>
      </c>
      <c r="E81" s="5">
        <f t="shared" si="2"/>
        <v>7.4590508353018405</v>
      </c>
      <c r="F81" s="5">
        <f t="shared" si="3"/>
        <v>-1.9284077620707052E-3</v>
      </c>
      <c r="G81" s="5">
        <f t="shared" si="3"/>
        <v>-5.7603688228802241E-4</v>
      </c>
    </row>
    <row r="82" spans="1:7" x14ac:dyDescent="0.25">
      <c r="A82" s="21">
        <v>44762</v>
      </c>
      <c r="B82" s="5">
        <v>1696.58</v>
      </c>
      <c r="C82" s="5">
        <v>1700.2</v>
      </c>
      <c r="D82" s="5">
        <f t="shared" ref="D82:E145" si="4">LN(B82)</f>
        <v>7.4363697390217052</v>
      </c>
      <c r="E82" s="5">
        <f t="shared" si="4"/>
        <v>7.4385011701832582</v>
      </c>
      <c r="F82" s="5">
        <f t="shared" si="3"/>
        <v>-2.2686858291769418E-2</v>
      </c>
      <c r="G82" s="5">
        <f t="shared" si="3"/>
        <v>-2.0549665118582361E-2</v>
      </c>
    </row>
    <row r="83" spans="1:7" x14ac:dyDescent="0.25">
      <c r="A83" s="21">
        <v>44769</v>
      </c>
      <c r="B83" s="5">
        <v>1734.19</v>
      </c>
      <c r="C83" s="5">
        <v>1719.1</v>
      </c>
      <c r="D83" s="5">
        <f t="shared" si="4"/>
        <v>7.4582957245788393</v>
      </c>
      <c r="E83" s="5">
        <f t="shared" si="4"/>
        <v>7.4495561770474481</v>
      </c>
      <c r="F83" s="5">
        <f t="shared" ref="F83:G146" si="5">D83-D82</f>
        <v>2.1925985557134098E-2</v>
      </c>
      <c r="G83" s="5">
        <f t="shared" si="5"/>
        <v>1.105500686418992E-2</v>
      </c>
    </row>
    <row r="84" spans="1:7" x14ac:dyDescent="0.25">
      <c r="A84" s="21">
        <v>44776</v>
      </c>
      <c r="B84" s="5">
        <v>1765.29</v>
      </c>
      <c r="C84" s="5">
        <v>1758</v>
      </c>
      <c r="D84" s="5">
        <f t="shared" si="4"/>
        <v>7.4760702618196619</v>
      </c>
      <c r="E84" s="5">
        <f t="shared" si="4"/>
        <v>7.4719320782451222</v>
      </c>
      <c r="F84" s="5">
        <f t="shared" si="5"/>
        <v>1.7774537240822674E-2</v>
      </c>
      <c r="G84" s="5">
        <f t="shared" si="5"/>
        <v>2.2375901197674075E-2</v>
      </c>
    </row>
    <row r="85" spans="1:7" x14ac:dyDescent="0.25">
      <c r="A85" s="21">
        <v>44783</v>
      </c>
      <c r="B85" s="5">
        <v>1792.38</v>
      </c>
      <c r="C85" s="5">
        <v>1795.6</v>
      </c>
      <c r="D85" s="5">
        <f t="shared" si="4"/>
        <v>7.4912996246261239</v>
      </c>
      <c r="E85" s="5">
        <f t="shared" si="4"/>
        <v>7.4930945069077772</v>
      </c>
      <c r="F85" s="5">
        <f t="shared" si="5"/>
        <v>1.5229362806461921E-2</v>
      </c>
      <c r="G85" s="5">
        <f t="shared" si="5"/>
        <v>2.1162428662655053E-2</v>
      </c>
    </row>
    <row r="86" spans="1:7" x14ac:dyDescent="0.25">
      <c r="A86" s="21">
        <v>44790</v>
      </c>
      <c r="B86" s="5">
        <v>1761.77</v>
      </c>
      <c r="C86" s="5">
        <v>1760.3</v>
      </c>
      <c r="D86" s="5">
        <f t="shared" si="4"/>
        <v>7.4740742644912119</v>
      </c>
      <c r="E86" s="5">
        <f t="shared" si="4"/>
        <v>7.4732395280519262</v>
      </c>
      <c r="F86" s="5">
        <f t="shared" si="5"/>
        <v>-1.7225360134911938E-2</v>
      </c>
      <c r="G86" s="5">
        <f t="shared" si="5"/>
        <v>-1.985497885585108E-2</v>
      </c>
    </row>
    <row r="87" spans="1:7" x14ac:dyDescent="0.25">
      <c r="A87" s="21">
        <v>44797</v>
      </c>
      <c r="B87" s="5">
        <v>1751.19</v>
      </c>
      <c r="C87" s="5">
        <v>1747.8</v>
      </c>
      <c r="D87" s="5">
        <f t="shared" si="4"/>
        <v>7.468050835822317</v>
      </c>
      <c r="E87" s="5">
        <f t="shared" si="4"/>
        <v>7.4661131331934438</v>
      </c>
      <c r="F87" s="5">
        <f t="shared" si="5"/>
        <v>-6.0234286688949368E-3</v>
      </c>
      <c r="G87" s="5">
        <f t="shared" si="5"/>
        <v>-7.1263948584823211E-3</v>
      </c>
    </row>
    <row r="88" spans="1:7" x14ac:dyDescent="0.25">
      <c r="A88" s="21">
        <v>44804</v>
      </c>
      <c r="B88" s="5">
        <v>1711.04</v>
      </c>
      <c r="C88" s="5">
        <v>1716.9</v>
      </c>
      <c r="D88" s="5">
        <f t="shared" si="4"/>
        <v>7.4448566517603671</v>
      </c>
      <c r="E88" s="5">
        <f t="shared" si="4"/>
        <v>7.4482756180831666</v>
      </c>
      <c r="F88" s="5">
        <f t="shared" si="5"/>
        <v>-2.3194184061949841E-2</v>
      </c>
      <c r="G88" s="5">
        <f t="shared" si="5"/>
        <v>-1.7837515110277202E-2</v>
      </c>
    </row>
    <row r="89" spans="1:7" x14ac:dyDescent="0.25">
      <c r="A89" s="21">
        <v>44811</v>
      </c>
      <c r="B89" s="5">
        <v>1718.37</v>
      </c>
      <c r="C89" s="5">
        <v>1718.2</v>
      </c>
      <c r="D89" s="5">
        <f t="shared" si="4"/>
        <v>7.4491314460615925</v>
      </c>
      <c r="E89" s="5">
        <f t="shared" si="4"/>
        <v>7.4490325102039563</v>
      </c>
      <c r="F89" s="5">
        <f t="shared" si="5"/>
        <v>4.2747943012253486E-3</v>
      </c>
      <c r="G89" s="5">
        <f t="shared" si="5"/>
        <v>7.5689212078966506E-4</v>
      </c>
    </row>
    <row r="90" spans="1:7" x14ac:dyDescent="0.25">
      <c r="A90" s="21">
        <v>44818</v>
      </c>
      <c r="B90" s="5">
        <v>1697.32</v>
      </c>
      <c r="C90" s="5">
        <v>1698.2</v>
      </c>
      <c r="D90" s="5">
        <f t="shared" si="4"/>
        <v>7.4368058155187891</v>
      </c>
      <c r="E90" s="5">
        <f t="shared" si="4"/>
        <v>7.4373241455652632</v>
      </c>
      <c r="F90" s="5">
        <f t="shared" si="5"/>
        <v>-1.2325630542803445E-2</v>
      </c>
      <c r="G90" s="5">
        <f t="shared" si="5"/>
        <v>-1.170836463869307E-2</v>
      </c>
    </row>
    <row r="91" spans="1:7" x14ac:dyDescent="0.25">
      <c r="A91" s="21">
        <v>44825</v>
      </c>
      <c r="B91" s="5">
        <v>1673.89</v>
      </c>
      <c r="C91" s="5">
        <v>1665.8</v>
      </c>
      <c r="D91" s="5">
        <f t="shared" si="4"/>
        <v>7.4229055380182043</v>
      </c>
      <c r="E91" s="5">
        <f t="shared" si="4"/>
        <v>7.41806076750124</v>
      </c>
      <c r="F91" s="5">
        <f t="shared" si="5"/>
        <v>-1.3900277500584757E-2</v>
      </c>
      <c r="G91" s="5">
        <f t="shared" si="5"/>
        <v>-1.9263378064023229E-2</v>
      </c>
    </row>
    <row r="92" spans="1:7" x14ac:dyDescent="0.25">
      <c r="A92" s="21">
        <v>44832</v>
      </c>
      <c r="B92" s="5">
        <v>1659.97</v>
      </c>
      <c r="C92" s="5">
        <v>1660.3</v>
      </c>
      <c r="D92" s="5">
        <f t="shared" si="4"/>
        <v>7.4145548088981261</v>
      </c>
      <c r="E92" s="5">
        <f t="shared" si="4"/>
        <v>7.414753587913741</v>
      </c>
      <c r="F92" s="5">
        <f t="shared" si="5"/>
        <v>-8.3507291200781708E-3</v>
      </c>
      <c r="G92" s="5">
        <f t="shared" si="5"/>
        <v>-3.3071795874990428E-3</v>
      </c>
    </row>
    <row r="93" spans="1:7" x14ac:dyDescent="0.25">
      <c r="A93" s="21">
        <v>44839</v>
      </c>
      <c r="B93" s="5">
        <v>1716.26</v>
      </c>
      <c r="C93" s="5">
        <v>1711.4</v>
      </c>
      <c r="D93" s="5">
        <f t="shared" si="4"/>
        <v>7.4479027837221619</v>
      </c>
      <c r="E93" s="5">
        <f t="shared" si="4"/>
        <v>7.4450670279839546</v>
      </c>
      <c r="F93" s="5">
        <f t="shared" si="5"/>
        <v>3.3347974824035731E-2</v>
      </c>
      <c r="G93" s="5">
        <f t="shared" si="5"/>
        <v>3.0313440070213638E-2</v>
      </c>
    </row>
    <row r="94" spans="1:7" x14ac:dyDescent="0.25">
      <c r="A94" s="21">
        <v>44846</v>
      </c>
      <c r="B94" s="5">
        <v>1673.19</v>
      </c>
      <c r="C94" s="5">
        <v>1670.3</v>
      </c>
      <c r="D94" s="5">
        <f t="shared" si="4"/>
        <v>7.4224872629783452</v>
      </c>
      <c r="E94" s="5">
        <f t="shared" si="4"/>
        <v>7.4207585299959016</v>
      </c>
      <c r="F94" s="5">
        <f t="shared" si="5"/>
        <v>-2.54155207438167E-2</v>
      </c>
      <c r="G94" s="5">
        <f t="shared" si="5"/>
        <v>-2.4308497988053013E-2</v>
      </c>
    </row>
    <row r="95" spans="1:7" x14ac:dyDescent="0.25">
      <c r="A95" s="21">
        <v>44853</v>
      </c>
      <c r="B95" s="5">
        <v>1629.44</v>
      </c>
      <c r="C95" s="5">
        <v>1627.5</v>
      </c>
      <c r="D95" s="5">
        <f t="shared" si="4"/>
        <v>7.395991676488932</v>
      </c>
      <c r="E95" s="5">
        <f t="shared" si="4"/>
        <v>7.3948003740827239</v>
      </c>
      <c r="F95" s="5">
        <f t="shared" si="5"/>
        <v>-2.6495586489413192E-2</v>
      </c>
      <c r="G95" s="5">
        <f t="shared" si="5"/>
        <v>-2.5958155913177627E-2</v>
      </c>
    </row>
    <row r="96" spans="1:7" x14ac:dyDescent="0.25">
      <c r="A96" s="21">
        <v>44860</v>
      </c>
      <c r="B96" s="5">
        <v>1664.57</v>
      </c>
      <c r="C96" s="5">
        <v>1664</v>
      </c>
      <c r="D96" s="5">
        <f t="shared" si="4"/>
        <v>7.4173221108018792</v>
      </c>
      <c r="E96" s="5">
        <f t="shared" si="4"/>
        <v>7.4169796213811541</v>
      </c>
      <c r="F96" s="5">
        <f t="shared" si="5"/>
        <v>2.1330434312947233E-2</v>
      </c>
      <c r="G96" s="5">
        <f t="shared" si="5"/>
        <v>2.2179247298430127E-2</v>
      </c>
    </row>
    <row r="97" spans="1:7" x14ac:dyDescent="0.25">
      <c r="A97" s="21">
        <v>44867</v>
      </c>
      <c r="B97" s="5">
        <v>1635.24</v>
      </c>
      <c r="C97" s="5">
        <v>1650</v>
      </c>
      <c r="D97" s="5">
        <f t="shared" si="4"/>
        <v>7.3995448615497299</v>
      </c>
      <c r="E97" s="5">
        <f t="shared" si="4"/>
        <v>7.4085305668946262</v>
      </c>
      <c r="F97" s="5">
        <f t="shared" si="5"/>
        <v>-1.7777249252149296E-2</v>
      </c>
      <c r="G97" s="5">
        <f t="shared" si="5"/>
        <v>-8.4490544865278849E-3</v>
      </c>
    </row>
    <row r="98" spans="1:7" x14ac:dyDescent="0.25">
      <c r="A98" s="21">
        <v>44874</v>
      </c>
      <c r="B98" s="5">
        <v>1706.74</v>
      </c>
      <c r="C98" s="5">
        <v>1713.7</v>
      </c>
      <c r="D98" s="5">
        <f t="shared" si="4"/>
        <v>7.4423403971923134</v>
      </c>
      <c r="E98" s="5">
        <f t="shared" si="4"/>
        <v>7.4464100546668037</v>
      </c>
      <c r="F98" s="5">
        <f t="shared" si="5"/>
        <v>4.2795535642583538E-2</v>
      </c>
      <c r="G98" s="5">
        <f t="shared" si="5"/>
        <v>3.7879487772177534E-2</v>
      </c>
    </row>
    <row r="99" spans="1:7" x14ac:dyDescent="0.25">
      <c r="A99" s="21">
        <v>44881</v>
      </c>
      <c r="B99" s="5">
        <v>1773.87</v>
      </c>
      <c r="C99" s="5">
        <v>1775.8</v>
      </c>
      <c r="D99" s="5">
        <f t="shared" si="4"/>
        <v>7.4809188794628279</v>
      </c>
      <c r="E99" s="5">
        <f t="shared" si="4"/>
        <v>7.4820063045982268</v>
      </c>
      <c r="F99" s="5">
        <f t="shared" si="5"/>
        <v>3.8578482270514414E-2</v>
      </c>
      <c r="G99" s="5">
        <f t="shared" si="5"/>
        <v>3.5596249931423074E-2</v>
      </c>
    </row>
    <row r="100" spans="1:7" x14ac:dyDescent="0.25">
      <c r="A100" s="21">
        <v>44888</v>
      </c>
      <c r="B100" s="5">
        <v>1749.68</v>
      </c>
      <c r="C100" s="5">
        <v>1745.6</v>
      </c>
      <c r="D100" s="5">
        <f t="shared" si="4"/>
        <v>7.4671881930542972</v>
      </c>
      <c r="E100" s="5">
        <f t="shared" si="4"/>
        <v>7.4648536150788063</v>
      </c>
      <c r="F100" s="5">
        <f t="shared" si="5"/>
        <v>-1.3730686408530701E-2</v>
      </c>
      <c r="G100" s="5">
        <f t="shared" si="5"/>
        <v>-1.7152689519420505E-2</v>
      </c>
    </row>
    <row r="101" spans="1:7" x14ac:dyDescent="0.25">
      <c r="A101" s="21">
        <v>44895</v>
      </c>
      <c r="B101" s="5">
        <v>1768.52</v>
      </c>
      <c r="C101" s="5">
        <v>1746</v>
      </c>
      <c r="D101" s="5">
        <f t="shared" si="4"/>
        <v>7.4778983176005314</v>
      </c>
      <c r="E101" s="5">
        <f t="shared" si="4"/>
        <v>7.4650827363995473</v>
      </c>
      <c r="F101" s="5">
        <f t="shared" si="5"/>
        <v>1.0710124546234212E-2</v>
      </c>
      <c r="G101" s="5">
        <f t="shared" si="5"/>
        <v>2.2912132074104363E-4</v>
      </c>
    </row>
    <row r="102" spans="1:7" x14ac:dyDescent="0.25">
      <c r="A102" s="21">
        <v>44902</v>
      </c>
      <c r="B102" s="5">
        <v>1786.27</v>
      </c>
      <c r="C102" s="5">
        <v>1785.5</v>
      </c>
      <c r="D102" s="5">
        <f t="shared" si="4"/>
        <v>7.4878849258224029</v>
      </c>
      <c r="E102" s="5">
        <f t="shared" si="4"/>
        <v>7.4874537670345029</v>
      </c>
      <c r="F102" s="5">
        <f t="shared" si="5"/>
        <v>9.9866082218715846E-3</v>
      </c>
      <c r="G102" s="5">
        <f t="shared" si="5"/>
        <v>2.2371030634955602E-2</v>
      </c>
    </row>
    <row r="103" spans="1:7" x14ac:dyDescent="0.25">
      <c r="A103" s="21">
        <v>44909</v>
      </c>
      <c r="B103" s="5">
        <v>1807.32</v>
      </c>
      <c r="C103" s="5">
        <v>1807.5</v>
      </c>
      <c r="D103" s="5">
        <f t="shared" si="4"/>
        <v>7.4996003640117577</v>
      </c>
      <c r="E103" s="5">
        <f t="shared" si="4"/>
        <v>7.4996999540329199</v>
      </c>
      <c r="F103" s="5">
        <f t="shared" si="5"/>
        <v>1.1715438189354721E-2</v>
      </c>
      <c r="G103" s="5">
        <f t="shared" si="5"/>
        <v>1.2246186998416952E-2</v>
      </c>
    </row>
    <row r="104" spans="1:7" x14ac:dyDescent="0.25">
      <c r="A104" s="21">
        <v>44916</v>
      </c>
      <c r="B104" s="5">
        <v>1814.39</v>
      </c>
      <c r="C104" s="5">
        <v>1815.9</v>
      </c>
      <c r="D104" s="5">
        <f t="shared" si="4"/>
        <v>7.5035046020543996</v>
      </c>
      <c r="E104" s="5">
        <f t="shared" si="4"/>
        <v>7.5043364915657511</v>
      </c>
      <c r="F104" s="5">
        <f t="shared" si="5"/>
        <v>3.9042380426419498E-3</v>
      </c>
      <c r="G104" s="5">
        <f t="shared" si="5"/>
        <v>4.6365375328312197E-3</v>
      </c>
    </row>
    <row r="105" spans="1:7" x14ac:dyDescent="0.25">
      <c r="A105" s="21">
        <v>44923</v>
      </c>
      <c r="B105" s="5">
        <v>1804.35</v>
      </c>
      <c r="C105" s="5">
        <v>1807.9</v>
      </c>
      <c r="D105" s="5">
        <f t="shared" si="4"/>
        <v>7.4979556951081916</v>
      </c>
      <c r="E105" s="5">
        <f t="shared" si="4"/>
        <v>7.4999212296879687</v>
      </c>
      <c r="F105" s="5">
        <f t="shared" si="5"/>
        <v>-5.5489069462080209E-3</v>
      </c>
      <c r="G105" s="5">
        <f t="shared" si="5"/>
        <v>-4.415261877782406E-3</v>
      </c>
    </row>
    <row r="106" spans="1:7" x14ac:dyDescent="0.25">
      <c r="A106" s="21">
        <v>44930</v>
      </c>
      <c r="B106" s="5">
        <v>1854.56</v>
      </c>
      <c r="C106" s="5">
        <v>1859</v>
      </c>
      <c r="D106" s="5">
        <f t="shared" si="4"/>
        <v>7.5254027501404348</v>
      </c>
      <c r="E106" s="5">
        <f t="shared" si="4"/>
        <v>7.5277939877214441</v>
      </c>
      <c r="F106" s="5">
        <f t="shared" si="5"/>
        <v>2.7447055032243206E-2</v>
      </c>
      <c r="G106" s="5">
        <f t="shared" si="5"/>
        <v>2.7872758033475442E-2</v>
      </c>
    </row>
    <row r="107" spans="1:7" x14ac:dyDescent="0.25">
      <c r="A107" s="21">
        <v>44937</v>
      </c>
      <c r="B107" s="5">
        <v>1875.69</v>
      </c>
      <c r="C107" s="5">
        <v>1878.9</v>
      </c>
      <c r="D107" s="5">
        <f t="shared" si="4"/>
        <v>7.5367318707091187</v>
      </c>
      <c r="E107" s="5">
        <f t="shared" si="4"/>
        <v>7.538441778199477</v>
      </c>
      <c r="F107" s="5">
        <f t="shared" si="5"/>
        <v>1.1329120568683848E-2</v>
      </c>
      <c r="G107" s="5">
        <f t="shared" si="5"/>
        <v>1.0647790478032881E-2</v>
      </c>
    </row>
    <row r="108" spans="1:7" x14ac:dyDescent="0.25">
      <c r="A108" s="21">
        <v>44944</v>
      </c>
      <c r="B108" s="5">
        <v>1904.11</v>
      </c>
      <c r="C108" s="5">
        <v>1907</v>
      </c>
      <c r="D108" s="5">
        <f t="shared" si="4"/>
        <v>7.5517699867917525</v>
      </c>
      <c r="E108" s="5">
        <f t="shared" si="4"/>
        <v>7.5532866056004186</v>
      </c>
      <c r="F108" s="5">
        <f t="shared" si="5"/>
        <v>1.5038116082633834E-2</v>
      </c>
      <c r="G108" s="5">
        <f t="shared" si="5"/>
        <v>1.4844827400941618E-2</v>
      </c>
    </row>
    <row r="109" spans="1:7" x14ac:dyDescent="0.25">
      <c r="A109" s="21">
        <v>44951</v>
      </c>
      <c r="B109" s="5">
        <v>1946.11</v>
      </c>
      <c r="C109" s="5">
        <v>1942.6</v>
      </c>
      <c r="D109" s="5">
        <f t="shared" si="4"/>
        <v>7.5735877873560096</v>
      </c>
      <c r="E109" s="5">
        <f t="shared" si="4"/>
        <v>7.5717825609682299</v>
      </c>
      <c r="F109" s="5">
        <f t="shared" si="5"/>
        <v>2.1817800564257084E-2</v>
      </c>
      <c r="G109" s="5">
        <f t="shared" si="5"/>
        <v>1.8495955367811234E-2</v>
      </c>
    </row>
    <row r="110" spans="1:7" x14ac:dyDescent="0.25">
      <c r="A110" s="21">
        <v>44958</v>
      </c>
      <c r="B110" s="5">
        <v>1950.52</v>
      </c>
      <c r="C110" s="5">
        <v>1927.8</v>
      </c>
      <c r="D110" s="5">
        <f t="shared" si="4"/>
        <v>7.5758512826752229</v>
      </c>
      <c r="E110" s="5">
        <f t="shared" si="4"/>
        <v>7.5641347353498674</v>
      </c>
      <c r="F110" s="5">
        <f t="shared" si="5"/>
        <v>2.2634953192133267E-3</v>
      </c>
      <c r="G110" s="5">
        <f t="shared" si="5"/>
        <v>-7.6478256183625248E-3</v>
      </c>
    </row>
    <row r="111" spans="1:7" x14ac:dyDescent="0.25">
      <c r="A111" s="21">
        <v>44965</v>
      </c>
      <c r="B111" s="5">
        <v>1875.49</v>
      </c>
      <c r="C111" s="5">
        <v>1877.4</v>
      </c>
      <c r="D111" s="5">
        <f t="shared" si="4"/>
        <v>7.5366252375962368</v>
      </c>
      <c r="E111" s="5">
        <f t="shared" si="4"/>
        <v>7.5376431199028913</v>
      </c>
      <c r="F111" s="5">
        <f t="shared" si="5"/>
        <v>-3.9226045078986083E-2</v>
      </c>
      <c r="G111" s="5">
        <f t="shared" si="5"/>
        <v>-2.6491615446976091E-2</v>
      </c>
    </row>
    <row r="112" spans="1:7" x14ac:dyDescent="0.25">
      <c r="A112" s="21">
        <v>44972</v>
      </c>
      <c r="B112" s="5">
        <v>1836.01</v>
      </c>
      <c r="C112" s="5">
        <v>1834.2</v>
      </c>
      <c r="D112" s="5">
        <f t="shared" si="4"/>
        <v>7.5153500177886965</v>
      </c>
      <c r="E112" s="5">
        <f t="shared" si="4"/>
        <v>7.5143636981248436</v>
      </c>
      <c r="F112" s="5">
        <f t="shared" si="5"/>
        <v>-2.1275219807540324E-2</v>
      </c>
      <c r="G112" s="5">
        <f t="shared" si="5"/>
        <v>-2.3279421778047649E-2</v>
      </c>
    </row>
    <row r="113" spans="1:7" x14ac:dyDescent="0.25">
      <c r="A113" s="21">
        <v>44979</v>
      </c>
      <c r="B113" s="5">
        <v>1825.39</v>
      </c>
      <c r="C113" s="5">
        <v>1832</v>
      </c>
      <c r="D113" s="5">
        <f t="shared" si="4"/>
        <v>7.509548941816429</v>
      </c>
      <c r="E113" s="5">
        <f t="shared" si="4"/>
        <v>7.5131635452340753</v>
      </c>
      <c r="F113" s="5">
        <f t="shared" si="5"/>
        <v>-5.8010759722675331E-3</v>
      </c>
      <c r="G113" s="5">
        <f t="shared" si="5"/>
        <v>-1.2001528907683578E-3</v>
      </c>
    </row>
    <row r="114" spans="1:7" x14ac:dyDescent="0.25">
      <c r="A114" s="21">
        <v>44986</v>
      </c>
      <c r="B114" s="5">
        <v>1836.72</v>
      </c>
      <c r="C114" s="5">
        <v>1845.4</v>
      </c>
      <c r="D114" s="5">
        <f t="shared" si="4"/>
        <v>7.5157366511697754</v>
      </c>
      <c r="E114" s="5">
        <f t="shared" si="4"/>
        <v>7.5204513351444557</v>
      </c>
      <c r="F114" s="5">
        <f t="shared" si="5"/>
        <v>6.1877093533464489E-3</v>
      </c>
      <c r="G114" s="5">
        <f t="shared" si="5"/>
        <v>7.2877899103804822E-3</v>
      </c>
    </row>
    <row r="115" spans="1:7" x14ac:dyDescent="0.25">
      <c r="A115" s="21">
        <v>44993</v>
      </c>
      <c r="B115" s="5">
        <v>1813.8</v>
      </c>
      <c r="C115" s="5">
        <v>1818.6</v>
      </c>
      <c r="D115" s="5">
        <f t="shared" si="4"/>
        <v>7.5031793710134673</v>
      </c>
      <c r="E115" s="5">
        <f t="shared" si="4"/>
        <v>7.5058222532918126</v>
      </c>
      <c r="F115" s="5">
        <f t="shared" si="5"/>
        <v>-1.2557280156308082E-2</v>
      </c>
      <c r="G115" s="5">
        <f t="shared" si="5"/>
        <v>-1.4629081852643111E-2</v>
      </c>
    </row>
    <row r="116" spans="1:7" x14ac:dyDescent="0.25">
      <c r="A116" s="21">
        <v>45000</v>
      </c>
      <c r="B116" s="5">
        <v>1918.58</v>
      </c>
      <c r="C116" s="5">
        <v>1931.3</v>
      </c>
      <c r="D116" s="5">
        <f t="shared" si="4"/>
        <v>7.5593406080618193</v>
      </c>
      <c r="E116" s="5">
        <f t="shared" si="4"/>
        <v>7.5659486302785535</v>
      </c>
      <c r="F116" s="5">
        <f t="shared" si="5"/>
        <v>5.6161237048351964E-2</v>
      </c>
      <c r="G116" s="5">
        <f t="shared" si="5"/>
        <v>6.0126376986740837E-2</v>
      </c>
    </row>
    <row r="117" spans="1:7" x14ac:dyDescent="0.25">
      <c r="A117" s="21">
        <v>45007</v>
      </c>
      <c r="B117" s="5">
        <v>1970.11</v>
      </c>
      <c r="C117" s="5">
        <v>1949.6</v>
      </c>
      <c r="D117" s="5">
        <f t="shared" si="4"/>
        <v>7.5858446577366276</v>
      </c>
      <c r="E117" s="5">
        <f t="shared" si="4"/>
        <v>7.5753795023109962</v>
      </c>
      <c r="F117" s="5">
        <f t="shared" si="5"/>
        <v>2.650404967480835E-2</v>
      </c>
      <c r="G117" s="5">
        <f t="shared" si="5"/>
        <v>9.4308720324427497E-3</v>
      </c>
    </row>
    <row r="118" spans="1:7" x14ac:dyDescent="0.25">
      <c r="A118" s="21">
        <v>45014</v>
      </c>
      <c r="B118" s="5">
        <v>1964.7</v>
      </c>
      <c r="C118" s="5">
        <v>1966.9</v>
      </c>
      <c r="D118" s="5">
        <f t="shared" si="4"/>
        <v>7.5830948408921177</v>
      </c>
      <c r="E118" s="5">
        <f t="shared" si="4"/>
        <v>7.5842139782558471</v>
      </c>
      <c r="F118" s="5">
        <f t="shared" si="5"/>
        <v>-2.7498168445099225E-3</v>
      </c>
      <c r="G118" s="5">
        <f t="shared" si="5"/>
        <v>8.8344759448508725E-3</v>
      </c>
    </row>
    <row r="119" spans="1:7" x14ac:dyDescent="0.25">
      <c r="A119" s="21">
        <v>45021</v>
      </c>
      <c r="B119" s="5">
        <v>2020.73</v>
      </c>
      <c r="C119" s="5">
        <v>2020.9</v>
      </c>
      <c r="D119" s="5">
        <f t="shared" si="4"/>
        <v>7.6112141112496214</v>
      </c>
      <c r="E119" s="5">
        <f t="shared" si="4"/>
        <v>7.6112982357242025</v>
      </c>
      <c r="F119" s="5">
        <f t="shared" si="5"/>
        <v>2.8119270357503723E-2</v>
      </c>
      <c r="G119" s="5">
        <f t="shared" si="5"/>
        <v>2.708425746835541E-2</v>
      </c>
    </row>
    <row r="120" spans="1:7" x14ac:dyDescent="0.25">
      <c r="A120" s="21">
        <v>45028</v>
      </c>
      <c r="B120" s="5">
        <v>2014.93</v>
      </c>
      <c r="C120" s="5">
        <v>2010.9</v>
      </c>
      <c r="D120" s="5">
        <f t="shared" si="4"/>
        <v>7.6083397343232599</v>
      </c>
      <c r="E120" s="5">
        <f t="shared" si="4"/>
        <v>7.606337662032022</v>
      </c>
      <c r="F120" s="5">
        <f t="shared" si="5"/>
        <v>-2.8743769263614993E-3</v>
      </c>
      <c r="G120" s="5">
        <f t="shared" si="5"/>
        <v>-4.9605736921805033E-3</v>
      </c>
    </row>
    <row r="121" spans="1:7" x14ac:dyDescent="0.25">
      <c r="A121" s="21">
        <v>45035</v>
      </c>
      <c r="B121" s="5">
        <v>1994.93</v>
      </c>
      <c r="C121" s="5">
        <v>1995.2</v>
      </c>
      <c r="D121" s="5">
        <f t="shared" si="4"/>
        <v>7.5983642409890768</v>
      </c>
      <c r="E121" s="5">
        <f t="shared" si="4"/>
        <v>7.5984995749257722</v>
      </c>
      <c r="F121" s="5">
        <f t="shared" si="5"/>
        <v>-9.9754933341831276E-3</v>
      </c>
      <c r="G121" s="5">
        <f t="shared" si="5"/>
        <v>-7.8380871062497803E-3</v>
      </c>
    </row>
    <row r="122" spans="1:7" x14ac:dyDescent="0.25">
      <c r="A122" s="21">
        <v>45042</v>
      </c>
      <c r="B122" s="5">
        <v>1989.04</v>
      </c>
      <c r="C122" s="5">
        <v>1985.7</v>
      </c>
      <c r="D122" s="5">
        <f t="shared" si="4"/>
        <v>7.5954073892601022</v>
      </c>
      <c r="E122" s="5">
        <f t="shared" si="4"/>
        <v>7.5937267757929865</v>
      </c>
      <c r="F122" s="5">
        <f t="shared" si="5"/>
        <v>-2.956851728974641E-3</v>
      </c>
      <c r="G122" s="5">
        <f t="shared" si="5"/>
        <v>-4.7727991327857211E-3</v>
      </c>
    </row>
    <row r="123" spans="1:7" x14ac:dyDescent="0.25">
      <c r="A123" s="21">
        <v>45049</v>
      </c>
      <c r="B123" s="5">
        <v>2038.97</v>
      </c>
      <c r="C123" s="5">
        <v>2037</v>
      </c>
      <c r="D123" s="5">
        <f t="shared" si="4"/>
        <v>7.6202000573715623</v>
      </c>
      <c r="E123" s="5">
        <f t="shared" si="4"/>
        <v>7.6192334162268054</v>
      </c>
      <c r="F123" s="5">
        <f t="shared" si="5"/>
        <v>2.4792668111460081E-2</v>
      </c>
      <c r="G123" s="5">
        <f t="shared" si="5"/>
        <v>2.5506640433818895E-2</v>
      </c>
    </row>
    <row r="124" spans="1:7" x14ac:dyDescent="0.25">
      <c r="A124" s="21">
        <v>45056</v>
      </c>
      <c r="B124" s="5">
        <v>2030.09</v>
      </c>
      <c r="C124" s="5">
        <v>2037.1</v>
      </c>
      <c r="D124" s="5">
        <f t="shared" si="4"/>
        <v>7.6158354060284363</v>
      </c>
      <c r="E124" s="5">
        <f t="shared" si="4"/>
        <v>7.6192825068235122</v>
      </c>
      <c r="F124" s="5">
        <f t="shared" si="5"/>
        <v>-4.3646513431259137E-3</v>
      </c>
      <c r="G124" s="5">
        <f t="shared" si="5"/>
        <v>4.9090596706768963E-5</v>
      </c>
    </row>
    <row r="125" spans="1:7" x14ac:dyDescent="0.25">
      <c r="A125" s="21">
        <v>45063</v>
      </c>
      <c r="B125" s="5">
        <v>1981.84</v>
      </c>
      <c r="C125" s="5">
        <v>1984.9</v>
      </c>
      <c r="D125" s="5">
        <f t="shared" si="4"/>
        <v>7.5917809850925213</v>
      </c>
      <c r="E125" s="5">
        <f t="shared" si="4"/>
        <v>7.5933238140185324</v>
      </c>
      <c r="F125" s="5">
        <f t="shared" si="5"/>
        <v>-2.4054420935915033E-2</v>
      </c>
      <c r="G125" s="5">
        <f t="shared" si="5"/>
        <v>-2.5958692804979755E-2</v>
      </c>
    </row>
    <row r="126" spans="1:7" x14ac:dyDescent="0.25">
      <c r="A126" s="21">
        <v>45070</v>
      </c>
      <c r="B126" s="5">
        <v>1957.16</v>
      </c>
      <c r="C126" s="5">
        <v>1964.6</v>
      </c>
      <c r="D126" s="5">
        <f t="shared" si="4"/>
        <v>7.5792497218466295</v>
      </c>
      <c r="E126" s="5">
        <f t="shared" si="4"/>
        <v>7.5830439412407689</v>
      </c>
      <c r="F126" s="5">
        <f t="shared" si="5"/>
        <v>-1.2531263245891822E-2</v>
      </c>
      <c r="G126" s="5">
        <f t="shared" si="5"/>
        <v>-1.0279872777763543E-2</v>
      </c>
    </row>
    <row r="127" spans="1:7" x14ac:dyDescent="0.25">
      <c r="A127" s="21">
        <v>45077</v>
      </c>
      <c r="B127" s="5">
        <v>1962.73</v>
      </c>
      <c r="C127" s="5">
        <v>1963.9</v>
      </c>
      <c r="D127" s="5">
        <f t="shared" si="4"/>
        <v>7.5820916402417078</v>
      </c>
      <c r="E127" s="5">
        <f t="shared" si="4"/>
        <v>7.582687571121177</v>
      </c>
      <c r="F127" s="5">
        <f t="shared" si="5"/>
        <v>2.8419183950783022E-3</v>
      </c>
      <c r="G127" s="5">
        <f t="shared" si="5"/>
        <v>-3.5637011959188669E-4</v>
      </c>
    </row>
    <row r="128" spans="1:7" x14ac:dyDescent="0.25">
      <c r="A128" s="21">
        <v>45084</v>
      </c>
      <c r="B128" s="5">
        <v>1940.02</v>
      </c>
      <c r="C128" s="5">
        <v>1942.7</v>
      </c>
      <c r="D128" s="5">
        <f t="shared" si="4"/>
        <v>7.5704535612825845</v>
      </c>
      <c r="E128" s="5">
        <f t="shared" si="4"/>
        <v>7.5718340370447352</v>
      </c>
      <c r="F128" s="5">
        <f t="shared" si="5"/>
        <v>-1.1638078959123277E-2</v>
      </c>
      <c r="G128" s="5">
        <f t="shared" si="5"/>
        <v>-1.085353407644174E-2</v>
      </c>
    </row>
    <row r="129" spans="1:7" x14ac:dyDescent="0.25">
      <c r="A129" s="21">
        <v>45091</v>
      </c>
      <c r="B129" s="5">
        <v>1942.52</v>
      </c>
      <c r="C129" s="5">
        <v>1955.3</v>
      </c>
      <c r="D129" s="5">
        <f t="shared" si="4"/>
        <v>7.5717413781990945</v>
      </c>
      <c r="E129" s="5">
        <f t="shared" si="4"/>
        <v>7.5782989133322287</v>
      </c>
      <c r="F129" s="5">
        <f t="shared" si="5"/>
        <v>1.2878169165100317E-3</v>
      </c>
      <c r="G129" s="5">
        <f t="shared" si="5"/>
        <v>6.4648762874934818E-3</v>
      </c>
    </row>
    <row r="130" spans="1:7" x14ac:dyDescent="0.25">
      <c r="A130" s="21">
        <v>45098</v>
      </c>
      <c r="B130" s="5">
        <v>1932.55</v>
      </c>
      <c r="C130" s="5">
        <v>1933.3</v>
      </c>
      <c r="D130" s="5">
        <f t="shared" si="4"/>
        <v>7.5665956533480871</v>
      </c>
      <c r="E130" s="5">
        <f t="shared" si="4"/>
        <v>7.566983666338456</v>
      </c>
      <c r="F130" s="5">
        <f t="shared" si="5"/>
        <v>-5.1457248510073939E-3</v>
      </c>
      <c r="G130" s="5">
        <f t="shared" si="5"/>
        <v>-1.1315246993772732E-2</v>
      </c>
    </row>
    <row r="131" spans="1:7" x14ac:dyDescent="0.25">
      <c r="A131" s="21">
        <v>45105</v>
      </c>
      <c r="B131" s="5">
        <v>1907.32</v>
      </c>
      <c r="C131" s="5">
        <v>1912.3</v>
      </c>
      <c r="D131" s="5">
        <f t="shared" si="4"/>
        <v>7.5534543943547714</v>
      </c>
      <c r="E131" s="5">
        <f t="shared" si="4"/>
        <v>7.5560619850689283</v>
      </c>
      <c r="F131" s="5">
        <f t="shared" si="5"/>
        <v>-1.3141258993315752E-2</v>
      </c>
      <c r="G131" s="5">
        <f t="shared" si="5"/>
        <v>-1.0921681269527639E-2</v>
      </c>
    </row>
    <row r="132" spans="1:7" x14ac:dyDescent="0.25">
      <c r="A132" s="21">
        <v>45112</v>
      </c>
      <c r="B132" s="5">
        <v>1915.3</v>
      </c>
      <c r="C132" s="5">
        <v>1927.1</v>
      </c>
      <c r="D132" s="5">
        <f t="shared" si="4"/>
        <v>7.5576295473086157</v>
      </c>
      <c r="E132" s="5">
        <f t="shared" si="4"/>
        <v>7.5637715612038745</v>
      </c>
      <c r="F132" s="5">
        <f t="shared" si="5"/>
        <v>4.1751529538442966E-3</v>
      </c>
      <c r="G132" s="5">
        <f t="shared" si="5"/>
        <v>7.7095761349461611E-3</v>
      </c>
    </row>
    <row r="133" spans="1:7" x14ac:dyDescent="0.25">
      <c r="A133" s="21">
        <v>45119</v>
      </c>
      <c r="B133" s="5">
        <v>1957.35</v>
      </c>
      <c r="C133" s="5">
        <v>1961.7</v>
      </c>
      <c r="D133" s="5">
        <f t="shared" si="4"/>
        <v>7.5793467965763659</v>
      </c>
      <c r="E133" s="5">
        <f t="shared" si="4"/>
        <v>7.5815667232353396</v>
      </c>
      <c r="F133" s="5">
        <f t="shared" si="5"/>
        <v>2.1717249267750205E-2</v>
      </c>
      <c r="G133" s="5">
        <f t="shared" si="5"/>
        <v>1.7795162031465139E-2</v>
      </c>
    </row>
    <row r="134" spans="1:7" x14ac:dyDescent="0.25">
      <c r="A134" s="21">
        <v>45126</v>
      </c>
      <c r="B134" s="5">
        <v>1976.64</v>
      </c>
      <c r="C134" s="5">
        <v>1980.8</v>
      </c>
      <c r="D134" s="5">
        <f t="shared" si="4"/>
        <v>7.5891537125075343</v>
      </c>
      <c r="E134" s="5">
        <f t="shared" si="4"/>
        <v>7.5912560824902773</v>
      </c>
      <c r="F134" s="5">
        <f t="shared" si="5"/>
        <v>9.8069159311684473E-3</v>
      </c>
      <c r="G134" s="5">
        <f t="shared" si="5"/>
        <v>9.6893592549376351E-3</v>
      </c>
    </row>
    <row r="135" spans="1:7" x14ac:dyDescent="0.25">
      <c r="A135" s="21">
        <v>45133</v>
      </c>
      <c r="B135" s="5">
        <v>1972.07</v>
      </c>
      <c r="C135" s="5">
        <v>1970.1</v>
      </c>
      <c r="D135" s="5">
        <f t="shared" si="4"/>
        <v>7.5868390314899825</v>
      </c>
      <c r="E135" s="5">
        <f t="shared" si="4"/>
        <v>7.5858395818650362</v>
      </c>
      <c r="F135" s="5">
        <f t="shared" si="5"/>
        <v>-2.314681017551834E-3</v>
      </c>
      <c r="G135" s="5">
        <f t="shared" si="5"/>
        <v>-5.4165006252411274E-3</v>
      </c>
    </row>
    <row r="136" spans="1:7" x14ac:dyDescent="0.25">
      <c r="A136" s="21">
        <v>45140</v>
      </c>
      <c r="B136" s="5">
        <v>1934.45</v>
      </c>
      <c r="C136" s="5">
        <v>1937.4</v>
      </c>
      <c r="D136" s="5">
        <f t="shared" si="4"/>
        <v>7.5675783273345854</v>
      </c>
      <c r="E136" s="5">
        <f t="shared" si="4"/>
        <v>7.569102146992285</v>
      </c>
      <c r="F136" s="5">
        <f t="shared" si="5"/>
        <v>-1.9260704155397157E-2</v>
      </c>
      <c r="G136" s="5">
        <f t="shared" si="5"/>
        <v>-1.6737434872751145E-2</v>
      </c>
    </row>
    <row r="137" spans="1:7" x14ac:dyDescent="0.25">
      <c r="A137" s="21">
        <v>45147</v>
      </c>
      <c r="B137" s="5">
        <v>1914.46</v>
      </c>
      <c r="C137" s="5">
        <v>1915.4</v>
      </c>
      <c r="D137" s="5">
        <f t="shared" si="4"/>
        <v>7.5571908775154846</v>
      </c>
      <c r="E137" s="5">
        <f t="shared" si="4"/>
        <v>7.5576817570875185</v>
      </c>
      <c r="F137" s="5">
        <f t="shared" si="5"/>
        <v>-1.038744981910078E-2</v>
      </c>
      <c r="G137" s="5">
        <f t="shared" si="5"/>
        <v>-1.1420389904766459E-2</v>
      </c>
    </row>
    <row r="138" spans="1:7" x14ac:dyDescent="0.25">
      <c r="A138" s="21">
        <v>45154</v>
      </c>
      <c r="B138" s="5">
        <v>1891.81</v>
      </c>
      <c r="C138" s="5">
        <v>1896.1</v>
      </c>
      <c r="D138" s="5">
        <f t="shared" si="4"/>
        <v>7.5452893217361323</v>
      </c>
      <c r="E138" s="5">
        <f t="shared" si="4"/>
        <v>7.5475544240401575</v>
      </c>
      <c r="F138" s="5">
        <f t="shared" si="5"/>
        <v>-1.1901555779352258E-2</v>
      </c>
      <c r="G138" s="5">
        <f t="shared" si="5"/>
        <v>-1.012733304736102E-2</v>
      </c>
    </row>
    <row r="139" spans="1:7" x14ac:dyDescent="0.25">
      <c r="A139" s="21">
        <v>45161</v>
      </c>
      <c r="B139" s="5">
        <v>1915.48</v>
      </c>
      <c r="C139" s="5">
        <v>1918.5</v>
      </c>
      <c r="D139" s="5">
        <f t="shared" si="4"/>
        <v>7.5577235229481108</v>
      </c>
      <c r="E139" s="5">
        <f t="shared" si="4"/>
        <v>7.5592989096870067</v>
      </c>
      <c r="F139" s="5">
        <f t="shared" si="5"/>
        <v>1.2434201211978468E-2</v>
      </c>
      <c r="G139" s="5">
        <f t="shared" si="5"/>
        <v>1.1744485646849157E-2</v>
      </c>
    </row>
    <row r="140" spans="1:7" x14ac:dyDescent="0.25">
      <c r="A140" s="21">
        <v>45168</v>
      </c>
      <c r="B140" s="5">
        <v>1942.32</v>
      </c>
      <c r="C140" s="5">
        <v>1954</v>
      </c>
      <c r="D140" s="5">
        <f t="shared" si="4"/>
        <v>7.5716384138555561</v>
      </c>
      <c r="E140" s="5">
        <f t="shared" si="4"/>
        <v>7.5776338326027277</v>
      </c>
      <c r="F140" s="5">
        <f t="shared" si="5"/>
        <v>1.3914890907445354E-2</v>
      </c>
      <c r="G140" s="5">
        <f t="shared" si="5"/>
        <v>1.833492291572103E-2</v>
      </c>
    </row>
    <row r="141" spans="1:7" x14ac:dyDescent="0.25">
      <c r="A141" s="21">
        <v>45175</v>
      </c>
      <c r="B141" s="5">
        <v>1916.56</v>
      </c>
      <c r="C141" s="5">
        <v>1925.8</v>
      </c>
      <c r="D141" s="5">
        <f t="shared" si="4"/>
        <v>7.5582871914007335</v>
      </c>
      <c r="E141" s="5">
        <f t="shared" si="4"/>
        <v>7.5630967448061837</v>
      </c>
      <c r="F141" s="5">
        <f t="shared" si="5"/>
        <v>-1.3351222454822675E-2</v>
      </c>
      <c r="G141" s="5">
        <f t="shared" si="5"/>
        <v>-1.4537087796544057E-2</v>
      </c>
    </row>
    <row r="142" spans="1:7" x14ac:dyDescent="0.25">
      <c r="A142" s="21">
        <v>45182</v>
      </c>
      <c r="B142" s="5">
        <v>1908.12</v>
      </c>
      <c r="C142" s="5">
        <v>1914.4</v>
      </c>
      <c r="D142" s="5">
        <f t="shared" si="4"/>
        <v>7.5538737431123062</v>
      </c>
      <c r="E142" s="5">
        <f t="shared" si="4"/>
        <v>7.5571595365941633</v>
      </c>
      <c r="F142" s="5">
        <f t="shared" si="5"/>
        <v>-4.4134482884272686E-3</v>
      </c>
      <c r="G142" s="5">
        <f t="shared" si="5"/>
        <v>-5.9372082120203729E-3</v>
      </c>
    </row>
    <row r="143" spans="1:7" x14ac:dyDescent="0.25">
      <c r="A143" s="21">
        <v>45189</v>
      </c>
      <c r="B143" s="5">
        <v>1930.3</v>
      </c>
      <c r="C143" s="5">
        <v>1948.6</v>
      </c>
      <c r="D143" s="5">
        <f t="shared" si="4"/>
        <v>7.5654307102338292</v>
      </c>
      <c r="E143" s="5">
        <f t="shared" si="4"/>
        <v>7.5748664449912404</v>
      </c>
      <c r="F143" s="5">
        <f t="shared" si="5"/>
        <v>1.1556967121522987E-2</v>
      </c>
      <c r="G143" s="5">
        <f t="shared" si="5"/>
        <v>1.7706908397077115E-2</v>
      </c>
    </row>
    <row r="144" spans="1:7" x14ac:dyDescent="0.25">
      <c r="A144" s="21">
        <v>45196</v>
      </c>
      <c r="B144" s="5">
        <v>1875.12</v>
      </c>
      <c r="C144" s="5">
        <v>1872.3</v>
      </c>
      <c r="D144" s="5">
        <f t="shared" si="4"/>
        <v>7.5364279363565982</v>
      </c>
      <c r="E144" s="5">
        <f t="shared" si="4"/>
        <v>7.5349229006081071</v>
      </c>
      <c r="F144" s="5">
        <f t="shared" si="5"/>
        <v>-2.9002773877230936E-2</v>
      </c>
      <c r="G144" s="5">
        <f t="shared" si="5"/>
        <v>-3.99435443831333E-2</v>
      </c>
    </row>
    <row r="145" spans="1:7" x14ac:dyDescent="0.25">
      <c r="A145" s="21">
        <v>45203</v>
      </c>
      <c r="B145" s="5">
        <v>1821.36</v>
      </c>
      <c r="C145" s="5">
        <v>1818.5</v>
      </c>
      <c r="D145" s="5">
        <f t="shared" si="4"/>
        <v>7.5073387537637668</v>
      </c>
      <c r="E145" s="5">
        <f t="shared" si="4"/>
        <v>7.5057672644270435</v>
      </c>
      <c r="F145" s="5">
        <f t="shared" si="5"/>
        <v>-2.9089182592831442E-2</v>
      </c>
      <c r="G145" s="5">
        <f t="shared" si="5"/>
        <v>-2.9155636181063649E-2</v>
      </c>
    </row>
    <row r="146" spans="1:7" x14ac:dyDescent="0.25">
      <c r="A146" s="21">
        <v>45210</v>
      </c>
      <c r="B146" s="5">
        <v>1874.36</v>
      </c>
      <c r="C146" s="5">
        <v>1872.8</v>
      </c>
      <c r="D146" s="5">
        <f t="shared" ref="D146:E209" si="6">LN(B146)</f>
        <v>7.5360225468036965</v>
      </c>
      <c r="E146" s="5">
        <f t="shared" si="6"/>
        <v>7.5351899161767006</v>
      </c>
      <c r="F146" s="5">
        <f t="shared" si="5"/>
        <v>2.8683793039929739E-2</v>
      </c>
      <c r="G146" s="5">
        <f t="shared" si="5"/>
        <v>2.9422651749657192E-2</v>
      </c>
    </row>
    <row r="147" spans="1:7" x14ac:dyDescent="0.25">
      <c r="A147" s="21">
        <v>45217</v>
      </c>
      <c r="B147" s="5">
        <v>1947.55</v>
      </c>
      <c r="C147" s="5">
        <v>1955.3</v>
      </c>
      <c r="D147" s="5">
        <f t="shared" si="6"/>
        <v>7.5743274513562833</v>
      </c>
      <c r="E147" s="5">
        <f t="shared" si="6"/>
        <v>7.5782989133322287</v>
      </c>
      <c r="F147" s="5">
        <f t="shared" ref="F147:G210" si="7">D147-D146</f>
        <v>3.8304904552586727E-2</v>
      </c>
      <c r="G147" s="5">
        <f t="shared" si="7"/>
        <v>4.3108997155528073E-2</v>
      </c>
    </row>
    <row r="148" spans="1:7" x14ac:dyDescent="0.25">
      <c r="A148" s="21">
        <v>45224</v>
      </c>
      <c r="B148" s="5">
        <v>1979.72</v>
      </c>
      <c r="C148" s="5">
        <v>1984.1</v>
      </c>
      <c r="D148" s="5">
        <f t="shared" si="6"/>
        <v>7.5907106995472446</v>
      </c>
      <c r="E148" s="5">
        <f t="shared" si="6"/>
        <v>7.5929206898004242</v>
      </c>
      <c r="F148" s="5">
        <f t="shared" si="7"/>
        <v>1.6383248190961375E-2</v>
      </c>
      <c r="G148" s="5">
        <f t="shared" si="7"/>
        <v>1.4621776468195513E-2</v>
      </c>
    </row>
    <row r="149" spans="1:7" x14ac:dyDescent="0.25">
      <c r="A149" s="21">
        <v>45231</v>
      </c>
      <c r="B149" s="5">
        <v>1982.53</v>
      </c>
      <c r="C149" s="5">
        <v>1987.5</v>
      </c>
      <c r="D149" s="5">
        <f t="shared" si="6"/>
        <v>7.5921290858030845</v>
      </c>
      <c r="E149" s="5">
        <f t="shared" si="6"/>
        <v>7.5946328465284871</v>
      </c>
      <c r="F149" s="5">
        <f t="shared" si="7"/>
        <v>1.4183862558398985E-3</v>
      </c>
      <c r="G149" s="5">
        <f t="shared" si="7"/>
        <v>1.712156728062908E-3</v>
      </c>
    </row>
    <row r="150" spans="1:7" x14ac:dyDescent="0.25">
      <c r="A150" s="21">
        <v>45238</v>
      </c>
      <c r="B150" s="5">
        <v>1950.2</v>
      </c>
      <c r="C150" s="5">
        <v>1957.8</v>
      </c>
      <c r="D150" s="5">
        <f t="shared" si="6"/>
        <v>7.5756872104010187</v>
      </c>
      <c r="E150" s="5">
        <f t="shared" si="6"/>
        <v>7.5795766728273302</v>
      </c>
      <c r="F150" s="5">
        <f t="shared" si="7"/>
        <v>-1.6441875402065875E-2</v>
      </c>
      <c r="G150" s="5">
        <f t="shared" si="7"/>
        <v>-1.5056173701156972E-2</v>
      </c>
    </row>
    <row r="151" spans="1:7" x14ac:dyDescent="0.25">
      <c r="A151" s="21">
        <v>45245</v>
      </c>
      <c r="B151" s="5">
        <v>1959.85</v>
      </c>
      <c r="C151" s="5">
        <v>1964.3</v>
      </c>
      <c r="D151" s="5">
        <f t="shared" si="6"/>
        <v>7.5806232186837015</v>
      </c>
      <c r="E151" s="5">
        <f t="shared" si="6"/>
        <v>7.5828912267402302</v>
      </c>
      <c r="F151" s="5">
        <f t="shared" si="7"/>
        <v>4.9360082826828133E-3</v>
      </c>
      <c r="G151" s="5">
        <f t="shared" si="7"/>
        <v>3.3145539129000312E-3</v>
      </c>
    </row>
    <row r="152" spans="1:7" x14ac:dyDescent="0.25">
      <c r="A152" s="21">
        <v>45252</v>
      </c>
      <c r="B152" s="5">
        <v>1990.17</v>
      </c>
      <c r="C152" s="5">
        <v>1992.8</v>
      </c>
      <c r="D152" s="5">
        <f t="shared" si="6"/>
        <v>7.5959753412055262</v>
      </c>
      <c r="E152" s="5">
        <f t="shared" si="6"/>
        <v>7.5972959639479702</v>
      </c>
      <c r="F152" s="5">
        <f t="shared" si="7"/>
        <v>1.5352122521824718E-2</v>
      </c>
      <c r="G152" s="5">
        <f t="shared" si="7"/>
        <v>1.4404737207740048E-2</v>
      </c>
    </row>
    <row r="153" spans="1:7" x14ac:dyDescent="0.25">
      <c r="A153" s="21">
        <v>45259</v>
      </c>
      <c r="B153" s="5">
        <v>2044.24</v>
      </c>
      <c r="C153" s="5">
        <v>2047.1</v>
      </c>
      <c r="D153" s="5">
        <f t="shared" si="6"/>
        <v>7.6227813612605244</v>
      </c>
      <c r="E153" s="5">
        <f t="shared" si="6"/>
        <v>7.6241794364465756</v>
      </c>
      <c r="F153" s="5">
        <f t="shared" si="7"/>
        <v>2.6806020054998214E-2</v>
      </c>
      <c r="G153" s="5">
        <f t="shared" si="7"/>
        <v>2.6883472498605343E-2</v>
      </c>
    </row>
    <row r="154" spans="1:7" x14ac:dyDescent="0.25">
      <c r="A154" s="21">
        <v>45266</v>
      </c>
      <c r="B154" s="5">
        <v>2025.55</v>
      </c>
      <c r="C154" s="5">
        <v>2030.5</v>
      </c>
      <c r="D154" s="5">
        <f t="shared" si="6"/>
        <v>7.6135965476009675</v>
      </c>
      <c r="E154" s="5">
        <f t="shared" si="6"/>
        <v>7.6160373471263521</v>
      </c>
      <c r="F154" s="5">
        <f t="shared" si="7"/>
        <v>-9.184813659556923E-3</v>
      </c>
      <c r="G154" s="5">
        <f t="shared" si="7"/>
        <v>-8.1420893202235334E-3</v>
      </c>
    </row>
    <row r="155" spans="1:7" x14ac:dyDescent="0.25">
      <c r="A155" s="21">
        <v>45273</v>
      </c>
      <c r="B155" s="5">
        <v>2027.74</v>
      </c>
      <c r="C155" s="5">
        <v>1982.3</v>
      </c>
      <c r="D155" s="5">
        <f t="shared" si="6"/>
        <v>7.6146771513638889</v>
      </c>
      <c r="E155" s="5">
        <f t="shared" si="6"/>
        <v>7.5920130656961655</v>
      </c>
      <c r="F155" s="5">
        <f t="shared" si="7"/>
        <v>1.080603762921406E-3</v>
      </c>
      <c r="G155" s="5">
        <f t="shared" si="7"/>
        <v>-2.4024281430186534E-2</v>
      </c>
    </row>
    <row r="156" spans="1:7" x14ac:dyDescent="0.25">
      <c r="A156" s="21">
        <v>45280</v>
      </c>
      <c r="B156" s="5">
        <v>2031.39</v>
      </c>
      <c r="C156" s="5">
        <v>2034.5</v>
      </c>
      <c r="D156" s="5">
        <f t="shared" si="6"/>
        <v>7.6164755667798847</v>
      </c>
      <c r="E156" s="5">
        <f t="shared" si="6"/>
        <v>7.6180053674417447</v>
      </c>
      <c r="F156" s="5">
        <f t="shared" si="7"/>
        <v>1.798415415995791E-3</v>
      </c>
      <c r="G156" s="5">
        <f t="shared" si="7"/>
        <v>2.5992301745579205E-2</v>
      </c>
    </row>
    <row r="157" spans="1:7" x14ac:dyDescent="0.25">
      <c r="A157" s="21">
        <v>45287</v>
      </c>
      <c r="B157" s="5">
        <v>2077.4899999999998</v>
      </c>
      <c r="C157" s="5">
        <v>2081.9</v>
      </c>
      <c r="D157" s="5">
        <f t="shared" si="6"/>
        <v>7.638915713240281</v>
      </c>
      <c r="E157" s="5">
        <f t="shared" si="6"/>
        <v>7.6410362172817283</v>
      </c>
      <c r="F157" s="5">
        <f t="shared" si="7"/>
        <v>2.2440146460396271E-2</v>
      </c>
      <c r="G157" s="5">
        <f t="shared" si="7"/>
        <v>2.3030849839983603E-2</v>
      </c>
    </row>
    <row r="158" spans="1:7" x14ac:dyDescent="0.25">
      <c r="A158" s="21">
        <v>45294</v>
      </c>
      <c r="B158" s="5">
        <v>2041.49</v>
      </c>
      <c r="C158" s="5">
        <v>2042.8</v>
      </c>
      <c r="D158" s="5">
        <f t="shared" si="6"/>
        <v>7.621435212388584</v>
      </c>
      <c r="E158" s="5">
        <f t="shared" si="6"/>
        <v>7.6220766947734893</v>
      </c>
      <c r="F158" s="5">
        <f t="shared" si="7"/>
        <v>-1.7480500851696945E-2</v>
      </c>
      <c r="G158" s="5">
        <f t="shared" si="7"/>
        <v>-1.8959522508239068E-2</v>
      </c>
    </row>
    <row r="159" spans="1:7" x14ac:dyDescent="0.25">
      <c r="A159" s="21">
        <v>45301</v>
      </c>
      <c r="B159" s="5">
        <v>2024.41</v>
      </c>
      <c r="C159" s="5">
        <v>2027.8</v>
      </c>
      <c r="D159" s="5">
        <f t="shared" si="6"/>
        <v>7.6130335790629529</v>
      </c>
      <c r="E159" s="5">
        <f t="shared" si="6"/>
        <v>7.6147067405184794</v>
      </c>
      <c r="F159" s="5">
        <f t="shared" si="7"/>
        <v>-8.4016333256311526E-3</v>
      </c>
      <c r="G159" s="5">
        <f t="shared" si="7"/>
        <v>-7.3699542550098585E-3</v>
      </c>
    </row>
    <row r="160" spans="1:7" x14ac:dyDescent="0.25">
      <c r="A160" s="21">
        <v>45308</v>
      </c>
      <c r="B160" s="5">
        <v>2006.25</v>
      </c>
      <c r="C160" s="5">
        <v>2006.5</v>
      </c>
      <c r="D160" s="5">
        <f t="shared" si="6"/>
        <v>7.604022586878326</v>
      </c>
      <c r="E160" s="5">
        <f t="shared" si="6"/>
        <v>7.6041471897069712</v>
      </c>
      <c r="F160" s="5">
        <f t="shared" si="7"/>
        <v>-9.0109921846268648E-3</v>
      </c>
      <c r="G160" s="5">
        <f t="shared" si="7"/>
        <v>-1.0559550811508167E-2</v>
      </c>
    </row>
    <row r="161" spans="1:7" x14ac:dyDescent="0.25">
      <c r="A161" s="21">
        <v>45315</v>
      </c>
      <c r="B161" s="5">
        <v>2013.89</v>
      </c>
      <c r="C161" s="5">
        <v>2016</v>
      </c>
      <c r="D161" s="5">
        <f t="shared" si="6"/>
        <v>7.6078234541106422</v>
      </c>
      <c r="E161" s="5">
        <f t="shared" si="6"/>
        <v>7.6088706291912596</v>
      </c>
      <c r="F161" s="5">
        <f t="shared" si="7"/>
        <v>3.8008672323162074E-3</v>
      </c>
      <c r="G161" s="5">
        <f t="shared" si="7"/>
        <v>4.7234394842883276E-3</v>
      </c>
    </row>
    <row r="162" spans="1:7" x14ac:dyDescent="0.25">
      <c r="A162" s="21">
        <v>45322</v>
      </c>
      <c r="B162" s="5">
        <v>2039.52</v>
      </c>
      <c r="C162" s="5">
        <v>2048.4</v>
      </c>
      <c r="D162" s="5">
        <f t="shared" si="6"/>
        <v>7.6204697650346107</v>
      </c>
      <c r="E162" s="5">
        <f t="shared" si="6"/>
        <v>7.6248142795883949</v>
      </c>
      <c r="F162" s="5">
        <f t="shared" si="7"/>
        <v>1.2646310923968507E-2</v>
      </c>
      <c r="G162" s="5">
        <f t="shared" si="7"/>
        <v>1.5943650397135301E-2</v>
      </c>
    </row>
    <row r="163" spans="1:7" x14ac:dyDescent="0.25">
      <c r="A163" s="21">
        <v>45329</v>
      </c>
      <c r="B163" s="5">
        <v>2035.36</v>
      </c>
      <c r="C163" s="5">
        <v>2035.2</v>
      </c>
      <c r="D163" s="5">
        <f t="shared" si="6"/>
        <v>7.6184279864079008</v>
      </c>
      <c r="E163" s="5">
        <f t="shared" si="6"/>
        <v>7.6183493731458034</v>
      </c>
      <c r="F163" s="5">
        <f t="shared" si="7"/>
        <v>-2.0417786267099558E-3</v>
      </c>
      <c r="G163" s="5">
        <f t="shared" si="7"/>
        <v>-6.464906442591456E-3</v>
      </c>
    </row>
    <row r="164" spans="1:7" x14ac:dyDescent="0.25">
      <c r="A164" s="21">
        <v>45336</v>
      </c>
      <c r="B164" s="5">
        <v>1992.33</v>
      </c>
      <c r="C164" s="5">
        <v>1990.3</v>
      </c>
      <c r="D164" s="5">
        <f t="shared" si="6"/>
        <v>7.5970600870746043</v>
      </c>
      <c r="E164" s="5">
        <f t="shared" si="6"/>
        <v>7.5960406601251744</v>
      </c>
      <c r="F164" s="5">
        <f t="shared" si="7"/>
        <v>-2.1367899333296414E-2</v>
      </c>
      <c r="G164" s="5">
        <f t="shared" si="7"/>
        <v>-2.2308713020628979E-2</v>
      </c>
    </row>
    <row r="165" spans="1:7" x14ac:dyDescent="0.25">
      <c r="A165" s="21">
        <v>45343</v>
      </c>
      <c r="B165" s="5">
        <v>2025.99</v>
      </c>
      <c r="C165" s="5">
        <v>2022.3</v>
      </c>
      <c r="D165" s="5">
        <f t="shared" si="6"/>
        <v>7.6138137489622917</v>
      </c>
      <c r="E165" s="5">
        <f t="shared" si="6"/>
        <v>7.6119907565275025</v>
      </c>
      <c r="F165" s="5">
        <f t="shared" si="7"/>
        <v>1.6753661887687343E-2</v>
      </c>
      <c r="G165" s="5">
        <f t="shared" si="7"/>
        <v>1.5950096402328029E-2</v>
      </c>
    </row>
    <row r="166" spans="1:7" x14ac:dyDescent="0.25">
      <c r="A166" s="21">
        <v>45350</v>
      </c>
      <c r="B166" s="5">
        <v>2034.55</v>
      </c>
      <c r="C166" s="5">
        <v>2042.7</v>
      </c>
      <c r="D166" s="5">
        <f t="shared" si="6"/>
        <v>7.6180299432026732</v>
      </c>
      <c r="E166" s="5">
        <f t="shared" si="6"/>
        <v>7.622027741157031</v>
      </c>
      <c r="F166" s="5">
        <f t="shared" si="7"/>
        <v>4.2161942403815544E-3</v>
      </c>
      <c r="G166" s="5">
        <f t="shared" si="7"/>
        <v>1.0036984629528511E-2</v>
      </c>
    </row>
    <row r="167" spans="1:7" x14ac:dyDescent="0.25">
      <c r="A167" s="21">
        <v>45357</v>
      </c>
      <c r="B167" s="5">
        <v>2148.1799999999998</v>
      </c>
      <c r="C167" s="5">
        <v>2158.1999999999998</v>
      </c>
      <c r="D167" s="5">
        <f t="shared" si="6"/>
        <v>7.6723762510005065</v>
      </c>
      <c r="E167" s="5">
        <f t="shared" si="6"/>
        <v>7.6770298199296327</v>
      </c>
      <c r="F167" s="5">
        <f t="shared" si="7"/>
        <v>5.4346307797833227E-2</v>
      </c>
      <c r="G167" s="5">
        <f t="shared" si="7"/>
        <v>5.500207877260177E-2</v>
      </c>
    </row>
    <row r="168" spans="1:7" x14ac:dyDescent="0.25">
      <c r="A168" s="21">
        <v>45364</v>
      </c>
      <c r="B168" s="5">
        <v>2174.41</v>
      </c>
      <c r="C168" s="5">
        <v>2180.8000000000002</v>
      </c>
      <c r="D168" s="5">
        <f t="shared" si="6"/>
        <v>7.6845126423561343</v>
      </c>
      <c r="E168" s="5">
        <f t="shared" si="6"/>
        <v>7.6874470609422678</v>
      </c>
      <c r="F168" s="5">
        <f t="shared" si="7"/>
        <v>1.2136391355627829E-2</v>
      </c>
      <c r="G168" s="5">
        <f t="shared" si="7"/>
        <v>1.0417241012635081E-2</v>
      </c>
    </row>
    <row r="169" spans="1:7" x14ac:dyDescent="0.25">
      <c r="A169" s="21">
        <v>45371</v>
      </c>
      <c r="B169" s="5">
        <v>2186.39</v>
      </c>
      <c r="C169" s="5">
        <v>2161</v>
      </c>
      <c r="D169" s="5">
        <f t="shared" si="6"/>
        <v>7.6900070608748949</v>
      </c>
      <c r="E169" s="5">
        <f t="shared" si="6"/>
        <v>7.6783263565068856</v>
      </c>
      <c r="F169" s="5">
        <f t="shared" si="7"/>
        <v>5.4944185187606465E-3</v>
      </c>
      <c r="G169" s="5">
        <f t="shared" si="7"/>
        <v>-9.1207044353822653E-3</v>
      </c>
    </row>
    <row r="170" spans="1:7" x14ac:dyDescent="0.25">
      <c r="A170" s="21">
        <v>45378</v>
      </c>
      <c r="B170" s="5">
        <v>2194.79</v>
      </c>
      <c r="C170" s="5">
        <v>2190.6</v>
      </c>
      <c r="D170" s="5">
        <f t="shared" si="6"/>
        <v>7.6938416489506389</v>
      </c>
      <c r="E170" s="5">
        <f t="shared" si="6"/>
        <v>7.6919307578896463</v>
      </c>
      <c r="F170" s="5">
        <f t="shared" si="7"/>
        <v>3.8345880757439943E-3</v>
      </c>
      <c r="G170" s="5">
        <f t="shared" si="7"/>
        <v>1.3604401382760756E-2</v>
      </c>
    </row>
    <row r="171" spans="1:7" x14ac:dyDescent="0.25">
      <c r="A171" s="21">
        <v>45385</v>
      </c>
      <c r="B171" s="5">
        <v>2300</v>
      </c>
      <c r="C171" s="5">
        <v>2294.4</v>
      </c>
      <c r="D171" s="5">
        <f t="shared" si="6"/>
        <v>7.7406644019172415</v>
      </c>
      <c r="E171" s="5">
        <f t="shared" si="6"/>
        <v>7.7382266504053012</v>
      </c>
      <c r="F171" s="5">
        <f t="shared" si="7"/>
        <v>4.6822752966602543E-2</v>
      </c>
      <c r="G171" s="5">
        <f t="shared" si="7"/>
        <v>4.6295892515654913E-2</v>
      </c>
    </row>
    <row r="172" spans="1:7" x14ac:dyDescent="0.25">
      <c r="A172" s="21">
        <v>45392</v>
      </c>
      <c r="B172" s="5">
        <v>2334.04</v>
      </c>
      <c r="C172" s="5">
        <v>2329.6</v>
      </c>
      <c r="D172" s="5">
        <f t="shared" si="6"/>
        <v>7.7553559506602312</v>
      </c>
      <c r="E172" s="5">
        <f t="shared" si="6"/>
        <v>7.753451858002367</v>
      </c>
      <c r="F172" s="5">
        <f t="shared" si="7"/>
        <v>1.4691548742989724E-2</v>
      </c>
      <c r="G172" s="5">
        <f t="shared" si="7"/>
        <v>1.5225207597065804E-2</v>
      </c>
    </row>
    <row r="173" spans="1:7" x14ac:dyDescent="0.25">
      <c r="A173" s="21">
        <v>45399</v>
      </c>
      <c r="B173" s="5">
        <v>2361.02</v>
      </c>
      <c r="C173" s="5">
        <v>2371.6999999999998</v>
      </c>
      <c r="D173" s="5">
        <f t="shared" si="6"/>
        <v>7.7668490080365045</v>
      </c>
      <c r="E173" s="5">
        <f t="shared" si="6"/>
        <v>7.7713622765708488</v>
      </c>
      <c r="F173" s="5">
        <f t="shared" si="7"/>
        <v>1.1493057376273264E-2</v>
      </c>
      <c r="G173" s="5">
        <f t="shared" si="7"/>
        <v>1.7910418568481745E-2</v>
      </c>
    </row>
    <row r="174" spans="1:7" x14ac:dyDescent="0.25">
      <c r="A174" s="21">
        <v>45406</v>
      </c>
      <c r="B174" s="5">
        <v>2316.17</v>
      </c>
      <c r="C174" s="5">
        <v>2324.5</v>
      </c>
      <c r="D174" s="5">
        <f t="shared" si="6"/>
        <v>7.7476702384170224</v>
      </c>
      <c r="E174" s="5">
        <f t="shared" si="6"/>
        <v>7.7512602411306393</v>
      </c>
      <c r="F174" s="5">
        <f t="shared" si="7"/>
        <v>-1.9178769619482061E-2</v>
      </c>
      <c r="G174" s="5">
        <f t="shared" si="7"/>
        <v>-2.0102035440209498E-2</v>
      </c>
    </row>
    <row r="175" spans="1:7" x14ac:dyDescent="0.25">
      <c r="A175" s="21">
        <v>45413</v>
      </c>
      <c r="B175" s="5">
        <v>2319.56</v>
      </c>
      <c r="C175" s="5">
        <v>2311</v>
      </c>
      <c r="D175" s="5">
        <f t="shared" si="6"/>
        <v>7.7491327915011254</v>
      </c>
      <c r="E175" s="5">
        <f t="shared" si="6"/>
        <v>7.7454356102743809</v>
      </c>
      <c r="F175" s="5">
        <f t="shared" si="7"/>
        <v>1.4625530841030354E-3</v>
      </c>
      <c r="G175" s="5">
        <f t="shared" si="7"/>
        <v>-5.8246308562583948E-3</v>
      </c>
    </row>
    <row r="176" spans="1:7" x14ac:dyDescent="0.25">
      <c r="A176" s="21">
        <v>45420</v>
      </c>
      <c r="B176" s="5">
        <v>2308.85</v>
      </c>
      <c r="C176" s="5">
        <v>2322.3000000000002</v>
      </c>
      <c r="D176" s="5">
        <f t="shared" si="6"/>
        <v>7.7445048440567694</v>
      </c>
      <c r="E176" s="5">
        <f t="shared" si="6"/>
        <v>7.7503133528787771</v>
      </c>
      <c r="F176" s="5">
        <f t="shared" si="7"/>
        <v>-4.6279474443560176E-3</v>
      </c>
      <c r="G176" s="5">
        <f t="shared" si="7"/>
        <v>4.877742604396218E-3</v>
      </c>
    </row>
    <row r="177" spans="1:7" x14ac:dyDescent="0.25">
      <c r="A177" s="21">
        <v>45427</v>
      </c>
      <c r="B177" s="5">
        <v>2385.9899999999998</v>
      </c>
      <c r="C177" s="5">
        <v>2394.9</v>
      </c>
      <c r="D177" s="5">
        <f t="shared" si="6"/>
        <v>7.7773694115342424</v>
      </c>
      <c r="E177" s="5">
        <f t="shared" si="6"/>
        <v>7.7810967553198633</v>
      </c>
      <c r="F177" s="5">
        <f t="shared" si="7"/>
        <v>3.2864567477473017E-2</v>
      </c>
      <c r="G177" s="5">
        <f t="shared" si="7"/>
        <v>3.0783402441086238E-2</v>
      </c>
    </row>
    <row r="178" spans="1:7" x14ac:dyDescent="0.25">
      <c r="A178" s="21">
        <v>45434</v>
      </c>
      <c r="B178" s="5">
        <v>2378.85</v>
      </c>
      <c r="C178" s="5">
        <v>2392.9</v>
      </c>
      <c r="D178" s="5">
        <f t="shared" si="6"/>
        <v>7.7743724566127197</v>
      </c>
      <c r="E178" s="5">
        <f t="shared" si="6"/>
        <v>7.7802612984852706</v>
      </c>
      <c r="F178" s="5">
        <f t="shared" si="7"/>
        <v>-2.9969549215227431E-3</v>
      </c>
      <c r="G178" s="5">
        <f t="shared" si="7"/>
        <v>-8.3545683459274045E-4</v>
      </c>
    </row>
    <row r="179" spans="1:7" x14ac:dyDescent="0.25">
      <c r="A179" s="21">
        <v>45441</v>
      </c>
      <c r="B179" s="5">
        <v>2338.12</v>
      </c>
      <c r="C179" s="5">
        <v>2341.1999999999998</v>
      </c>
      <c r="D179" s="5">
        <f t="shared" si="6"/>
        <v>7.757102466634473</v>
      </c>
      <c r="E179" s="5">
        <f t="shared" si="6"/>
        <v>7.7584188974170658</v>
      </c>
      <c r="F179" s="5">
        <f t="shared" si="7"/>
        <v>-1.7269989978246691E-2</v>
      </c>
      <c r="G179" s="5">
        <f t="shared" si="7"/>
        <v>-2.1842401068204786E-2</v>
      </c>
    </row>
    <row r="180" spans="1:7" x14ac:dyDescent="0.25">
      <c r="A180" s="21">
        <v>45448</v>
      </c>
      <c r="B180" s="5">
        <v>2355.3200000000002</v>
      </c>
      <c r="C180" s="5">
        <v>2354.1</v>
      </c>
      <c r="D180" s="5">
        <f t="shared" si="6"/>
        <v>7.7644318783235509</v>
      </c>
      <c r="E180" s="5">
        <f t="shared" si="6"/>
        <v>7.7639137678015375</v>
      </c>
      <c r="F180" s="5">
        <f t="shared" si="7"/>
        <v>7.3294116890778582E-3</v>
      </c>
      <c r="G180" s="5">
        <f t="shared" si="7"/>
        <v>5.4948703844717173E-3</v>
      </c>
    </row>
    <row r="181" spans="1:7" x14ac:dyDescent="0.25">
      <c r="A181" s="21">
        <v>45455</v>
      </c>
      <c r="B181" s="5">
        <v>2324.98</v>
      </c>
      <c r="C181" s="5">
        <v>2336</v>
      </c>
      <c r="D181" s="5">
        <f t="shared" si="6"/>
        <v>7.7514667158339208</v>
      </c>
      <c r="E181" s="5">
        <f t="shared" si="6"/>
        <v>7.7561953439481179</v>
      </c>
      <c r="F181" s="5">
        <f t="shared" si="7"/>
        <v>-1.2965162489630089E-2</v>
      </c>
      <c r="G181" s="5">
        <f t="shared" si="7"/>
        <v>-7.718423853419587E-3</v>
      </c>
    </row>
    <row r="182" spans="1:7" x14ac:dyDescent="0.25">
      <c r="A182" s="21">
        <v>45462</v>
      </c>
      <c r="B182" s="5">
        <v>2328.16</v>
      </c>
      <c r="C182" s="5">
        <v>2330.4</v>
      </c>
      <c r="D182" s="5">
        <f t="shared" si="6"/>
        <v>7.7528335350119688</v>
      </c>
      <c r="E182" s="5">
        <f t="shared" si="6"/>
        <v>7.7537952056452246</v>
      </c>
      <c r="F182" s="5">
        <f t="shared" si="7"/>
        <v>1.3668191780480399E-3</v>
      </c>
      <c r="G182" s="5">
        <f t="shared" si="7"/>
        <v>-2.4001383028933176E-3</v>
      </c>
    </row>
    <row r="183" spans="1:7" x14ac:dyDescent="0.25">
      <c r="A183" s="21">
        <v>45469</v>
      </c>
      <c r="B183" s="5">
        <v>2298.23</v>
      </c>
      <c r="C183" s="5">
        <v>2299.1999999999998</v>
      </c>
      <c r="D183" s="5">
        <f t="shared" si="6"/>
        <v>7.7398945404325303</v>
      </c>
      <c r="E183" s="5">
        <f t="shared" si="6"/>
        <v>7.7403165153247606</v>
      </c>
      <c r="F183" s="5">
        <f t="shared" si="7"/>
        <v>-1.2938994579438479E-2</v>
      </c>
      <c r="G183" s="5">
        <f t="shared" si="7"/>
        <v>-1.3478690320464004E-2</v>
      </c>
    </row>
    <row r="184" spans="1:7" x14ac:dyDescent="0.25">
      <c r="A184" s="21">
        <v>45476</v>
      </c>
      <c r="B184" s="5">
        <v>2356.1999999999998</v>
      </c>
      <c r="C184" s="5">
        <v>2369.4</v>
      </c>
      <c r="D184" s="5">
        <f t="shared" si="6"/>
        <v>7.7648054308120189</v>
      </c>
      <c r="E184" s="5">
        <f t="shared" si="6"/>
        <v>7.7703920375206588</v>
      </c>
      <c r="F184" s="5">
        <f t="shared" si="7"/>
        <v>2.4910890379488571E-2</v>
      </c>
      <c r="G184" s="5">
        <f t="shared" si="7"/>
        <v>3.0075522195898152E-2</v>
      </c>
    </row>
    <row r="185" spans="1:7" x14ac:dyDescent="0.25">
      <c r="A185" s="21">
        <v>45483</v>
      </c>
      <c r="B185" s="5">
        <v>2371.2600000000002</v>
      </c>
      <c r="C185" s="5">
        <v>2379.6999999999998</v>
      </c>
      <c r="D185" s="5">
        <f t="shared" si="6"/>
        <v>7.7711767384253605</v>
      </c>
      <c r="E185" s="5">
        <f t="shared" si="6"/>
        <v>7.7747297083003302</v>
      </c>
      <c r="F185" s="5">
        <f t="shared" si="7"/>
        <v>6.3713076133415925E-3</v>
      </c>
      <c r="G185" s="5">
        <f t="shared" si="7"/>
        <v>4.3376707796713987E-3</v>
      </c>
    </row>
    <row r="186" spans="1:7" x14ac:dyDescent="0.25">
      <c r="A186" s="21">
        <v>45490</v>
      </c>
      <c r="B186" s="5">
        <v>2458.79</v>
      </c>
      <c r="C186" s="5">
        <v>2459.9</v>
      </c>
      <c r="D186" s="5">
        <f t="shared" si="6"/>
        <v>7.8074246380000192</v>
      </c>
      <c r="E186" s="5">
        <f t="shared" si="6"/>
        <v>7.8078759776936542</v>
      </c>
      <c r="F186" s="5">
        <f t="shared" si="7"/>
        <v>3.6247899574658682E-2</v>
      </c>
      <c r="G186" s="5">
        <f t="shared" si="7"/>
        <v>3.314626939332399E-2</v>
      </c>
    </row>
    <row r="187" spans="1:7" x14ac:dyDescent="0.25">
      <c r="A187" s="21">
        <v>45497</v>
      </c>
      <c r="B187" s="5">
        <v>2397.6999999999998</v>
      </c>
      <c r="C187" s="5">
        <v>2415.6999999999998</v>
      </c>
      <c r="D187" s="5">
        <f t="shared" si="6"/>
        <v>7.782265223507725</v>
      </c>
      <c r="E187" s="5">
        <f t="shared" si="6"/>
        <v>7.7897443791592709</v>
      </c>
      <c r="F187" s="5">
        <f t="shared" si="7"/>
        <v>-2.5159414492294196E-2</v>
      </c>
      <c r="G187" s="5">
        <f t="shared" si="7"/>
        <v>-1.8131598534383286E-2</v>
      </c>
    </row>
    <row r="188" spans="1:7" x14ac:dyDescent="0.25">
      <c r="A188" s="21">
        <v>45504</v>
      </c>
      <c r="B188" s="5">
        <v>2447.6</v>
      </c>
      <c r="C188" s="5">
        <v>2426.5</v>
      </c>
      <c r="D188" s="5">
        <f t="shared" si="6"/>
        <v>7.8028632315883852</v>
      </c>
      <c r="E188" s="5">
        <f t="shared" si="6"/>
        <v>7.7942051688452709</v>
      </c>
      <c r="F188" s="5">
        <f t="shared" si="7"/>
        <v>2.0598008080660257E-2</v>
      </c>
      <c r="G188" s="5">
        <f t="shared" si="7"/>
        <v>4.4607896860000551E-3</v>
      </c>
    </row>
    <row r="189" spans="1:7" x14ac:dyDescent="0.25">
      <c r="A189" s="21">
        <v>45511</v>
      </c>
      <c r="B189" s="5">
        <v>2382.92</v>
      </c>
      <c r="C189" s="5">
        <v>2390.5</v>
      </c>
      <c r="D189" s="5">
        <f t="shared" si="6"/>
        <v>7.7760819054063903</v>
      </c>
      <c r="E189" s="5">
        <f t="shared" si="6"/>
        <v>7.7792578280661582</v>
      </c>
      <c r="F189" s="5">
        <f t="shared" si="7"/>
        <v>-2.6781326181994913E-2</v>
      </c>
      <c r="G189" s="5">
        <f t="shared" si="7"/>
        <v>-1.494734077911275E-2</v>
      </c>
    </row>
    <row r="190" spans="1:7" x14ac:dyDescent="0.25">
      <c r="A190" s="21">
        <v>45518</v>
      </c>
      <c r="B190" s="5">
        <v>2447.85</v>
      </c>
      <c r="C190" s="5">
        <v>2439.4</v>
      </c>
      <c r="D190" s="5">
        <f t="shared" si="6"/>
        <v>7.8029653672450534</v>
      </c>
      <c r="E190" s="5">
        <f t="shared" si="6"/>
        <v>7.7995073864091378</v>
      </c>
      <c r="F190" s="5">
        <f t="shared" si="7"/>
        <v>2.6883461838663081E-2</v>
      </c>
      <c r="G190" s="5">
        <f t="shared" si="7"/>
        <v>2.024955834297959E-2</v>
      </c>
    </row>
    <row r="191" spans="1:7" x14ac:dyDescent="0.25">
      <c r="A191" s="21">
        <v>45525</v>
      </c>
      <c r="B191" s="5">
        <v>2512.56</v>
      </c>
      <c r="C191" s="5">
        <v>2508.4</v>
      </c>
      <c r="D191" s="5">
        <f t="shared" si="6"/>
        <v>7.8290574326792095</v>
      </c>
      <c r="E191" s="5">
        <f t="shared" si="6"/>
        <v>7.827400378668866</v>
      </c>
      <c r="F191" s="5">
        <f t="shared" si="7"/>
        <v>2.6092065434156098E-2</v>
      </c>
      <c r="G191" s="5">
        <f t="shared" si="7"/>
        <v>2.7892992259728189E-2</v>
      </c>
    </row>
    <row r="192" spans="1:7" x14ac:dyDescent="0.25">
      <c r="A192" s="21">
        <v>45532</v>
      </c>
      <c r="B192" s="5">
        <v>2504.61</v>
      </c>
      <c r="C192" s="5">
        <v>2501</v>
      </c>
      <c r="D192" s="5">
        <f t="shared" si="6"/>
        <v>7.8258883127754792</v>
      </c>
      <c r="E192" s="5">
        <f t="shared" si="6"/>
        <v>7.8244459308776193</v>
      </c>
      <c r="F192" s="5">
        <f t="shared" si="7"/>
        <v>-3.1691199037302553E-3</v>
      </c>
      <c r="G192" s="5">
        <f t="shared" si="7"/>
        <v>-2.9544477912466505E-3</v>
      </c>
    </row>
    <row r="193" spans="1:7" x14ac:dyDescent="0.25">
      <c r="A193" s="21">
        <v>45539</v>
      </c>
      <c r="B193" s="5">
        <v>2495.7199999999998</v>
      </c>
      <c r="C193" s="5">
        <v>2502.6999999999998</v>
      </c>
      <c r="D193" s="5">
        <f t="shared" si="6"/>
        <v>7.8223325437095497</v>
      </c>
      <c r="E193" s="5">
        <f t="shared" si="6"/>
        <v>7.8251254280758564</v>
      </c>
      <c r="F193" s="5">
        <f t="shared" si="7"/>
        <v>-3.5557690659295815E-3</v>
      </c>
      <c r="G193" s="5">
        <f t="shared" si="7"/>
        <v>6.7949719823712229E-4</v>
      </c>
    </row>
    <row r="194" spans="1:7" x14ac:dyDescent="0.25">
      <c r="A194" s="21">
        <v>45546</v>
      </c>
      <c r="B194" s="5">
        <v>2511.7600000000002</v>
      </c>
      <c r="C194" s="5">
        <v>2519</v>
      </c>
      <c r="D194" s="5">
        <f t="shared" si="6"/>
        <v>7.8287389816224451</v>
      </c>
      <c r="E194" s="5">
        <f t="shared" si="6"/>
        <v>7.8316172763526106</v>
      </c>
      <c r="F194" s="5">
        <f t="shared" si="7"/>
        <v>6.406437912895413E-3</v>
      </c>
      <c r="G194" s="5">
        <f t="shared" si="7"/>
        <v>6.4918482767541974E-3</v>
      </c>
    </row>
    <row r="195" spans="1:7" x14ac:dyDescent="0.25">
      <c r="A195" s="21">
        <v>45553</v>
      </c>
      <c r="B195" s="5">
        <v>2558.91</v>
      </c>
      <c r="C195" s="5">
        <v>2574.9</v>
      </c>
      <c r="D195" s="5">
        <f t="shared" si="6"/>
        <v>7.8473366655530334</v>
      </c>
      <c r="E195" s="5">
        <f t="shared" si="6"/>
        <v>7.8535659773922841</v>
      </c>
      <c r="F195" s="5">
        <f t="shared" si="7"/>
        <v>1.859768393058836E-2</v>
      </c>
      <c r="G195" s="5">
        <f t="shared" si="7"/>
        <v>2.1948701039673502E-2</v>
      </c>
    </row>
    <row r="196" spans="1:7" x14ac:dyDescent="0.25">
      <c r="A196" s="21">
        <v>45560</v>
      </c>
      <c r="B196" s="5">
        <v>2656.89</v>
      </c>
      <c r="C196" s="5">
        <v>2660.7</v>
      </c>
      <c r="D196" s="5">
        <f t="shared" si="6"/>
        <v>7.884911544827534</v>
      </c>
      <c r="E196" s="5">
        <f t="shared" si="6"/>
        <v>7.8863445250505162</v>
      </c>
      <c r="F196" s="5">
        <f t="shared" si="7"/>
        <v>3.7574879274500539E-2</v>
      </c>
      <c r="G196" s="5">
        <f t="shared" si="7"/>
        <v>3.2778547658232071E-2</v>
      </c>
    </row>
    <row r="197" spans="1:7" x14ac:dyDescent="0.25">
      <c r="A197" s="21">
        <v>45567</v>
      </c>
      <c r="B197" s="5">
        <v>2658.69</v>
      </c>
      <c r="C197" s="5">
        <v>2647.1</v>
      </c>
      <c r="D197" s="5">
        <f t="shared" si="6"/>
        <v>7.8855887992640401</v>
      </c>
      <c r="E197" s="5">
        <f t="shared" si="6"/>
        <v>7.88121998013081</v>
      </c>
      <c r="F197" s="5">
        <f t="shared" si="7"/>
        <v>6.7725443650612505E-4</v>
      </c>
      <c r="G197" s="5">
        <f t="shared" si="7"/>
        <v>-5.1245449197061532E-3</v>
      </c>
    </row>
    <row r="198" spans="1:7" x14ac:dyDescent="0.25">
      <c r="A198" s="21">
        <v>45574</v>
      </c>
      <c r="B198" s="5">
        <v>2607.77</v>
      </c>
      <c r="C198" s="5">
        <v>2606</v>
      </c>
      <c r="D198" s="5">
        <f t="shared" si="6"/>
        <v>7.8662507289735117</v>
      </c>
      <c r="E198" s="5">
        <f t="shared" si="6"/>
        <v>7.8655717576847906</v>
      </c>
      <c r="F198" s="5">
        <f t="shared" si="7"/>
        <v>-1.9338070290528364E-2</v>
      </c>
      <c r="G198" s="5">
        <f t="shared" si="7"/>
        <v>-1.5648222446019489E-2</v>
      </c>
    </row>
    <row r="199" spans="1:7" x14ac:dyDescent="0.25">
      <c r="A199" s="21">
        <v>45581</v>
      </c>
      <c r="B199" s="5">
        <v>2673.83</v>
      </c>
      <c r="C199" s="5">
        <v>2674</v>
      </c>
      <c r="D199" s="5">
        <f t="shared" si="6"/>
        <v>7.8912671804726147</v>
      </c>
      <c r="E199" s="5">
        <f t="shared" si="6"/>
        <v>7.8913307576618887</v>
      </c>
      <c r="F199" s="5">
        <f t="shared" si="7"/>
        <v>2.5016451499102921E-2</v>
      </c>
      <c r="G199" s="5">
        <f t="shared" si="7"/>
        <v>2.5758999977098185E-2</v>
      </c>
    </row>
    <row r="200" spans="1:7" x14ac:dyDescent="0.25">
      <c r="A200" s="21">
        <v>45588</v>
      </c>
      <c r="B200" s="5">
        <v>2715.55</v>
      </c>
      <c r="C200" s="5">
        <v>2714.4</v>
      </c>
      <c r="D200" s="5">
        <f t="shared" si="6"/>
        <v>7.9067497901207053</v>
      </c>
      <c r="E200" s="5">
        <f t="shared" si="6"/>
        <v>7.9063262134700203</v>
      </c>
      <c r="F200" s="5">
        <f t="shared" si="7"/>
        <v>1.5482609648090673E-2</v>
      </c>
      <c r="G200" s="5">
        <f t="shared" si="7"/>
        <v>1.4995455808131553E-2</v>
      </c>
    </row>
    <row r="201" spans="1:7" x14ac:dyDescent="0.25">
      <c r="A201" s="21">
        <v>45595</v>
      </c>
      <c r="B201" s="5">
        <v>2787.61</v>
      </c>
      <c r="C201" s="5">
        <v>2800.8</v>
      </c>
      <c r="D201" s="5">
        <f t="shared" si="6"/>
        <v>7.9329398768731822</v>
      </c>
      <c r="E201" s="5">
        <f t="shared" si="6"/>
        <v>7.9376603696404562</v>
      </c>
      <c r="F201" s="5">
        <f t="shared" si="7"/>
        <v>2.6190086752476915E-2</v>
      </c>
      <c r="G201" s="5">
        <f t="shared" si="7"/>
        <v>3.133415617043589E-2</v>
      </c>
    </row>
    <row r="202" spans="1:7" x14ac:dyDescent="0.25">
      <c r="A202" s="21">
        <v>45602</v>
      </c>
      <c r="B202" s="5">
        <v>2659.06</v>
      </c>
      <c r="C202" s="5">
        <v>2676.3</v>
      </c>
      <c r="D202" s="5">
        <f t="shared" si="6"/>
        <v>7.8857279558624498</v>
      </c>
      <c r="E202" s="5">
        <f t="shared" si="6"/>
        <v>7.8921905225878479</v>
      </c>
      <c r="F202" s="5">
        <f t="shared" si="7"/>
        <v>-4.7211921010732461E-2</v>
      </c>
      <c r="G202" s="5">
        <f t="shared" si="7"/>
        <v>-4.5469847052608259E-2</v>
      </c>
    </row>
    <row r="203" spans="1:7" x14ac:dyDescent="0.25">
      <c r="A203" s="21">
        <v>45609</v>
      </c>
      <c r="B203" s="5">
        <v>2572.98</v>
      </c>
      <c r="C203" s="5">
        <v>2586.5</v>
      </c>
      <c r="D203" s="5">
        <f t="shared" si="6"/>
        <v>7.85282003922394</v>
      </c>
      <c r="E203" s="5">
        <f t="shared" si="6"/>
        <v>7.8580608894435695</v>
      </c>
      <c r="F203" s="5">
        <f t="shared" si="7"/>
        <v>-3.2907916638509782E-2</v>
      </c>
      <c r="G203" s="5">
        <f t="shared" si="7"/>
        <v>-3.4129633144278415E-2</v>
      </c>
    </row>
    <row r="204" spans="1:7" x14ac:dyDescent="0.25">
      <c r="A204" s="21">
        <v>45616</v>
      </c>
      <c r="B204" s="5">
        <v>2650.6</v>
      </c>
      <c r="C204" s="5">
        <v>2651.7</v>
      </c>
      <c r="D204" s="5">
        <f t="shared" si="6"/>
        <v>7.8825413084465783</v>
      </c>
      <c r="E204" s="5">
        <f t="shared" si="6"/>
        <v>7.8829562227350118</v>
      </c>
      <c r="F204" s="5">
        <f t="shared" si="7"/>
        <v>2.9721269222638291E-2</v>
      </c>
      <c r="G204" s="5">
        <f t="shared" si="7"/>
        <v>2.4895333291442334E-2</v>
      </c>
    </row>
    <row r="205" spans="1:7" x14ac:dyDescent="0.25">
      <c r="A205" s="21">
        <v>45623</v>
      </c>
      <c r="B205" s="5">
        <v>2636.02</v>
      </c>
      <c r="C205" s="5">
        <v>2639.9</v>
      </c>
      <c r="D205" s="5">
        <f t="shared" si="6"/>
        <v>7.8770254828470287</v>
      </c>
      <c r="E205" s="5">
        <f t="shared" si="6"/>
        <v>7.8784963166350641</v>
      </c>
      <c r="F205" s="5">
        <f t="shared" si="7"/>
        <v>-5.5158255995495509E-3</v>
      </c>
      <c r="G205" s="5">
        <f t="shared" si="7"/>
        <v>-4.4599060999477302E-3</v>
      </c>
    </row>
    <row r="206" spans="1:7" x14ac:dyDescent="0.25">
      <c r="A206" s="21">
        <v>45630</v>
      </c>
      <c r="B206" s="5">
        <v>2649.9</v>
      </c>
      <c r="C206" s="5">
        <v>2653.8</v>
      </c>
      <c r="D206" s="5">
        <f t="shared" si="6"/>
        <v>7.8822771824191964</v>
      </c>
      <c r="E206" s="5">
        <f t="shared" si="6"/>
        <v>7.883747854102336</v>
      </c>
      <c r="F206" s="5">
        <f t="shared" si="7"/>
        <v>5.2516995721676452E-3</v>
      </c>
      <c r="G206" s="5">
        <f t="shared" si="7"/>
        <v>5.2515374672719162E-3</v>
      </c>
    </row>
    <row r="207" spans="1:7" x14ac:dyDescent="0.25">
      <c r="A207" s="21">
        <v>45637</v>
      </c>
      <c r="B207" s="5">
        <v>2718.23</v>
      </c>
      <c r="C207" s="5">
        <v>2733.8</v>
      </c>
      <c r="D207" s="5">
        <f t="shared" si="6"/>
        <v>7.9077362121758163</v>
      </c>
      <c r="E207" s="5">
        <f t="shared" si="6"/>
        <v>7.9134478617185531</v>
      </c>
      <c r="F207" s="5">
        <f t="shared" si="7"/>
        <v>2.5459029756619955E-2</v>
      </c>
      <c r="G207" s="5">
        <f t="shared" si="7"/>
        <v>2.970000761621705E-2</v>
      </c>
    </row>
    <row r="208" spans="1:7" x14ac:dyDescent="0.25">
      <c r="A208" s="21">
        <v>45644</v>
      </c>
      <c r="B208" s="5">
        <v>2585.35</v>
      </c>
      <c r="C208" s="5">
        <v>2636.5</v>
      </c>
      <c r="D208" s="5">
        <f t="shared" si="6"/>
        <v>7.8576161742956234</v>
      </c>
      <c r="E208" s="5">
        <f t="shared" si="6"/>
        <v>7.8772075589705244</v>
      </c>
      <c r="F208" s="5">
        <f t="shared" si="7"/>
        <v>-5.0120037880192925E-2</v>
      </c>
      <c r="G208" s="5">
        <f t="shared" si="7"/>
        <v>-3.6240302748028697E-2</v>
      </c>
    </row>
    <row r="209" spans="1:7" x14ac:dyDescent="0.25">
      <c r="A209" s="21">
        <v>45651</v>
      </c>
      <c r="B209" s="5">
        <v>2616.87</v>
      </c>
      <c r="C209" s="5">
        <v>2620</v>
      </c>
      <c r="D209" s="5">
        <f t="shared" si="6"/>
        <v>7.8697342260956811</v>
      </c>
      <c r="E209" s="5">
        <f t="shared" si="6"/>
        <v>7.8709295967551425</v>
      </c>
      <c r="F209" s="5">
        <f t="shared" si="7"/>
        <v>1.211805180005765E-2</v>
      </c>
      <c r="G209" s="5">
        <f t="shared" si="7"/>
        <v>-6.2779622153819048E-3</v>
      </c>
    </row>
    <row r="210" spans="1:7" x14ac:dyDescent="0.25">
      <c r="A210" s="21">
        <v>45658</v>
      </c>
      <c r="B210" s="5">
        <v>2624.5</v>
      </c>
      <c r="C210" s="5">
        <v>2641</v>
      </c>
      <c r="D210" s="5">
        <f t="shared" ref="D210:E262" si="8">LN(B210)</f>
        <v>7.8726456806923544</v>
      </c>
      <c r="E210" s="5">
        <f t="shared" si="8"/>
        <v>7.8789129122971326</v>
      </c>
      <c r="F210" s="5">
        <f t="shared" si="7"/>
        <v>2.9114545966733019E-3</v>
      </c>
      <c r="G210" s="5">
        <f t="shared" si="7"/>
        <v>7.9833155419901658E-3</v>
      </c>
    </row>
    <row r="211" spans="1:7" x14ac:dyDescent="0.25">
      <c r="A211" s="21">
        <v>45665</v>
      </c>
      <c r="B211" s="5">
        <v>2661.94</v>
      </c>
      <c r="C211" s="5">
        <v>2672.4</v>
      </c>
      <c r="D211" s="5">
        <f t="shared" si="8"/>
        <v>7.8868104592570125</v>
      </c>
      <c r="E211" s="5">
        <f t="shared" si="8"/>
        <v>7.8907322240513222</v>
      </c>
      <c r="F211" s="5">
        <f t="shared" ref="F211:G262" si="9">D211-D210</f>
        <v>1.4164778564658143E-2</v>
      </c>
      <c r="G211" s="5">
        <f t="shared" si="9"/>
        <v>1.1819311754189599E-2</v>
      </c>
    </row>
    <row r="212" spans="1:7" x14ac:dyDescent="0.25">
      <c r="A212" s="21">
        <v>45672</v>
      </c>
      <c r="B212" s="5">
        <v>2696.32</v>
      </c>
      <c r="C212" s="5">
        <v>2717.8</v>
      </c>
      <c r="D212" s="5">
        <f t="shared" si="8"/>
        <v>7.8996431593505969</v>
      </c>
      <c r="E212" s="5">
        <f t="shared" si="8"/>
        <v>7.9075780084863974</v>
      </c>
      <c r="F212" s="5">
        <f t="shared" si="9"/>
        <v>1.2832700093584393E-2</v>
      </c>
      <c r="G212" s="5">
        <f t="shared" si="9"/>
        <v>1.6845784435075117E-2</v>
      </c>
    </row>
    <row r="213" spans="1:7" x14ac:dyDescent="0.25">
      <c r="A213" s="21">
        <v>45679</v>
      </c>
      <c r="B213" s="5">
        <v>2756.48</v>
      </c>
      <c r="C213" s="5">
        <v>2770.9</v>
      </c>
      <c r="D213" s="5">
        <f t="shared" si="8"/>
        <v>7.9217097824256912</v>
      </c>
      <c r="E213" s="5">
        <f t="shared" si="8"/>
        <v>7.9269274561569354</v>
      </c>
      <c r="F213" s="5">
        <f t="shared" si="9"/>
        <v>2.2066623075094327E-2</v>
      </c>
      <c r="G213" s="5">
        <f t="shared" si="9"/>
        <v>1.9349447670538034E-2</v>
      </c>
    </row>
    <row r="214" spans="1:7" x14ac:dyDescent="0.25">
      <c r="A214" s="21">
        <v>45686</v>
      </c>
      <c r="B214" s="5">
        <v>2759.36</v>
      </c>
      <c r="C214" s="5">
        <v>2769.8</v>
      </c>
      <c r="D214" s="5">
        <f t="shared" si="8"/>
        <v>7.9227540477639593</v>
      </c>
      <c r="E214" s="5">
        <f t="shared" si="8"/>
        <v>7.9265303944086174</v>
      </c>
      <c r="F214" s="5">
        <f t="shared" si="9"/>
        <v>1.0442653382680689E-3</v>
      </c>
      <c r="G214" s="5">
        <f t="shared" si="9"/>
        <v>-3.9706174831799501E-4</v>
      </c>
    </row>
    <row r="215" spans="1:7" x14ac:dyDescent="0.25">
      <c r="A215" s="21">
        <v>45693</v>
      </c>
      <c r="B215" s="5">
        <v>2867.24</v>
      </c>
      <c r="C215" s="5">
        <v>2871.6</v>
      </c>
      <c r="D215" s="5">
        <f t="shared" si="8"/>
        <v>7.961105173576156</v>
      </c>
      <c r="E215" s="5">
        <f t="shared" si="8"/>
        <v>7.9626246447023279</v>
      </c>
      <c r="F215" s="5">
        <f t="shared" si="9"/>
        <v>3.8351125812196685E-2</v>
      </c>
      <c r="G215" s="5">
        <f t="shared" si="9"/>
        <v>3.6094250293710495E-2</v>
      </c>
    </row>
    <row r="216" spans="1:7" x14ac:dyDescent="0.25">
      <c r="A216" s="21">
        <v>45700</v>
      </c>
      <c r="B216" s="5">
        <v>2904.04</v>
      </c>
      <c r="C216" s="5">
        <v>2909</v>
      </c>
      <c r="D216" s="5">
        <f t="shared" si="8"/>
        <v>7.9738581499545074</v>
      </c>
      <c r="E216" s="5">
        <f t="shared" si="8"/>
        <v>7.9755646584952018</v>
      </c>
      <c r="F216" s="5">
        <f t="shared" si="9"/>
        <v>1.2752976378351377E-2</v>
      </c>
      <c r="G216" s="5">
        <f t="shared" si="9"/>
        <v>1.2940013792873906E-2</v>
      </c>
    </row>
    <row r="217" spans="1:7" x14ac:dyDescent="0.25">
      <c r="A217" s="21">
        <v>45707</v>
      </c>
      <c r="B217" s="5">
        <v>2933.39</v>
      </c>
      <c r="C217" s="5">
        <v>2919.4</v>
      </c>
      <c r="D217" s="5">
        <f t="shared" si="8"/>
        <v>7.9839140297934126</v>
      </c>
      <c r="E217" s="5">
        <f t="shared" si="8"/>
        <v>7.9791333946964773</v>
      </c>
      <c r="F217" s="5">
        <f t="shared" si="9"/>
        <v>1.0055879838905213E-2</v>
      </c>
      <c r="G217" s="5">
        <f t="shared" si="9"/>
        <v>3.5687362012755131E-3</v>
      </c>
    </row>
    <row r="218" spans="1:7" x14ac:dyDescent="0.25">
      <c r="A218" s="21">
        <v>45714</v>
      </c>
      <c r="B218" s="5">
        <v>2916.39</v>
      </c>
      <c r="C218" s="5">
        <v>2916.8</v>
      </c>
      <c r="D218" s="5">
        <f t="shared" si="8"/>
        <v>7.9781018290414698</v>
      </c>
      <c r="E218" s="5">
        <f t="shared" si="8"/>
        <v>7.9782424039243987</v>
      </c>
      <c r="F218" s="5">
        <f t="shared" si="9"/>
        <v>-5.8122007519427754E-3</v>
      </c>
      <c r="G218" s="5">
        <f t="shared" si="9"/>
        <v>-8.9099077207865918E-4</v>
      </c>
    </row>
    <row r="219" spans="1:7" x14ac:dyDescent="0.25">
      <c r="A219" s="21">
        <v>45721</v>
      </c>
      <c r="B219" s="5">
        <v>2919.39</v>
      </c>
      <c r="C219" s="5">
        <v>2926</v>
      </c>
      <c r="D219" s="5">
        <f t="shared" si="8"/>
        <v>7.979129969329235</v>
      </c>
      <c r="E219" s="5">
        <f t="shared" si="8"/>
        <v>7.9813915815800698</v>
      </c>
      <c r="F219" s="5">
        <f t="shared" si="9"/>
        <v>1.0281402877652113E-3</v>
      </c>
      <c r="G219" s="5">
        <f t="shared" si="9"/>
        <v>3.1491776556711315E-3</v>
      </c>
    </row>
    <row r="220" spans="1:7" x14ac:dyDescent="0.25">
      <c r="A220" s="21">
        <v>45728</v>
      </c>
      <c r="B220" s="5">
        <v>2934.77</v>
      </c>
      <c r="C220" s="5">
        <v>2946.8</v>
      </c>
      <c r="D220" s="5">
        <f t="shared" si="8"/>
        <v>7.9843843646259458</v>
      </c>
      <c r="E220" s="5">
        <f t="shared" si="8"/>
        <v>7.9884751148086588</v>
      </c>
      <c r="F220" s="5">
        <f t="shared" si="9"/>
        <v>5.2543952967107899E-3</v>
      </c>
      <c r="G220" s="5">
        <f t="shared" si="9"/>
        <v>7.0835332285890118E-3</v>
      </c>
    </row>
    <row r="221" spans="1:7" x14ac:dyDescent="0.25">
      <c r="A221" s="21">
        <v>45735</v>
      </c>
      <c r="B221" s="5">
        <v>3047.79</v>
      </c>
      <c r="C221" s="5">
        <v>3041.2</v>
      </c>
      <c r="D221" s="5">
        <f t="shared" si="8"/>
        <v>8.0221720167951904</v>
      </c>
      <c r="E221" s="5">
        <f t="shared" si="8"/>
        <v>8.0200074533542818</v>
      </c>
      <c r="F221" s="5">
        <f t="shared" si="9"/>
        <v>3.7787652169244623E-2</v>
      </c>
      <c r="G221" s="5">
        <f t="shared" si="9"/>
        <v>3.1532338545622984E-2</v>
      </c>
    </row>
    <row r="222" spans="1:7" x14ac:dyDescent="0.25">
      <c r="A222" s="21">
        <v>45742</v>
      </c>
      <c r="B222" s="5">
        <v>3019.38</v>
      </c>
      <c r="C222" s="5">
        <v>3022.5</v>
      </c>
      <c r="D222" s="5">
        <f t="shared" si="8"/>
        <v>8.0128067912791483</v>
      </c>
      <c r="E222" s="5">
        <f t="shared" si="8"/>
        <v>8.0138395824889486</v>
      </c>
      <c r="F222" s="5">
        <f t="shared" si="9"/>
        <v>-9.3652255160421305E-3</v>
      </c>
      <c r="G222" s="5">
        <f t="shared" si="9"/>
        <v>-6.1678708653332137E-3</v>
      </c>
    </row>
    <row r="223" spans="1:7" x14ac:dyDescent="0.25">
      <c r="A223" s="21">
        <v>45749</v>
      </c>
      <c r="B223" s="5">
        <v>3134.17</v>
      </c>
      <c r="C223" s="5">
        <v>3139.9</v>
      </c>
      <c r="D223" s="5">
        <f t="shared" si="8"/>
        <v>8.0501196652227449</v>
      </c>
      <c r="E223" s="5">
        <f t="shared" si="8"/>
        <v>8.051946231261411</v>
      </c>
      <c r="F223" s="5">
        <f t="shared" si="9"/>
        <v>3.7312873943596614E-2</v>
      </c>
      <c r="G223" s="5">
        <f t="shared" si="9"/>
        <v>3.8106648772462393E-2</v>
      </c>
    </row>
    <row r="224" spans="1:7" x14ac:dyDescent="0.25">
      <c r="A224" s="21">
        <v>45756</v>
      </c>
      <c r="B224" s="5">
        <v>3082.7</v>
      </c>
      <c r="C224" s="5">
        <v>3056.5</v>
      </c>
      <c r="D224" s="5">
        <f t="shared" si="8"/>
        <v>8.0335611153343756</v>
      </c>
      <c r="E224" s="5">
        <f t="shared" si="8"/>
        <v>8.0250257494687798</v>
      </c>
      <c r="F224" s="5">
        <f t="shared" si="9"/>
        <v>-1.6558549888369356E-2</v>
      </c>
      <c r="G224" s="5">
        <f t="shared" si="9"/>
        <v>-2.6920481792631179E-2</v>
      </c>
    </row>
    <row r="225" spans="1:7" x14ac:dyDescent="0.25">
      <c r="A225" s="21">
        <v>45763</v>
      </c>
      <c r="B225" s="5">
        <v>3343.12</v>
      </c>
      <c r="C225" s="5">
        <v>3326.6</v>
      </c>
      <c r="D225" s="5">
        <f t="shared" si="8"/>
        <v>8.1146597816777408</v>
      </c>
      <c r="E225" s="5">
        <f t="shared" si="8"/>
        <v>8.1097060403564338</v>
      </c>
      <c r="F225" s="5">
        <f t="shared" si="9"/>
        <v>8.1098666343365267E-2</v>
      </c>
      <c r="G225" s="5">
        <f t="shared" si="9"/>
        <v>8.4680290887654053E-2</v>
      </c>
    </row>
    <row r="226" spans="1:7" x14ac:dyDescent="0.25">
      <c r="A226" s="21">
        <v>45770</v>
      </c>
      <c r="B226" s="5">
        <v>3288.34</v>
      </c>
      <c r="C226" s="5">
        <v>3276.3</v>
      </c>
      <c r="D226" s="5">
        <f t="shared" si="8"/>
        <v>8.0981381571560398</v>
      </c>
      <c r="E226" s="5">
        <f t="shared" si="8"/>
        <v>8.0944700158717922</v>
      </c>
      <c r="F226" s="5">
        <f t="shared" si="9"/>
        <v>-1.6521624521701028E-2</v>
      </c>
      <c r="G226" s="5">
        <f t="shared" si="9"/>
        <v>-1.5236024484641675E-2</v>
      </c>
    </row>
    <row r="227" spans="1:7" x14ac:dyDescent="0.25">
      <c r="A227" s="21">
        <v>45777</v>
      </c>
      <c r="B227" s="5">
        <v>3288.71</v>
      </c>
      <c r="C227" s="5">
        <v>3319.1</v>
      </c>
      <c r="D227" s="5">
        <f t="shared" si="8"/>
        <v>8.0982506696047487</v>
      </c>
      <c r="E227" s="5">
        <f t="shared" si="8"/>
        <v>8.1074489408231845</v>
      </c>
      <c r="F227" s="5">
        <f t="shared" si="9"/>
        <v>1.1251244870891242E-4</v>
      </c>
      <c r="G227" s="5">
        <f t="shared" si="9"/>
        <v>1.2978924951392301E-2</v>
      </c>
    </row>
    <row r="228" spans="1:7" x14ac:dyDescent="0.25">
      <c r="A228" s="21">
        <v>45784</v>
      </c>
      <c r="B228" s="5">
        <v>3364.5</v>
      </c>
      <c r="C228" s="5">
        <v>3391.9</v>
      </c>
      <c r="D228" s="5">
        <f t="shared" si="8"/>
        <v>8.1210346426283735</v>
      </c>
      <c r="E228" s="5">
        <f t="shared" si="8"/>
        <v>8.129145515345142</v>
      </c>
      <c r="F228" s="5">
        <f t="shared" si="9"/>
        <v>2.2783973023624782E-2</v>
      </c>
      <c r="G228" s="5">
        <f t="shared" si="9"/>
        <v>2.1696574521957501E-2</v>
      </c>
    </row>
    <row r="229" spans="1:7" x14ac:dyDescent="0.25">
      <c r="A229" s="21">
        <v>45791</v>
      </c>
      <c r="B229" s="5">
        <v>3177.25</v>
      </c>
      <c r="C229" s="5">
        <v>3188.3</v>
      </c>
      <c r="D229" s="5">
        <f t="shared" si="8"/>
        <v>8.0637713217621805</v>
      </c>
      <c r="E229" s="5">
        <f t="shared" si="8"/>
        <v>8.0672431383685286</v>
      </c>
      <c r="F229" s="5">
        <f t="shared" si="9"/>
        <v>-5.7263320866193013E-2</v>
      </c>
      <c r="G229" s="5">
        <f t="shared" si="9"/>
        <v>-6.1902376976613382E-2</v>
      </c>
    </row>
    <row r="230" spans="1:7" x14ac:dyDescent="0.25">
      <c r="A230" s="21">
        <v>45798</v>
      </c>
      <c r="B230" s="5">
        <v>3314.96</v>
      </c>
      <c r="C230" s="5">
        <v>3313.5</v>
      </c>
      <c r="D230" s="5">
        <f t="shared" si="8"/>
        <v>8.1062008361821558</v>
      </c>
      <c r="E230" s="5">
        <f t="shared" si="8"/>
        <v>8.1057603115282824</v>
      </c>
      <c r="F230" s="5">
        <f t="shared" si="9"/>
        <v>4.2429514419975334E-2</v>
      </c>
      <c r="G230" s="5">
        <f t="shared" si="9"/>
        <v>3.8517173159753781E-2</v>
      </c>
    </row>
    <row r="231" spans="1:7" x14ac:dyDescent="0.25">
      <c r="A231" s="21">
        <v>45805</v>
      </c>
      <c r="B231" s="5">
        <v>3287.48</v>
      </c>
      <c r="C231" s="5">
        <v>3294.9</v>
      </c>
      <c r="D231" s="5">
        <f t="shared" si="8"/>
        <v>8.0978765928173235</v>
      </c>
      <c r="E231" s="5">
        <f t="shared" si="8"/>
        <v>8.1001310974624108</v>
      </c>
      <c r="F231" s="5">
        <f t="shared" si="9"/>
        <v>-8.3242433648322844E-3</v>
      </c>
      <c r="G231" s="5">
        <f t="shared" si="9"/>
        <v>-5.6292140658715795E-3</v>
      </c>
    </row>
    <row r="232" spans="1:7" x14ac:dyDescent="0.25">
      <c r="A232" s="21">
        <v>45812</v>
      </c>
      <c r="B232" s="5">
        <v>3372.72</v>
      </c>
      <c r="C232" s="5">
        <v>3373.5</v>
      </c>
      <c r="D232" s="5">
        <f t="shared" si="8"/>
        <v>8.1234748194605988</v>
      </c>
      <c r="E232" s="5">
        <f t="shared" si="8"/>
        <v>8.1237060600674802</v>
      </c>
      <c r="F232" s="5">
        <f t="shared" si="9"/>
        <v>2.5598226643275268E-2</v>
      </c>
      <c r="G232" s="5">
        <f t="shared" si="9"/>
        <v>2.3574962605069416E-2</v>
      </c>
    </row>
    <row r="233" spans="1:7" x14ac:dyDescent="0.25">
      <c r="A233" s="21">
        <v>45819</v>
      </c>
      <c r="B233" s="5">
        <v>3355.12</v>
      </c>
      <c r="C233" s="5">
        <v>3321.3</v>
      </c>
      <c r="D233" s="5">
        <f t="shared" si="8"/>
        <v>8.1182428162773181</v>
      </c>
      <c r="E233" s="5">
        <f t="shared" si="8"/>
        <v>8.1081115515335309</v>
      </c>
      <c r="F233" s="5">
        <f t="shared" si="9"/>
        <v>-5.2320031832806535E-3</v>
      </c>
      <c r="G233" s="5">
        <f t="shared" si="9"/>
        <v>-1.5594508533949281E-2</v>
      </c>
    </row>
    <row r="234" spans="1:7" x14ac:dyDescent="0.25">
      <c r="A234" s="21">
        <v>45826</v>
      </c>
      <c r="B234" s="5">
        <v>3369.38</v>
      </c>
      <c r="C234" s="5">
        <v>3389.8</v>
      </c>
      <c r="D234" s="5">
        <f t="shared" si="8"/>
        <v>8.1224840301595709</v>
      </c>
      <c r="E234" s="5">
        <f t="shared" si="8"/>
        <v>8.1285262015839539</v>
      </c>
      <c r="F234" s="5">
        <f t="shared" si="9"/>
        <v>4.2412138822527368E-3</v>
      </c>
      <c r="G234" s="5">
        <f t="shared" si="9"/>
        <v>2.0414650050422978E-2</v>
      </c>
    </row>
    <row r="235" spans="1:7" x14ac:dyDescent="0.25">
      <c r="A235" s="21">
        <v>45833</v>
      </c>
      <c r="B235" s="5">
        <v>3332.33</v>
      </c>
      <c r="C235" s="5">
        <v>3327.1</v>
      </c>
      <c r="D235" s="5">
        <f t="shared" si="8"/>
        <v>8.1114270379984799</v>
      </c>
      <c r="E235" s="5">
        <f t="shared" si="8"/>
        <v>8.1098563326752764</v>
      </c>
      <c r="F235" s="5">
        <f t="shared" si="9"/>
        <v>-1.1056992161091017E-2</v>
      </c>
      <c r="G235" s="5">
        <f t="shared" si="9"/>
        <v>-1.86698689086775E-2</v>
      </c>
    </row>
    <row r="236" spans="1:7" x14ac:dyDescent="0.25">
      <c r="A236" s="21">
        <v>45840</v>
      </c>
      <c r="B236" s="5">
        <v>3357.45</v>
      </c>
      <c r="C236" s="5">
        <v>3359.7</v>
      </c>
      <c r="D236" s="5">
        <f t="shared" si="8"/>
        <v>8.1189370362537421</v>
      </c>
      <c r="E236" s="5">
        <f t="shared" si="8"/>
        <v>8.1196069632567571</v>
      </c>
      <c r="F236" s="5">
        <f t="shared" si="9"/>
        <v>7.509998255262218E-3</v>
      </c>
      <c r="G236" s="5">
        <f t="shared" si="9"/>
        <v>9.7506305814807348E-3</v>
      </c>
    </row>
    <row r="237" spans="1:7" x14ac:dyDescent="0.25">
      <c r="A237" s="21">
        <v>45847</v>
      </c>
      <c r="B237" s="5">
        <v>3313.66</v>
      </c>
      <c r="C237" s="5">
        <v>3321</v>
      </c>
      <c r="D237" s="5">
        <f t="shared" si="8"/>
        <v>8.1058085976719791</v>
      </c>
      <c r="E237" s="5">
        <f t="shared" si="8"/>
        <v>8.1080212213767471</v>
      </c>
      <c r="F237" s="5">
        <f t="shared" si="9"/>
        <v>-1.3128438581762936E-2</v>
      </c>
      <c r="G237" s="5">
        <f t="shared" si="9"/>
        <v>-1.1585741880010048E-2</v>
      </c>
    </row>
    <row r="238" spans="1:7" x14ac:dyDescent="0.25">
      <c r="A238" s="21">
        <v>45854</v>
      </c>
      <c r="B238" s="5">
        <v>3347.13</v>
      </c>
      <c r="C238" s="5">
        <v>3359.1</v>
      </c>
      <c r="D238" s="5">
        <f t="shared" si="8"/>
        <v>8.115858541209958</v>
      </c>
      <c r="E238" s="5">
        <f t="shared" si="8"/>
        <v>8.1194283599342612</v>
      </c>
      <c r="F238" s="5">
        <f t="shared" si="9"/>
        <v>1.0049943537978834E-2</v>
      </c>
      <c r="G238" s="5">
        <f t="shared" si="9"/>
        <v>1.1407138557514074E-2</v>
      </c>
    </row>
    <row r="239" spans="1:7" x14ac:dyDescent="0.25">
      <c r="A239" s="21">
        <v>45861</v>
      </c>
      <c r="B239" s="5">
        <v>3387.29</v>
      </c>
      <c r="C239" s="5">
        <v>3397.6</v>
      </c>
      <c r="D239" s="5">
        <f t="shared" si="8"/>
        <v>8.1277854706464083</v>
      </c>
      <c r="E239" s="5">
        <f t="shared" si="8"/>
        <v>8.1308245789990607</v>
      </c>
      <c r="F239" s="5">
        <f t="shared" si="9"/>
        <v>1.1926929436450351E-2</v>
      </c>
      <c r="G239" s="5">
        <f t="shared" si="9"/>
        <v>1.1396219064799595E-2</v>
      </c>
    </row>
    <row r="240" spans="1:7" x14ac:dyDescent="0.25">
      <c r="A240" s="21">
        <v>45868</v>
      </c>
      <c r="B240" s="5">
        <v>3275.18</v>
      </c>
      <c r="C240" s="5">
        <v>3295.8</v>
      </c>
      <c r="D240" s="5">
        <f t="shared" si="8"/>
        <v>8.0941281083910663</v>
      </c>
      <c r="E240" s="5">
        <f t="shared" si="8"/>
        <v>8.1004042095766291</v>
      </c>
      <c r="F240" s="5">
        <f t="shared" si="9"/>
        <v>-3.3657362255341994E-2</v>
      </c>
      <c r="G240" s="5">
        <f t="shared" si="9"/>
        <v>-3.0420369422431648E-2</v>
      </c>
    </row>
    <row r="241" spans="1:7" x14ac:dyDescent="0.25">
      <c r="A241" s="21">
        <v>45875</v>
      </c>
      <c r="B241" s="5">
        <v>3369.33</v>
      </c>
      <c r="C241" s="5">
        <v>3380</v>
      </c>
      <c r="D241" s="5">
        <f t="shared" si="8"/>
        <v>8.1224691905240913</v>
      </c>
      <c r="E241" s="5">
        <f t="shared" si="8"/>
        <v>8.1256309884770648</v>
      </c>
      <c r="F241" s="5">
        <f t="shared" si="9"/>
        <v>2.8341082133024997E-2</v>
      </c>
      <c r="G241" s="5">
        <f t="shared" si="9"/>
        <v>2.5226778900435676E-2</v>
      </c>
    </row>
    <row r="242" spans="1:7" x14ac:dyDescent="0.25">
      <c r="A242" s="21">
        <v>45882</v>
      </c>
      <c r="B242" s="5">
        <v>3355.86</v>
      </c>
      <c r="C242" s="5">
        <v>3358.7</v>
      </c>
      <c r="D242" s="5">
        <f t="shared" si="8"/>
        <v>8.1184633503879837</v>
      </c>
      <c r="E242" s="5">
        <f t="shared" si="8"/>
        <v>8.1193092733283869</v>
      </c>
      <c r="F242" s="5">
        <f t="shared" si="9"/>
        <v>-4.0058401361076079E-3</v>
      </c>
      <c r="G242" s="5">
        <f t="shared" si="9"/>
        <v>-6.3217151486778533E-3</v>
      </c>
    </row>
    <row r="243" spans="1:7" x14ac:dyDescent="0.25">
      <c r="A243" s="21">
        <v>45889</v>
      </c>
      <c r="B243" s="5">
        <v>3348.43</v>
      </c>
      <c r="C243" s="5">
        <v>3343.4</v>
      </c>
      <c r="D243" s="5">
        <f t="shared" si="8"/>
        <v>8.116246858248811</v>
      </c>
      <c r="E243" s="5">
        <f t="shared" si="8"/>
        <v>8.1147435322685304</v>
      </c>
      <c r="F243" s="5">
        <f t="shared" si="9"/>
        <v>-2.2164921391727432E-3</v>
      </c>
      <c r="G243" s="5">
        <f t="shared" si="9"/>
        <v>-4.5657410598565207E-3</v>
      </c>
    </row>
    <row r="244" spans="1:7" x14ac:dyDescent="0.25">
      <c r="A244" s="21">
        <v>45896</v>
      </c>
      <c r="B244" s="5">
        <v>3397.37</v>
      </c>
      <c r="C244" s="5">
        <v>3404.6</v>
      </c>
      <c r="D244" s="5">
        <f t="shared" si="8"/>
        <v>8.1307568818642437</v>
      </c>
      <c r="E244" s="5">
        <f t="shared" si="8"/>
        <v>8.13288273738047</v>
      </c>
      <c r="F244" s="5">
        <f t="shared" si="9"/>
        <v>1.4510023615432743E-2</v>
      </c>
      <c r="G244" s="5">
        <f t="shared" si="9"/>
        <v>1.813920511193956E-2</v>
      </c>
    </row>
    <row r="245" spans="1:7" x14ac:dyDescent="0.25">
      <c r="A245" s="21">
        <v>45903</v>
      </c>
      <c r="B245" s="5">
        <v>3559.42</v>
      </c>
      <c r="C245" s="5">
        <v>3606.1</v>
      </c>
      <c r="D245" s="5">
        <f t="shared" si="8"/>
        <v>8.1773528892246379</v>
      </c>
      <c r="E245" s="5">
        <f t="shared" si="8"/>
        <v>8.1903821349372627</v>
      </c>
      <c r="F245" s="5">
        <f t="shared" si="9"/>
        <v>4.6596007360394154E-2</v>
      </c>
      <c r="G245" s="5">
        <f t="shared" si="9"/>
        <v>5.7499397556792786E-2</v>
      </c>
    </row>
    <row r="246" spans="1:7" x14ac:dyDescent="0.25">
      <c r="A246" s="21">
        <v>45910</v>
      </c>
      <c r="B246" s="5">
        <v>3640.75</v>
      </c>
      <c r="C246" s="5">
        <v>3653.1</v>
      </c>
      <c r="D246" s="5">
        <f t="shared" si="8"/>
        <v>8.1999449833626894</v>
      </c>
      <c r="E246" s="5">
        <f t="shared" si="8"/>
        <v>8.203331401181071</v>
      </c>
      <c r="F246" s="5">
        <f t="shared" si="9"/>
        <v>2.2592094138051522E-2</v>
      </c>
      <c r="G246" s="5">
        <f t="shared" si="9"/>
        <v>1.2949266243808211E-2</v>
      </c>
    </row>
    <row r="247" spans="1:7" x14ac:dyDescent="0.25">
      <c r="A247" s="21">
        <v>45917</v>
      </c>
      <c r="B247" s="5">
        <v>3659.9</v>
      </c>
      <c r="C247" s="5">
        <v>3688</v>
      </c>
      <c r="D247" s="5">
        <f t="shared" si="8"/>
        <v>8.2051911036177767</v>
      </c>
      <c r="E247" s="5">
        <f t="shared" si="8"/>
        <v>8.2128395846764839</v>
      </c>
      <c r="F247" s="5">
        <f t="shared" si="9"/>
        <v>5.2461202550873054E-3</v>
      </c>
      <c r="G247" s="5">
        <f t="shared" si="9"/>
        <v>9.5081834954129363E-3</v>
      </c>
    </row>
    <row r="248" spans="1:7" x14ac:dyDescent="0.25">
      <c r="A248" s="21">
        <v>45924</v>
      </c>
      <c r="B248" s="5">
        <v>3736.16</v>
      </c>
      <c r="C248" s="5">
        <v>3735</v>
      </c>
      <c r="D248" s="5">
        <f t="shared" si="8"/>
        <v>8.2258136249841645</v>
      </c>
      <c r="E248" s="5">
        <f t="shared" si="8"/>
        <v>8.2255030975669179</v>
      </c>
      <c r="F248" s="5">
        <f t="shared" si="9"/>
        <v>2.0622521366387758E-2</v>
      </c>
      <c r="G248" s="5">
        <f t="shared" si="9"/>
        <v>1.2663512890433992E-2</v>
      </c>
    </row>
    <row r="249" spans="1:7" x14ac:dyDescent="0.25">
      <c r="A249" s="21">
        <v>45931</v>
      </c>
      <c r="B249" s="5">
        <v>3865.74</v>
      </c>
      <c r="C249" s="5">
        <v>3867.5</v>
      </c>
      <c r="D249" s="5">
        <f t="shared" si="8"/>
        <v>8.2599084045320428</v>
      </c>
      <c r="E249" s="5">
        <f t="shared" si="8"/>
        <v>8.260363582447221</v>
      </c>
      <c r="F249" s="5">
        <f t="shared" si="9"/>
        <v>3.4094779547878318E-2</v>
      </c>
      <c r="G249" s="5">
        <f t="shared" si="9"/>
        <v>3.4860484880303133E-2</v>
      </c>
    </row>
    <row r="250" spans="1:7" x14ac:dyDescent="0.25">
      <c r="A250" s="21">
        <v>45938</v>
      </c>
      <c r="B250" s="5">
        <v>4042.03</v>
      </c>
      <c r="C250" s="5">
        <v>4043.3</v>
      </c>
      <c r="D250" s="5">
        <f t="shared" si="8"/>
        <v>8.3045023200043051</v>
      </c>
      <c r="E250" s="5">
        <f t="shared" si="8"/>
        <v>8.3048164692129216</v>
      </c>
      <c r="F250" s="5">
        <f t="shared" si="9"/>
        <v>4.4593915472262324E-2</v>
      </c>
      <c r="G250" s="5">
        <f t="shared" si="9"/>
        <v>4.4452886765700583E-2</v>
      </c>
    </row>
    <row r="251" spans="1:7" x14ac:dyDescent="0.25">
      <c r="A251" s="21">
        <v>45945</v>
      </c>
      <c r="B251" s="5">
        <v>4207.4799999999996</v>
      </c>
      <c r="C251" s="5">
        <v>4176.8999999999996</v>
      </c>
      <c r="D251" s="5">
        <f t="shared" si="8"/>
        <v>8.3446191726371453</v>
      </c>
      <c r="E251" s="5">
        <f t="shared" si="8"/>
        <v>8.3373246235833491</v>
      </c>
      <c r="F251" s="5">
        <f t="shared" si="9"/>
        <v>4.011685263284015E-2</v>
      </c>
      <c r="G251" s="5">
        <f t="shared" si="9"/>
        <v>3.2508154370427533E-2</v>
      </c>
    </row>
    <row r="252" spans="1:7" x14ac:dyDescent="0.25">
      <c r="A252" s="21">
        <v>45952</v>
      </c>
      <c r="B252" s="5">
        <v>4098.42</v>
      </c>
      <c r="C252" s="5">
        <v>4044.4</v>
      </c>
      <c r="D252" s="5">
        <f t="shared" si="8"/>
        <v>8.3183568125662379</v>
      </c>
      <c r="E252" s="5">
        <f t="shared" si="8"/>
        <v>8.3050884872172439</v>
      </c>
      <c r="F252" s="5">
        <f t="shared" si="9"/>
        <v>-2.626236007090732E-2</v>
      </c>
      <c r="G252" s="5">
        <f t="shared" si="9"/>
        <v>-3.2236136366105228E-2</v>
      </c>
    </row>
    <row r="253" spans="1:7" x14ac:dyDescent="0.25">
      <c r="A253" s="21">
        <v>45959</v>
      </c>
      <c r="B253" s="5">
        <v>3930.07</v>
      </c>
      <c r="C253" s="5">
        <v>3983.7</v>
      </c>
      <c r="D253" s="5">
        <f t="shared" si="8"/>
        <v>8.2764125164095148</v>
      </c>
      <c r="E253" s="5">
        <f t="shared" si="8"/>
        <v>8.289966314664392</v>
      </c>
      <c r="F253" s="5">
        <f t="shared" si="9"/>
        <v>-4.1944296156723127E-2</v>
      </c>
      <c r="G253" s="5">
        <f t="shared" si="9"/>
        <v>-1.5122172552851865E-2</v>
      </c>
    </row>
    <row r="254" spans="1:7" x14ac:dyDescent="0.25">
      <c r="A254" s="21">
        <v>45966</v>
      </c>
      <c r="B254" s="5">
        <v>3979.57</v>
      </c>
      <c r="C254" s="5">
        <v>3992.9</v>
      </c>
      <c r="D254" s="5">
        <f t="shared" si="8"/>
        <v>8.2889290522407162</v>
      </c>
      <c r="E254" s="5">
        <f t="shared" si="8"/>
        <v>8.2922730629229235</v>
      </c>
      <c r="F254" s="5">
        <f t="shared" si="9"/>
        <v>1.2516535831201381E-2</v>
      </c>
      <c r="G254" s="5">
        <f t="shared" si="9"/>
        <v>2.3067482585314991E-3</v>
      </c>
    </row>
    <row r="255" spans="1:7" x14ac:dyDescent="0.25">
      <c r="A255" s="21">
        <v>45973</v>
      </c>
      <c r="B255" s="5">
        <v>4195.3900000000003</v>
      </c>
      <c r="C255" s="5">
        <v>4213.6000000000004</v>
      </c>
      <c r="D255" s="5">
        <f t="shared" si="8"/>
        <v>8.3417415823988978</v>
      </c>
      <c r="E255" s="5">
        <f t="shared" si="8"/>
        <v>8.3460726681691799</v>
      </c>
      <c r="F255" s="5">
        <f t="shared" si="9"/>
        <v>5.2812530158181659E-2</v>
      </c>
      <c r="G255" s="5">
        <f t="shared" si="9"/>
        <v>5.3799605246256377E-2</v>
      </c>
    </row>
    <row r="256" spans="1:7" x14ac:dyDescent="0.25">
      <c r="A256" s="21">
        <v>45980</v>
      </c>
      <c r="B256" s="5">
        <v>4077.98</v>
      </c>
      <c r="C256" s="5">
        <v>4082.8</v>
      </c>
      <c r="D256" s="5">
        <f t="shared" si="8"/>
        <v>8.3133570467574884</v>
      </c>
      <c r="E256" s="5">
        <f t="shared" si="8"/>
        <v>8.314538306529343</v>
      </c>
      <c r="F256" s="5">
        <f t="shared" si="9"/>
        <v>-2.8384535641409414E-2</v>
      </c>
      <c r="G256" s="5">
        <f t="shared" si="9"/>
        <v>-3.1534361639836916E-2</v>
      </c>
    </row>
    <row r="257" spans="1:7" x14ac:dyDescent="0.25">
      <c r="A257" s="21">
        <v>45987</v>
      </c>
      <c r="B257" s="5">
        <v>4162.1499999999996</v>
      </c>
      <c r="C257" s="5">
        <v>4165.2</v>
      </c>
      <c r="D257" s="5">
        <f t="shared" si="8"/>
        <v>8.3337870466693502</v>
      </c>
      <c r="E257" s="5">
        <f t="shared" si="8"/>
        <v>8.3345195726557417</v>
      </c>
      <c r="F257" s="5">
        <f t="shared" si="9"/>
        <v>2.0429999911861785E-2</v>
      </c>
      <c r="G257" s="5">
        <f t="shared" si="9"/>
        <v>1.9981266126398722E-2</v>
      </c>
    </row>
    <row r="258" spans="1:7" x14ac:dyDescent="0.25">
      <c r="A258" s="21">
        <v>45994</v>
      </c>
      <c r="B258" s="5">
        <v>4203.08</v>
      </c>
      <c r="C258" s="5">
        <v>4199.3</v>
      </c>
      <c r="D258" s="5">
        <f t="shared" si="8"/>
        <v>8.3435728688472892</v>
      </c>
      <c r="E258" s="5">
        <f t="shared" si="8"/>
        <v>8.342673123714361</v>
      </c>
      <c r="F258" s="5">
        <f t="shared" si="9"/>
        <v>9.7858221779389964E-3</v>
      </c>
      <c r="G258" s="5">
        <f t="shared" si="9"/>
        <v>8.1535510586192572E-3</v>
      </c>
    </row>
    <row r="259" spans="1:7" x14ac:dyDescent="0.25">
      <c r="A259" s="21">
        <v>46001</v>
      </c>
      <c r="B259" s="5">
        <v>4228.84</v>
      </c>
      <c r="C259" s="5">
        <v>4196.3999999999996</v>
      </c>
      <c r="D259" s="5">
        <f t="shared" si="8"/>
        <v>8.349683002753455</v>
      </c>
      <c r="E259" s="5">
        <f t="shared" si="8"/>
        <v>8.3419822938573311</v>
      </c>
      <c r="F259" s="5">
        <f t="shared" si="9"/>
        <v>6.1101339061657711E-3</v>
      </c>
      <c r="G259" s="5">
        <f t="shared" si="9"/>
        <v>-6.908298570298399E-4</v>
      </c>
    </row>
    <row r="260" spans="1:7" x14ac:dyDescent="0.25">
      <c r="A260" s="21">
        <v>46008</v>
      </c>
      <c r="B260" s="5">
        <v>4338.33</v>
      </c>
      <c r="C260" s="5">
        <v>4347.5</v>
      </c>
      <c r="D260" s="5">
        <f t="shared" si="8"/>
        <v>8.3752447604160434</v>
      </c>
      <c r="E260" s="5">
        <f t="shared" si="8"/>
        <v>8.3773562462284374</v>
      </c>
      <c r="F260" s="5">
        <f t="shared" si="9"/>
        <v>2.5561757662588391E-2</v>
      </c>
      <c r="G260" s="5">
        <f t="shared" si="9"/>
        <v>3.5373952371106299E-2</v>
      </c>
    </row>
    <row r="261" spans="1:7" x14ac:dyDescent="0.25">
      <c r="A261" s="21">
        <v>46015</v>
      </c>
      <c r="B261" s="5">
        <v>4479.42</v>
      </c>
      <c r="C261" s="5">
        <v>4480.6000000000004</v>
      </c>
      <c r="D261" s="5">
        <f t="shared" si="8"/>
        <v>8.407248852742093</v>
      </c>
      <c r="E261" s="5">
        <f t="shared" si="8"/>
        <v>8.4075122450128283</v>
      </c>
      <c r="F261" s="5">
        <f t="shared" si="9"/>
        <v>3.2004092326049616E-2</v>
      </c>
      <c r="G261" s="5">
        <f t="shared" si="9"/>
        <v>3.0155998784390903E-2</v>
      </c>
    </row>
    <row r="262" spans="1:7" x14ac:dyDescent="0.25">
      <c r="A262" s="21">
        <v>46022</v>
      </c>
      <c r="B262" s="5">
        <v>4319.37</v>
      </c>
      <c r="C262" s="5">
        <v>4341.1000000000004</v>
      </c>
      <c r="D262" s="5">
        <f t="shared" si="8"/>
        <v>8.3708648372701084</v>
      </c>
      <c r="E262" s="5">
        <f t="shared" si="8"/>
        <v>8.3758830512010469</v>
      </c>
      <c r="F262" s="5">
        <f t="shared" si="9"/>
        <v>-3.6384015471984554E-2</v>
      </c>
      <c r="G262" s="5">
        <f t="shared" si="9"/>
        <v>-3.162919381178142E-2</v>
      </c>
    </row>
    <row r="263" spans="1:7" x14ac:dyDescent="0.25">
      <c r="A263" s="21"/>
      <c r="B263" s="21"/>
      <c r="C263" s="5"/>
    </row>
    <row r="264" spans="1:7" x14ac:dyDescent="0.25">
      <c r="A264" s="21"/>
      <c r="B264" s="21"/>
      <c r="C264" s="5"/>
    </row>
    <row r="265" spans="1:7" x14ac:dyDescent="0.25">
      <c r="A265" s="21"/>
      <c r="B265" s="21"/>
      <c r="C265" s="5"/>
    </row>
    <row r="266" spans="1:7" x14ac:dyDescent="0.25">
      <c r="A266" s="21"/>
      <c r="B266" s="21"/>
      <c r="C266" s="5"/>
    </row>
    <row r="267" spans="1:7" x14ac:dyDescent="0.25">
      <c r="A267" s="21"/>
      <c r="B267" s="21"/>
      <c r="C267" s="5"/>
    </row>
    <row r="268" spans="1:7" x14ac:dyDescent="0.25">
      <c r="A268" s="21"/>
      <c r="B268" s="21"/>
      <c r="C268" s="5"/>
    </row>
    <row r="269" spans="1:7" x14ac:dyDescent="0.25">
      <c r="A269" s="21"/>
      <c r="B269" s="21"/>
      <c r="C269" s="5"/>
    </row>
    <row r="270" spans="1:7" x14ac:dyDescent="0.25">
      <c r="A270" s="21"/>
      <c r="B270" s="21"/>
      <c r="C270" s="5"/>
    </row>
    <row r="271" spans="1:7" x14ac:dyDescent="0.25">
      <c r="A271" s="21"/>
      <c r="B271" s="21"/>
      <c r="C271" s="5"/>
    </row>
    <row r="272" spans="1:7" x14ac:dyDescent="0.25">
      <c r="A272" s="21"/>
      <c r="B272" s="21"/>
      <c r="C272" s="5"/>
    </row>
    <row r="273" spans="1:3" x14ac:dyDescent="0.25">
      <c r="A273" s="21"/>
      <c r="B273" s="21"/>
      <c r="C273" s="5"/>
    </row>
    <row r="274" spans="1:3" x14ac:dyDescent="0.25">
      <c r="A274" s="21"/>
      <c r="B274" s="21"/>
      <c r="C274" s="5"/>
    </row>
    <row r="275" spans="1:3" x14ac:dyDescent="0.25">
      <c r="A275" s="21"/>
      <c r="B275" s="21"/>
      <c r="C275" s="5"/>
    </row>
    <row r="276" spans="1:3" x14ac:dyDescent="0.25">
      <c r="A276" s="21"/>
      <c r="B276" s="21"/>
      <c r="C276" s="5"/>
    </row>
    <row r="277" spans="1:3" x14ac:dyDescent="0.25">
      <c r="A277" s="21"/>
      <c r="B277" s="21"/>
      <c r="C277" s="5"/>
    </row>
    <row r="278" spans="1:3" x14ac:dyDescent="0.25">
      <c r="A278" s="21"/>
      <c r="B278" s="21"/>
      <c r="C278" s="5"/>
    </row>
    <row r="279" spans="1:3" x14ac:dyDescent="0.25">
      <c r="A279" s="21"/>
      <c r="B279" s="21"/>
      <c r="C279" s="5"/>
    </row>
    <row r="280" spans="1:3" x14ac:dyDescent="0.25">
      <c r="A280" s="21"/>
      <c r="B280" s="21"/>
      <c r="C280" s="5"/>
    </row>
    <row r="281" spans="1:3" x14ac:dyDescent="0.25">
      <c r="A281" s="21"/>
      <c r="B281" s="21"/>
      <c r="C281" s="5"/>
    </row>
    <row r="282" spans="1:3" x14ac:dyDescent="0.25">
      <c r="A282" s="21"/>
      <c r="B282" s="21"/>
      <c r="C282" s="5"/>
    </row>
    <row r="283" spans="1:3" x14ac:dyDescent="0.25">
      <c r="A283" s="21"/>
      <c r="B283" s="21"/>
      <c r="C283" s="5"/>
    </row>
    <row r="284" spans="1:3" x14ac:dyDescent="0.25">
      <c r="A284" s="21"/>
      <c r="B284" s="21"/>
      <c r="C284" s="5"/>
    </row>
    <row r="285" spans="1:3" x14ac:dyDescent="0.25">
      <c r="A285" s="21"/>
      <c r="B285" s="21"/>
      <c r="C285" s="5"/>
    </row>
    <row r="286" spans="1:3" x14ac:dyDescent="0.25">
      <c r="A286" s="21"/>
      <c r="B286" s="21"/>
      <c r="C286" s="5"/>
    </row>
    <row r="287" spans="1:3" x14ac:dyDescent="0.25">
      <c r="A287" s="21"/>
      <c r="B287" s="21"/>
      <c r="C287" s="5"/>
    </row>
    <row r="288" spans="1:3" x14ac:dyDescent="0.25">
      <c r="A288" s="21"/>
      <c r="B288" s="21"/>
      <c r="C288" s="5"/>
    </row>
    <row r="289" spans="1:3" x14ac:dyDescent="0.25">
      <c r="A289" s="21"/>
      <c r="B289" s="21"/>
      <c r="C289" s="5"/>
    </row>
    <row r="290" spans="1:3" x14ac:dyDescent="0.25">
      <c r="A290" s="21"/>
      <c r="B290" s="21"/>
      <c r="C290" s="5"/>
    </row>
    <row r="291" spans="1:3" x14ac:dyDescent="0.25">
      <c r="A291" s="21"/>
      <c r="B291" s="21"/>
      <c r="C291" s="5"/>
    </row>
    <row r="292" spans="1:3" x14ac:dyDescent="0.25">
      <c r="A292" s="21"/>
      <c r="B292" s="21"/>
      <c r="C292" s="5"/>
    </row>
    <row r="293" spans="1:3" x14ac:dyDescent="0.25">
      <c r="A293" s="21"/>
      <c r="B293" s="21"/>
      <c r="C293" s="5"/>
    </row>
    <row r="294" spans="1:3" x14ac:dyDescent="0.25">
      <c r="A294" s="21"/>
      <c r="B294" s="21"/>
      <c r="C294" s="5"/>
    </row>
    <row r="295" spans="1:3" x14ac:dyDescent="0.25">
      <c r="A295" s="21"/>
      <c r="B295" s="21"/>
      <c r="C295" s="5"/>
    </row>
    <row r="296" spans="1:3" x14ac:dyDescent="0.25">
      <c r="A296" s="21"/>
      <c r="B296" s="21"/>
      <c r="C296" s="5"/>
    </row>
    <row r="297" spans="1:3" x14ac:dyDescent="0.25">
      <c r="A297" s="21"/>
      <c r="B297" s="21"/>
      <c r="C297" s="5"/>
    </row>
    <row r="298" spans="1:3" x14ac:dyDescent="0.25">
      <c r="A298" s="21"/>
      <c r="B298" s="21"/>
      <c r="C298" s="5"/>
    </row>
    <row r="299" spans="1:3" x14ac:dyDescent="0.25">
      <c r="A299" s="21"/>
      <c r="B299" s="21"/>
      <c r="C299" s="5"/>
    </row>
    <row r="300" spans="1:3" x14ac:dyDescent="0.25">
      <c r="A300" s="21"/>
      <c r="B300" s="21"/>
      <c r="C300" s="5"/>
    </row>
    <row r="301" spans="1:3" x14ac:dyDescent="0.25">
      <c r="A301" s="21"/>
      <c r="B301" s="21"/>
      <c r="C301" s="5"/>
    </row>
    <row r="302" spans="1:3" x14ac:dyDescent="0.25">
      <c r="A302" s="21"/>
      <c r="B302" s="21"/>
      <c r="C302" s="5"/>
    </row>
    <row r="303" spans="1:3" x14ac:dyDescent="0.25">
      <c r="A303" s="21"/>
      <c r="B303" s="21"/>
      <c r="C303" s="5"/>
    </row>
    <row r="304" spans="1:3" x14ac:dyDescent="0.25">
      <c r="A304" s="21"/>
      <c r="B304" s="21"/>
      <c r="C304" s="5"/>
    </row>
    <row r="305" spans="1:3" x14ac:dyDescent="0.25">
      <c r="A305" s="21"/>
      <c r="B305" s="21"/>
      <c r="C305" s="5"/>
    </row>
    <row r="306" spans="1:3" x14ac:dyDescent="0.25">
      <c r="A306" s="21"/>
      <c r="B306" s="21"/>
      <c r="C306" s="5"/>
    </row>
    <row r="307" spans="1:3" x14ac:dyDescent="0.25">
      <c r="A307" s="21"/>
      <c r="B307" s="21"/>
      <c r="C307" s="5"/>
    </row>
    <row r="308" spans="1:3" x14ac:dyDescent="0.25">
      <c r="A308" s="21"/>
      <c r="B308" s="21"/>
      <c r="C308" s="5"/>
    </row>
    <row r="309" spans="1:3" x14ac:dyDescent="0.25">
      <c r="A309" s="21"/>
      <c r="B309" s="21"/>
      <c r="C309" s="5"/>
    </row>
    <row r="310" spans="1:3" x14ac:dyDescent="0.25">
      <c r="A310" s="21"/>
      <c r="B310" s="21"/>
      <c r="C310" s="5"/>
    </row>
    <row r="311" spans="1:3" x14ac:dyDescent="0.25">
      <c r="A311" s="21"/>
      <c r="B311" s="21"/>
      <c r="C311" s="5"/>
    </row>
    <row r="312" spans="1:3" x14ac:dyDescent="0.25">
      <c r="A312" s="21"/>
      <c r="B312" s="21"/>
      <c r="C312" s="5"/>
    </row>
    <row r="313" spans="1:3" x14ac:dyDescent="0.25">
      <c r="A313" s="21"/>
      <c r="B313" s="21"/>
      <c r="C313" s="5"/>
    </row>
    <row r="314" spans="1:3" x14ac:dyDescent="0.25">
      <c r="A314" s="21"/>
      <c r="B314" s="21"/>
      <c r="C314" s="5"/>
    </row>
    <row r="315" spans="1:3" x14ac:dyDescent="0.25">
      <c r="A315" s="21"/>
      <c r="B315" s="21"/>
      <c r="C315" s="5"/>
    </row>
    <row r="316" spans="1:3" x14ac:dyDescent="0.25">
      <c r="A316" s="21"/>
      <c r="B316" s="21"/>
      <c r="C316" s="5"/>
    </row>
    <row r="317" spans="1:3" x14ac:dyDescent="0.25">
      <c r="A317" s="21"/>
      <c r="B317" s="21"/>
      <c r="C317" s="5"/>
    </row>
    <row r="318" spans="1:3" x14ac:dyDescent="0.25">
      <c r="A318" s="21"/>
      <c r="B318" s="21"/>
      <c r="C318" s="5"/>
    </row>
    <row r="319" spans="1:3" x14ac:dyDescent="0.25">
      <c r="A319" s="21"/>
      <c r="B319" s="21"/>
      <c r="C319" s="5"/>
    </row>
    <row r="320" spans="1:3" x14ac:dyDescent="0.25">
      <c r="A320" s="21"/>
      <c r="B320" s="21"/>
      <c r="C320" s="5"/>
    </row>
    <row r="321" spans="1:3" x14ac:dyDescent="0.25">
      <c r="A321" s="21"/>
      <c r="B321" s="21"/>
      <c r="C321" s="5"/>
    </row>
    <row r="322" spans="1:3" x14ac:dyDescent="0.25">
      <c r="A322" s="21"/>
      <c r="B322" s="21"/>
      <c r="C322" s="5"/>
    </row>
    <row r="323" spans="1:3" x14ac:dyDescent="0.25">
      <c r="A323" s="21"/>
      <c r="B323" s="21"/>
      <c r="C323" s="5"/>
    </row>
    <row r="324" spans="1:3" x14ac:dyDescent="0.25">
      <c r="A324" s="21"/>
      <c r="B324" s="21"/>
      <c r="C324" s="5"/>
    </row>
    <row r="325" spans="1:3" x14ac:dyDescent="0.25">
      <c r="A325" s="21"/>
      <c r="B325" s="21"/>
      <c r="C325" s="5"/>
    </row>
    <row r="326" spans="1:3" x14ac:dyDescent="0.25">
      <c r="A326" s="21"/>
      <c r="B326" s="21"/>
      <c r="C326" s="5"/>
    </row>
    <row r="327" spans="1:3" x14ac:dyDescent="0.25">
      <c r="A327" s="21"/>
      <c r="B327" s="21"/>
      <c r="C327" s="5"/>
    </row>
    <row r="328" spans="1:3" x14ac:dyDescent="0.25">
      <c r="A328" s="21"/>
      <c r="B328" s="21"/>
      <c r="C328" s="5"/>
    </row>
    <row r="329" spans="1:3" x14ac:dyDescent="0.25">
      <c r="A329" s="21"/>
      <c r="B329" s="21"/>
      <c r="C329" s="5"/>
    </row>
    <row r="330" spans="1:3" x14ac:dyDescent="0.25">
      <c r="A330" s="21"/>
      <c r="B330" s="21"/>
      <c r="C330" s="5"/>
    </row>
    <row r="331" spans="1:3" x14ac:dyDescent="0.25">
      <c r="A331" s="21"/>
      <c r="B331" s="21"/>
      <c r="C331" s="5"/>
    </row>
    <row r="332" spans="1:3" x14ac:dyDescent="0.25">
      <c r="A332" s="21"/>
      <c r="B332" s="21"/>
      <c r="C332" s="5"/>
    </row>
    <row r="333" spans="1:3" x14ac:dyDescent="0.25">
      <c r="A333" s="21"/>
      <c r="B333" s="21"/>
      <c r="C333" s="5"/>
    </row>
    <row r="334" spans="1:3" x14ac:dyDescent="0.25">
      <c r="A334" s="21"/>
      <c r="B334" s="21"/>
      <c r="C334" s="5"/>
    </row>
    <row r="335" spans="1:3" x14ac:dyDescent="0.25">
      <c r="A335" s="21"/>
      <c r="B335" s="21"/>
      <c r="C335" s="5"/>
    </row>
    <row r="336" spans="1:3" x14ac:dyDescent="0.25">
      <c r="A336" s="21"/>
      <c r="B336" s="21"/>
      <c r="C336" s="5"/>
    </row>
    <row r="337" spans="1:3" x14ac:dyDescent="0.25">
      <c r="A337" s="21"/>
      <c r="B337" s="21"/>
      <c r="C337" s="5"/>
    </row>
    <row r="338" spans="1:3" x14ac:dyDescent="0.25">
      <c r="A338" s="21"/>
      <c r="B338" s="21"/>
      <c r="C338" s="5"/>
    </row>
    <row r="339" spans="1:3" x14ac:dyDescent="0.25">
      <c r="A339" s="21"/>
      <c r="B339" s="21"/>
      <c r="C339" s="5"/>
    </row>
    <row r="340" spans="1:3" x14ac:dyDescent="0.25">
      <c r="A340" s="21"/>
      <c r="B340" s="21"/>
      <c r="C340" s="5"/>
    </row>
    <row r="341" spans="1:3" x14ac:dyDescent="0.25">
      <c r="A341" s="21"/>
      <c r="B341" s="21"/>
      <c r="C341" s="5"/>
    </row>
    <row r="342" spans="1:3" x14ac:dyDescent="0.25">
      <c r="A342" s="21"/>
      <c r="B342" s="21"/>
      <c r="C342" s="5"/>
    </row>
    <row r="343" spans="1:3" x14ac:dyDescent="0.25">
      <c r="A343" s="21"/>
      <c r="B343" s="21"/>
      <c r="C343" s="5"/>
    </row>
    <row r="344" spans="1:3" x14ac:dyDescent="0.25">
      <c r="A344" s="21"/>
      <c r="B344" s="21"/>
      <c r="C344" s="5"/>
    </row>
    <row r="345" spans="1:3" x14ac:dyDescent="0.25">
      <c r="A345" s="21"/>
      <c r="B345" s="21"/>
      <c r="C345" s="5"/>
    </row>
    <row r="346" spans="1:3" x14ac:dyDescent="0.25">
      <c r="A346" s="21"/>
      <c r="B346" s="21"/>
      <c r="C346" s="5"/>
    </row>
    <row r="347" spans="1:3" x14ac:dyDescent="0.25">
      <c r="A347" s="21"/>
      <c r="B347" s="21"/>
      <c r="C347" s="5"/>
    </row>
    <row r="348" spans="1:3" x14ac:dyDescent="0.25">
      <c r="A348" s="21"/>
      <c r="B348" s="21"/>
      <c r="C348" s="5"/>
    </row>
    <row r="349" spans="1:3" x14ac:dyDescent="0.25">
      <c r="A349" s="21"/>
      <c r="B349" s="21"/>
      <c r="C349" s="5"/>
    </row>
    <row r="350" spans="1:3" x14ac:dyDescent="0.25">
      <c r="A350" s="21"/>
      <c r="B350" s="21"/>
      <c r="C350" s="5"/>
    </row>
    <row r="351" spans="1:3" x14ac:dyDescent="0.25">
      <c r="A351" s="21"/>
      <c r="B351" s="21"/>
      <c r="C351" s="5"/>
    </row>
    <row r="352" spans="1:3" x14ac:dyDescent="0.25">
      <c r="A352" s="21"/>
      <c r="B352" s="21"/>
      <c r="C352" s="5"/>
    </row>
    <row r="353" spans="1:3" x14ac:dyDescent="0.25">
      <c r="A353" s="21"/>
      <c r="B353" s="21"/>
      <c r="C353" s="5"/>
    </row>
    <row r="354" spans="1:3" x14ac:dyDescent="0.25">
      <c r="A354" s="21"/>
      <c r="B354" s="21"/>
      <c r="C354" s="5"/>
    </row>
    <row r="355" spans="1:3" x14ac:dyDescent="0.25">
      <c r="A355" s="21"/>
      <c r="B355" s="21"/>
      <c r="C355" s="5"/>
    </row>
    <row r="356" spans="1:3" x14ac:dyDescent="0.25">
      <c r="A356" s="21"/>
      <c r="B356" s="21"/>
      <c r="C356" s="5"/>
    </row>
    <row r="357" spans="1:3" x14ac:dyDescent="0.25">
      <c r="A357" s="21"/>
      <c r="B357" s="21"/>
      <c r="C357" s="5"/>
    </row>
    <row r="358" spans="1:3" x14ac:dyDescent="0.25">
      <c r="A358" s="21"/>
      <c r="B358" s="21"/>
      <c r="C358" s="5"/>
    </row>
    <row r="359" spans="1:3" x14ac:dyDescent="0.25">
      <c r="A359" s="21"/>
      <c r="B359" s="21"/>
      <c r="C359" s="5"/>
    </row>
    <row r="360" spans="1:3" x14ac:dyDescent="0.25">
      <c r="A360" s="21"/>
      <c r="B360" s="21"/>
      <c r="C360" s="5"/>
    </row>
    <row r="361" spans="1:3" x14ac:dyDescent="0.25">
      <c r="A361" s="21"/>
      <c r="B361" s="21"/>
      <c r="C361" s="5"/>
    </row>
    <row r="362" spans="1:3" x14ac:dyDescent="0.25">
      <c r="A362" s="21"/>
      <c r="B362" s="21"/>
      <c r="C362" s="5"/>
    </row>
    <row r="363" spans="1:3" x14ac:dyDescent="0.25">
      <c r="A363" s="21"/>
      <c r="B363" s="21"/>
      <c r="C363" s="5"/>
    </row>
    <row r="364" spans="1:3" x14ac:dyDescent="0.25">
      <c r="A364" s="21"/>
      <c r="B364" s="21"/>
      <c r="C364" s="5"/>
    </row>
    <row r="365" spans="1:3" x14ac:dyDescent="0.25">
      <c r="A365" s="21"/>
      <c r="B365" s="21"/>
      <c r="C365" s="5"/>
    </row>
    <row r="366" spans="1:3" x14ac:dyDescent="0.25">
      <c r="A366" s="21"/>
      <c r="B366" s="21"/>
      <c r="C366" s="5"/>
    </row>
    <row r="367" spans="1:3" x14ac:dyDescent="0.25">
      <c r="A367" s="21"/>
      <c r="B367" s="21"/>
      <c r="C367" s="5"/>
    </row>
    <row r="368" spans="1:3" x14ac:dyDescent="0.25">
      <c r="A368" s="21"/>
      <c r="B368" s="21"/>
      <c r="C368" s="5"/>
    </row>
    <row r="369" spans="1:3" x14ac:dyDescent="0.25">
      <c r="A369" s="21"/>
      <c r="B369" s="21"/>
      <c r="C369" s="5"/>
    </row>
    <row r="370" spans="1:3" x14ac:dyDescent="0.25">
      <c r="A370" s="21"/>
      <c r="B370" s="21"/>
      <c r="C370" s="5"/>
    </row>
    <row r="371" spans="1:3" x14ac:dyDescent="0.25">
      <c r="A371" s="21"/>
      <c r="B371" s="21"/>
      <c r="C371" s="5"/>
    </row>
    <row r="372" spans="1:3" x14ac:dyDescent="0.25">
      <c r="A372" s="21"/>
      <c r="B372" s="21"/>
      <c r="C372" s="5"/>
    </row>
    <row r="373" spans="1:3" x14ac:dyDescent="0.25">
      <c r="A373" s="21"/>
      <c r="B373" s="21"/>
      <c r="C373" s="5"/>
    </row>
    <row r="374" spans="1:3" x14ac:dyDescent="0.25">
      <c r="A374" s="21"/>
      <c r="B374" s="21"/>
      <c r="C374" s="5"/>
    </row>
    <row r="375" spans="1:3" x14ac:dyDescent="0.25">
      <c r="A375" s="21"/>
      <c r="B375" s="21"/>
      <c r="C375" s="5"/>
    </row>
    <row r="376" spans="1:3" x14ac:dyDescent="0.25">
      <c r="A376" s="21"/>
      <c r="B376" s="21"/>
      <c r="C376" s="5"/>
    </row>
    <row r="377" spans="1:3" x14ac:dyDescent="0.25">
      <c r="A377" s="21"/>
      <c r="B377" s="21"/>
      <c r="C377" s="5"/>
    </row>
    <row r="378" spans="1:3" x14ac:dyDescent="0.25">
      <c r="A378" s="21"/>
      <c r="B378" s="21"/>
      <c r="C378" s="5"/>
    </row>
    <row r="379" spans="1:3" x14ac:dyDescent="0.25">
      <c r="A379" s="21"/>
      <c r="B379" s="21"/>
      <c r="C379" s="5"/>
    </row>
    <row r="380" spans="1:3" x14ac:dyDescent="0.25">
      <c r="A380" s="21"/>
      <c r="B380" s="21"/>
      <c r="C380" s="5"/>
    </row>
    <row r="381" spans="1:3" x14ac:dyDescent="0.25">
      <c r="A381" s="21"/>
      <c r="B381" s="21"/>
      <c r="C381" s="5"/>
    </row>
    <row r="382" spans="1:3" x14ac:dyDescent="0.25">
      <c r="A382" s="21"/>
      <c r="B382" s="21"/>
      <c r="C382" s="5"/>
    </row>
    <row r="383" spans="1:3" x14ac:dyDescent="0.25">
      <c r="A383" s="21"/>
      <c r="B383" s="21"/>
      <c r="C383" s="5"/>
    </row>
    <row r="384" spans="1:3" x14ac:dyDescent="0.25">
      <c r="A384" s="21"/>
      <c r="B384" s="21"/>
      <c r="C384" s="5"/>
    </row>
    <row r="385" spans="1:3" x14ac:dyDescent="0.25">
      <c r="A385" s="21"/>
      <c r="B385" s="21"/>
      <c r="C385" s="5"/>
    </row>
    <row r="386" spans="1:3" x14ac:dyDescent="0.25">
      <c r="A386" s="21"/>
      <c r="B386" s="21"/>
      <c r="C386" s="5"/>
    </row>
    <row r="387" spans="1:3" x14ac:dyDescent="0.25">
      <c r="A387" s="21"/>
      <c r="B387" s="21"/>
      <c r="C387" s="5"/>
    </row>
    <row r="388" spans="1:3" x14ac:dyDescent="0.25">
      <c r="A388" s="21"/>
      <c r="B388" s="21"/>
      <c r="C388" s="5"/>
    </row>
    <row r="389" spans="1:3" x14ac:dyDescent="0.25">
      <c r="A389" s="21"/>
      <c r="B389" s="21"/>
      <c r="C389" s="5"/>
    </row>
    <row r="390" spans="1:3" x14ac:dyDescent="0.25">
      <c r="A390" s="21"/>
      <c r="B390" s="21"/>
      <c r="C390" s="5"/>
    </row>
    <row r="391" spans="1:3" x14ac:dyDescent="0.25">
      <c r="A391" s="21"/>
      <c r="B391" s="21"/>
      <c r="C391" s="5"/>
    </row>
    <row r="392" spans="1:3" x14ac:dyDescent="0.25">
      <c r="A392" s="21"/>
      <c r="B392" s="21"/>
      <c r="C392" s="5"/>
    </row>
    <row r="393" spans="1:3" x14ac:dyDescent="0.25">
      <c r="A393" s="21"/>
      <c r="B393" s="21"/>
      <c r="C393" s="5"/>
    </row>
    <row r="394" spans="1:3" x14ac:dyDescent="0.25">
      <c r="A394" s="21"/>
      <c r="B394" s="21"/>
      <c r="C394" s="5"/>
    </row>
    <row r="395" spans="1:3" x14ac:dyDescent="0.25">
      <c r="A395" s="21"/>
      <c r="B395" s="21"/>
      <c r="C395" s="5"/>
    </row>
    <row r="396" spans="1:3" x14ac:dyDescent="0.25">
      <c r="A396" s="21"/>
      <c r="B396" s="21"/>
      <c r="C396" s="5"/>
    </row>
    <row r="397" spans="1:3" x14ac:dyDescent="0.25">
      <c r="A397" s="21"/>
      <c r="B397" s="21"/>
      <c r="C397" s="5"/>
    </row>
    <row r="398" spans="1:3" x14ac:dyDescent="0.25">
      <c r="A398" s="21"/>
      <c r="B398" s="21"/>
      <c r="C398" s="5"/>
    </row>
    <row r="399" spans="1:3" x14ac:dyDescent="0.25">
      <c r="A399" s="21"/>
      <c r="B399" s="21"/>
      <c r="C399" s="5"/>
    </row>
    <row r="400" spans="1:3" x14ac:dyDescent="0.25">
      <c r="A400" s="21"/>
      <c r="B400" s="21"/>
      <c r="C400" s="5"/>
    </row>
    <row r="401" spans="1:3" x14ac:dyDescent="0.25">
      <c r="A401" s="21"/>
      <c r="B401" s="21"/>
      <c r="C401" s="5"/>
    </row>
    <row r="402" spans="1:3" x14ac:dyDescent="0.25">
      <c r="A402" s="21"/>
      <c r="B402" s="21"/>
      <c r="C402" s="5"/>
    </row>
    <row r="403" spans="1:3" x14ac:dyDescent="0.25">
      <c r="A403" s="21"/>
      <c r="B403" s="21"/>
      <c r="C403" s="5"/>
    </row>
    <row r="404" spans="1:3" x14ac:dyDescent="0.25">
      <c r="A404" s="21"/>
      <c r="B404" s="21"/>
      <c r="C404" s="5"/>
    </row>
    <row r="405" spans="1:3" x14ac:dyDescent="0.25">
      <c r="A405" s="21"/>
      <c r="B405" s="21"/>
      <c r="C405" s="5"/>
    </row>
    <row r="406" spans="1:3" x14ac:dyDescent="0.25">
      <c r="A406" s="21"/>
      <c r="B406" s="21"/>
      <c r="C406" s="5"/>
    </row>
    <row r="407" spans="1:3" x14ac:dyDescent="0.25">
      <c r="A407" s="21"/>
      <c r="B407" s="21"/>
      <c r="C407" s="5"/>
    </row>
    <row r="408" spans="1:3" x14ac:dyDescent="0.25">
      <c r="A408" s="21"/>
      <c r="B408" s="21"/>
      <c r="C408" s="5"/>
    </row>
    <row r="409" spans="1:3" x14ac:dyDescent="0.25">
      <c r="A409" s="21"/>
      <c r="B409" s="21"/>
      <c r="C409" s="5"/>
    </row>
    <row r="410" spans="1:3" x14ac:dyDescent="0.25">
      <c r="A410" s="21"/>
      <c r="B410" s="21"/>
      <c r="C410" s="5"/>
    </row>
    <row r="411" spans="1:3" x14ac:dyDescent="0.25">
      <c r="A411" s="21"/>
      <c r="B411" s="21"/>
      <c r="C411" s="5"/>
    </row>
    <row r="412" spans="1:3" x14ac:dyDescent="0.25">
      <c r="A412" s="21"/>
      <c r="B412" s="21"/>
      <c r="C412" s="5"/>
    </row>
    <row r="413" spans="1:3" x14ac:dyDescent="0.25">
      <c r="A413" s="21"/>
      <c r="B413" s="21"/>
      <c r="C413" s="5"/>
    </row>
    <row r="414" spans="1:3" x14ac:dyDescent="0.25">
      <c r="A414" s="21"/>
      <c r="B414" s="21"/>
      <c r="C414" s="5"/>
    </row>
    <row r="415" spans="1:3" x14ac:dyDescent="0.25">
      <c r="A415" s="21"/>
      <c r="B415" s="21"/>
      <c r="C415" s="5"/>
    </row>
    <row r="416" spans="1:3" x14ac:dyDescent="0.25">
      <c r="A416" s="21"/>
      <c r="B416" s="21"/>
      <c r="C416" s="5"/>
    </row>
    <row r="417" spans="1:3" x14ac:dyDescent="0.25">
      <c r="A417" s="21"/>
      <c r="B417" s="21"/>
      <c r="C417" s="5"/>
    </row>
    <row r="418" spans="1:3" x14ac:dyDescent="0.25">
      <c r="A418" s="21"/>
      <c r="B418" s="21"/>
      <c r="C418" s="5"/>
    </row>
    <row r="419" spans="1:3" x14ac:dyDescent="0.25">
      <c r="A419" s="21"/>
      <c r="B419" s="21"/>
      <c r="C419" s="5"/>
    </row>
    <row r="420" spans="1:3" x14ac:dyDescent="0.25">
      <c r="A420" s="21"/>
      <c r="B420" s="21"/>
      <c r="C420" s="5"/>
    </row>
    <row r="421" spans="1:3" x14ac:dyDescent="0.25">
      <c r="A421" s="21"/>
      <c r="B421" s="21"/>
      <c r="C421" s="5"/>
    </row>
    <row r="422" spans="1:3" x14ac:dyDescent="0.25">
      <c r="A422" s="21"/>
      <c r="B422" s="21"/>
      <c r="C422" s="5"/>
    </row>
    <row r="423" spans="1:3" x14ac:dyDescent="0.25">
      <c r="A423" s="21"/>
      <c r="B423" s="21"/>
      <c r="C423" s="5"/>
    </row>
    <row r="424" spans="1:3" x14ac:dyDescent="0.25">
      <c r="A424" s="21"/>
      <c r="B424" s="21"/>
      <c r="C424" s="5"/>
    </row>
    <row r="425" spans="1:3" x14ac:dyDescent="0.25">
      <c r="A425" s="21"/>
      <c r="B425" s="21"/>
      <c r="C425" s="5"/>
    </row>
    <row r="426" spans="1:3" x14ac:dyDescent="0.25">
      <c r="A426" s="21"/>
      <c r="B426" s="21"/>
      <c r="C426" s="5"/>
    </row>
    <row r="427" spans="1:3" x14ac:dyDescent="0.25">
      <c r="A427" s="21"/>
      <c r="B427" s="21"/>
      <c r="C427" s="5"/>
    </row>
    <row r="428" spans="1:3" x14ac:dyDescent="0.25">
      <c r="A428" s="21"/>
      <c r="B428" s="21"/>
      <c r="C428" s="5"/>
    </row>
    <row r="429" spans="1:3" x14ac:dyDescent="0.25">
      <c r="A429" s="21"/>
      <c r="B429" s="21"/>
      <c r="C429" s="5"/>
    </row>
    <row r="430" spans="1:3" x14ac:dyDescent="0.25">
      <c r="A430" s="21"/>
      <c r="B430" s="21"/>
      <c r="C430" s="5"/>
    </row>
    <row r="431" spans="1:3" x14ac:dyDescent="0.25">
      <c r="A431" s="21"/>
      <c r="B431" s="21"/>
      <c r="C431" s="5"/>
    </row>
    <row r="432" spans="1:3" x14ac:dyDescent="0.25">
      <c r="A432" s="21"/>
      <c r="B432" s="21"/>
      <c r="C432" s="5"/>
    </row>
    <row r="433" spans="1:3" x14ac:dyDescent="0.25">
      <c r="A433" s="21"/>
      <c r="B433" s="21"/>
      <c r="C433" s="5"/>
    </row>
    <row r="434" spans="1:3" x14ac:dyDescent="0.25">
      <c r="A434" s="21"/>
      <c r="B434" s="21"/>
      <c r="C434" s="5"/>
    </row>
    <row r="435" spans="1:3" x14ac:dyDescent="0.25">
      <c r="A435" s="21"/>
      <c r="B435" s="21"/>
      <c r="C435" s="5"/>
    </row>
    <row r="436" spans="1:3" x14ac:dyDescent="0.25">
      <c r="A436" s="21"/>
      <c r="B436" s="21"/>
      <c r="C436" s="5"/>
    </row>
    <row r="437" spans="1:3" x14ac:dyDescent="0.25">
      <c r="A437" s="21"/>
      <c r="B437" s="21"/>
      <c r="C437" s="5"/>
    </row>
    <row r="438" spans="1:3" x14ac:dyDescent="0.25">
      <c r="A438" s="21"/>
      <c r="B438" s="21"/>
      <c r="C438" s="5"/>
    </row>
    <row r="439" spans="1:3" x14ac:dyDescent="0.25">
      <c r="A439" s="21"/>
      <c r="B439" s="21"/>
      <c r="C439" s="5"/>
    </row>
    <row r="440" spans="1:3" x14ac:dyDescent="0.25">
      <c r="A440" s="21"/>
      <c r="B440" s="21"/>
      <c r="C440" s="5"/>
    </row>
    <row r="441" spans="1:3" x14ac:dyDescent="0.25">
      <c r="A441" s="21"/>
      <c r="B441" s="21"/>
      <c r="C441" s="5"/>
    </row>
    <row r="442" spans="1:3" x14ac:dyDescent="0.25">
      <c r="A442" s="21"/>
      <c r="B442" s="21"/>
      <c r="C442" s="5"/>
    </row>
    <row r="443" spans="1:3" x14ac:dyDescent="0.25">
      <c r="A443" s="21"/>
      <c r="B443" s="21"/>
      <c r="C443" s="5"/>
    </row>
    <row r="444" spans="1:3" x14ac:dyDescent="0.25">
      <c r="A444" s="21"/>
      <c r="B444" s="21"/>
      <c r="C444" s="5"/>
    </row>
    <row r="445" spans="1:3" x14ac:dyDescent="0.25">
      <c r="A445" s="21"/>
      <c r="B445" s="21"/>
      <c r="C445" s="5"/>
    </row>
    <row r="446" spans="1:3" x14ac:dyDescent="0.25">
      <c r="A446" s="21"/>
      <c r="B446" s="21"/>
      <c r="C446" s="5"/>
    </row>
    <row r="447" spans="1:3" x14ac:dyDescent="0.25">
      <c r="A447" s="21"/>
      <c r="B447" s="21"/>
      <c r="C447" s="5"/>
    </row>
    <row r="448" spans="1:3" x14ac:dyDescent="0.25">
      <c r="A448" s="21"/>
      <c r="B448" s="21"/>
      <c r="C448" s="5"/>
    </row>
    <row r="449" spans="1:3" x14ac:dyDescent="0.25">
      <c r="A449" s="21"/>
      <c r="B449" s="21"/>
      <c r="C449" s="5"/>
    </row>
    <row r="450" spans="1:3" x14ac:dyDescent="0.25">
      <c r="A450" s="21"/>
      <c r="B450" s="21"/>
      <c r="C450" s="5"/>
    </row>
    <row r="451" spans="1:3" x14ac:dyDescent="0.25">
      <c r="A451" s="21"/>
      <c r="B451" s="21"/>
      <c r="C451" s="5"/>
    </row>
    <row r="452" spans="1:3" x14ac:dyDescent="0.25">
      <c r="A452" s="21"/>
      <c r="B452" s="21"/>
      <c r="C452" s="5"/>
    </row>
    <row r="453" spans="1:3" x14ac:dyDescent="0.25">
      <c r="A453" s="21"/>
      <c r="B453" s="21"/>
      <c r="C453" s="5"/>
    </row>
    <row r="454" spans="1:3" x14ac:dyDescent="0.25">
      <c r="A454" s="21"/>
      <c r="B454" s="21"/>
      <c r="C454" s="5"/>
    </row>
    <row r="455" spans="1:3" x14ac:dyDescent="0.25">
      <c r="A455" s="21"/>
      <c r="B455" s="21"/>
      <c r="C455" s="5"/>
    </row>
    <row r="456" spans="1:3" x14ac:dyDescent="0.25">
      <c r="A456" s="21"/>
      <c r="B456" s="21"/>
      <c r="C456" s="5"/>
    </row>
    <row r="457" spans="1:3" x14ac:dyDescent="0.25">
      <c r="A457" s="21"/>
      <c r="B457" s="21"/>
      <c r="C457" s="5"/>
    </row>
    <row r="458" spans="1:3" x14ac:dyDescent="0.25">
      <c r="A458" s="21"/>
      <c r="B458" s="21"/>
      <c r="C458" s="5"/>
    </row>
    <row r="459" spans="1:3" x14ac:dyDescent="0.25">
      <c r="A459" s="21"/>
      <c r="B459" s="21"/>
      <c r="C459" s="5"/>
    </row>
    <row r="460" spans="1:3" x14ac:dyDescent="0.25">
      <c r="A460" s="21"/>
      <c r="B460" s="21"/>
      <c r="C460" s="5"/>
    </row>
    <row r="461" spans="1:3" x14ac:dyDescent="0.25">
      <c r="A461" s="21"/>
      <c r="B461" s="21"/>
      <c r="C461" s="5"/>
    </row>
    <row r="462" spans="1:3" x14ac:dyDescent="0.25">
      <c r="A462" s="21"/>
      <c r="B462" s="21"/>
      <c r="C462" s="5"/>
    </row>
    <row r="463" spans="1:3" x14ac:dyDescent="0.25">
      <c r="A463" s="21"/>
      <c r="B463" s="21"/>
      <c r="C463" s="5"/>
    </row>
    <row r="464" spans="1:3" x14ac:dyDescent="0.25">
      <c r="A464" s="21"/>
      <c r="B464" s="21"/>
      <c r="C464" s="5"/>
    </row>
    <row r="465" spans="1:3" x14ac:dyDescent="0.25">
      <c r="A465" s="21"/>
      <c r="B465" s="21"/>
      <c r="C465" s="5"/>
    </row>
    <row r="466" spans="1:3" x14ac:dyDescent="0.25">
      <c r="A466" s="21"/>
      <c r="B466" s="21"/>
      <c r="C466" s="5"/>
    </row>
    <row r="467" spans="1:3" x14ac:dyDescent="0.25">
      <c r="A467" s="21"/>
      <c r="B467" s="21"/>
      <c r="C467" s="5"/>
    </row>
    <row r="468" spans="1:3" x14ac:dyDescent="0.25">
      <c r="A468" s="21"/>
      <c r="B468" s="21"/>
      <c r="C468" s="5"/>
    </row>
    <row r="469" spans="1:3" x14ac:dyDescent="0.25">
      <c r="A469" s="21"/>
      <c r="B469" s="21"/>
      <c r="C469" s="5"/>
    </row>
    <row r="470" spans="1:3" x14ac:dyDescent="0.25">
      <c r="A470" s="21"/>
      <c r="B470" s="21"/>
      <c r="C470" s="5"/>
    </row>
    <row r="471" spans="1:3" x14ac:dyDescent="0.25">
      <c r="A471" s="21"/>
      <c r="B471" s="21"/>
      <c r="C471" s="5"/>
    </row>
    <row r="472" spans="1:3" x14ac:dyDescent="0.25">
      <c r="A472" s="21"/>
      <c r="B472" s="21"/>
      <c r="C472" s="5"/>
    </row>
    <row r="473" spans="1:3" x14ac:dyDescent="0.25">
      <c r="A473" s="21"/>
      <c r="B473" s="21"/>
      <c r="C473" s="5"/>
    </row>
    <row r="474" spans="1:3" x14ac:dyDescent="0.25">
      <c r="A474" s="21"/>
      <c r="B474" s="21"/>
      <c r="C474" s="5"/>
    </row>
    <row r="475" spans="1:3" x14ac:dyDescent="0.25">
      <c r="A475" s="21"/>
      <c r="B475" s="21"/>
      <c r="C475" s="5"/>
    </row>
    <row r="476" spans="1:3" x14ac:dyDescent="0.25">
      <c r="A476" s="21"/>
      <c r="B476" s="21"/>
      <c r="C476" s="5"/>
    </row>
    <row r="477" spans="1:3" x14ac:dyDescent="0.25">
      <c r="A477" s="21"/>
      <c r="B477" s="21"/>
      <c r="C477" s="5"/>
    </row>
    <row r="478" spans="1:3" x14ac:dyDescent="0.25">
      <c r="A478" s="21"/>
      <c r="B478" s="21"/>
      <c r="C478" s="5"/>
    </row>
    <row r="479" spans="1:3" x14ac:dyDescent="0.25">
      <c r="A479" s="21"/>
      <c r="B479" s="21"/>
      <c r="C479" s="5"/>
    </row>
    <row r="480" spans="1:3" x14ac:dyDescent="0.25">
      <c r="A480" s="21"/>
      <c r="B480" s="21"/>
      <c r="C480" s="5"/>
    </row>
    <row r="481" spans="1:3" x14ac:dyDescent="0.25">
      <c r="A481" s="21"/>
      <c r="B481" s="21"/>
      <c r="C481" s="5"/>
    </row>
    <row r="482" spans="1:3" x14ac:dyDescent="0.25">
      <c r="A482" s="21"/>
      <c r="B482" s="21"/>
      <c r="C482" s="5"/>
    </row>
    <row r="483" spans="1:3" x14ac:dyDescent="0.25">
      <c r="A483" s="21"/>
      <c r="B483" s="21"/>
      <c r="C483" s="5"/>
    </row>
    <row r="484" spans="1:3" x14ac:dyDescent="0.25">
      <c r="A484" s="21"/>
      <c r="B484" s="21"/>
      <c r="C484" s="5"/>
    </row>
    <row r="485" spans="1:3" x14ac:dyDescent="0.25">
      <c r="A485" s="21"/>
      <c r="B485" s="21"/>
      <c r="C485" s="5"/>
    </row>
    <row r="486" spans="1:3" x14ac:dyDescent="0.25">
      <c r="A486" s="21"/>
      <c r="B486" s="21"/>
      <c r="C486" s="5"/>
    </row>
    <row r="487" spans="1:3" x14ac:dyDescent="0.25">
      <c r="A487" s="21"/>
      <c r="B487" s="21"/>
      <c r="C487" s="5"/>
    </row>
    <row r="488" spans="1:3" x14ac:dyDescent="0.25">
      <c r="A488" s="21"/>
      <c r="B488" s="21"/>
      <c r="C488" s="5"/>
    </row>
    <row r="489" spans="1:3" x14ac:dyDescent="0.25">
      <c r="A489" s="21"/>
      <c r="B489" s="21"/>
      <c r="C489" s="5"/>
    </row>
    <row r="490" spans="1:3" x14ac:dyDescent="0.25">
      <c r="A490" s="21"/>
      <c r="B490" s="21"/>
      <c r="C490" s="5"/>
    </row>
    <row r="491" spans="1:3" x14ac:dyDescent="0.25">
      <c r="A491" s="21"/>
      <c r="B491" s="21"/>
      <c r="C491" s="5"/>
    </row>
    <row r="492" spans="1:3" x14ac:dyDescent="0.25">
      <c r="A492" s="21"/>
      <c r="B492" s="21"/>
      <c r="C492" s="5"/>
    </row>
    <row r="493" spans="1:3" x14ac:dyDescent="0.25">
      <c r="A493" s="21"/>
      <c r="B493" s="21"/>
      <c r="C493" s="5"/>
    </row>
    <row r="494" spans="1:3" x14ac:dyDescent="0.25">
      <c r="A494" s="21"/>
      <c r="B494" s="21"/>
      <c r="C494" s="5"/>
    </row>
    <row r="495" spans="1:3" x14ac:dyDescent="0.25">
      <c r="A495" s="21"/>
      <c r="B495" s="21"/>
      <c r="C495" s="5"/>
    </row>
    <row r="496" spans="1:3" x14ac:dyDescent="0.25">
      <c r="A496" s="21"/>
      <c r="B496" s="21"/>
      <c r="C496" s="5"/>
    </row>
    <row r="497" spans="1:3" x14ac:dyDescent="0.25">
      <c r="A497" s="21"/>
      <c r="B497" s="21"/>
      <c r="C497" s="5"/>
    </row>
    <row r="498" spans="1:3" x14ac:dyDescent="0.25">
      <c r="A498" s="21"/>
      <c r="B498" s="21"/>
      <c r="C498" s="5"/>
    </row>
    <row r="499" spans="1:3" x14ac:dyDescent="0.25">
      <c r="A499" s="21"/>
      <c r="B499" s="21"/>
      <c r="C499" s="5"/>
    </row>
    <row r="500" spans="1:3" x14ac:dyDescent="0.25">
      <c r="A500" s="21"/>
      <c r="B500" s="21"/>
      <c r="C500" s="5"/>
    </row>
    <row r="501" spans="1:3" x14ac:dyDescent="0.25">
      <c r="A501" s="21"/>
      <c r="B501" s="21"/>
      <c r="C501" s="5"/>
    </row>
    <row r="502" spans="1:3" x14ac:dyDescent="0.25">
      <c r="A502" s="21"/>
      <c r="B502" s="21"/>
      <c r="C502" s="5"/>
    </row>
    <row r="503" spans="1:3" x14ac:dyDescent="0.25">
      <c r="A503" s="21"/>
      <c r="B503" s="21"/>
      <c r="C503" s="5"/>
    </row>
    <row r="504" spans="1:3" x14ac:dyDescent="0.25">
      <c r="A504" s="21"/>
      <c r="B504" s="21"/>
      <c r="C504" s="5"/>
    </row>
    <row r="505" spans="1:3" x14ac:dyDescent="0.25">
      <c r="A505" s="21"/>
      <c r="B505" s="21"/>
      <c r="C505" s="5"/>
    </row>
    <row r="506" spans="1:3" x14ac:dyDescent="0.25">
      <c r="A506" s="21"/>
      <c r="B506" s="21"/>
      <c r="C506" s="5"/>
    </row>
    <row r="507" spans="1:3" x14ac:dyDescent="0.25">
      <c r="A507" s="21"/>
      <c r="B507" s="21"/>
      <c r="C507" s="5"/>
    </row>
    <row r="508" spans="1:3" x14ac:dyDescent="0.25">
      <c r="A508" s="21"/>
      <c r="B508" s="21"/>
      <c r="C508" s="5"/>
    </row>
    <row r="509" spans="1:3" x14ac:dyDescent="0.25">
      <c r="A509" s="21"/>
      <c r="B509" s="21"/>
      <c r="C509" s="5"/>
    </row>
    <row r="510" spans="1:3" x14ac:dyDescent="0.25">
      <c r="A510" s="21"/>
      <c r="B510" s="21"/>
      <c r="C510" s="5"/>
    </row>
    <row r="511" spans="1:3" x14ac:dyDescent="0.25">
      <c r="A511" s="21"/>
      <c r="B511" s="21"/>
      <c r="C511" s="5"/>
    </row>
    <row r="512" spans="1:3" x14ac:dyDescent="0.25">
      <c r="A512" s="21"/>
      <c r="B512" s="21"/>
      <c r="C512" s="5"/>
    </row>
    <row r="513" spans="1:3" x14ac:dyDescent="0.25">
      <c r="A513" s="21"/>
      <c r="B513" s="21"/>
      <c r="C513" s="5"/>
    </row>
    <row r="514" spans="1:3" x14ac:dyDescent="0.25">
      <c r="A514" s="21"/>
      <c r="B514" s="21"/>
      <c r="C514" s="5"/>
    </row>
    <row r="515" spans="1:3" x14ac:dyDescent="0.25">
      <c r="A515" s="21"/>
      <c r="B515" s="21"/>
      <c r="C515" s="5"/>
    </row>
    <row r="516" spans="1:3" x14ac:dyDescent="0.25">
      <c r="A516" s="21"/>
      <c r="B516" s="21"/>
      <c r="C516" s="5"/>
    </row>
    <row r="517" spans="1:3" x14ac:dyDescent="0.25">
      <c r="A517" s="21"/>
      <c r="B517" s="21"/>
      <c r="C517" s="5"/>
    </row>
    <row r="518" spans="1:3" x14ac:dyDescent="0.25">
      <c r="A518" s="21"/>
      <c r="B518" s="21"/>
      <c r="C518" s="5"/>
    </row>
    <row r="519" spans="1:3" x14ac:dyDescent="0.25">
      <c r="A519" s="21"/>
      <c r="B519" s="21"/>
      <c r="C519" s="5"/>
    </row>
    <row r="520" spans="1:3" x14ac:dyDescent="0.25">
      <c r="A520" s="21"/>
      <c r="B520" s="21"/>
      <c r="C520" s="5"/>
    </row>
    <row r="521" spans="1:3" x14ac:dyDescent="0.25">
      <c r="A521" s="21"/>
      <c r="B521" s="21"/>
      <c r="C521" s="5"/>
    </row>
    <row r="522" spans="1:3" x14ac:dyDescent="0.25">
      <c r="A522" s="21"/>
      <c r="B522" s="21"/>
      <c r="C522" s="5"/>
    </row>
    <row r="523" spans="1:3" x14ac:dyDescent="0.25">
      <c r="A523" s="21"/>
      <c r="B523" s="21"/>
      <c r="C523" s="5"/>
    </row>
    <row r="524" spans="1:3" x14ac:dyDescent="0.25">
      <c r="A524" s="21"/>
      <c r="B524" s="21"/>
      <c r="C524" s="5"/>
    </row>
    <row r="525" spans="1:3" x14ac:dyDescent="0.25">
      <c r="A525" s="21"/>
      <c r="B525" s="21"/>
      <c r="C525" s="5"/>
    </row>
    <row r="526" spans="1:3" x14ac:dyDescent="0.25">
      <c r="A526" s="21"/>
      <c r="B526" s="21"/>
      <c r="C526" s="5"/>
    </row>
    <row r="527" spans="1:3" x14ac:dyDescent="0.25">
      <c r="A527" s="21"/>
      <c r="B527" s="21"/>
      <c r="C527" s="5"/>
    </row>
    <row r="528" spans="1:3" x14ac:dyDescent="0.25">
      <c r="A528" s="21"/>
      <c r="B528" s="21"/>
      <c r="C528" s="5"/>
    </row>
    <row r="529" spans="1:3" x14ac:dyDescent="0.25">
      <c r="A529" s="21"/>
      <c r="B529" s="21"/>
      <c r="C529" s="5"/>
    </row>
    <row r="530" spans="1:3" x14ac:dyDescent="0.25">
      <c r="A530" s="21"/>
      <c r="B530" s="21"/>
      <c r="C530" s="5"/>
    </row>
    <row r="531" spans="1:3" x14ac:dyDescent="0.25">
      <c r="A531" s="21"/>
      <c r="B531" s="21"/>
      <c r="C531" s="5"/>
    </row>
    <row r="532" spans="1:3" x14ac:dyDescent="0.25">
      <c r="A532" s="21"/>
      <c r="B532" s="21"/>
      <c r="C532" s="5"/>
    </row>
    <row r="533" spans="1:3" x14ac:dyDescent="0.25">
      <c r="A533" s="21"/>
      <c r="B533" s="21"/>
      <c r="C533" s="5"/>
    </row>
    <row r="534" spans="1:3" x14ac:dyDescent="0.25">
      <c r="A534" s="21"/>
      <c r="B534" s="21"/>
      <c r="C534" s="5"/>
    </row>
    <row r="535" spans="1:3" x14ac:dyDescent="0.25">
      <c r="A535" s="21"/>
      <c r="B535" s="21"/>
      <c r="C535" s="5"/>
    </row>
    <row r="536" spans="1:3" x14ac:dyDescent="0.25">
      <c r="A536" s="21"/>
      <c r="B536" s="21"/>
      <c r="C536" s="5"/>
    </row>
    <row r="537" spans="1:3" x14ac:dyDescent="0.25">
      <c r="A537" s="21"/>
      <c r="B537" s="21"/>
      <c r="C537" s="5"/>
    </row>
    <row r="538" spans="1:3" x14ac:dyDescent="0.25">
      <c r="A538" s="21"/>
      <c r="B538" s="21"/>
      <c r="C538" s="5"/>
    </row>
    <row r="539" spans="1:3" x14ac:dyDescent="0.25">
      <c r="A539" s="21"/>
      <c r="B539" s="21"/>
      <c r="C539" s="5"/>
    </row>
    <row r="540" spans="1:3" x14ac:dyDescent="0.25">
      <c r="A540" s="21"/>
      <c r="B540" s="21"/>
      <c r="C540" s="5"/>
    </row>
    <row r="541" spans="1:3" x14ac:dyDescent="0.25">
      <c r="A541" s="21"/>
      <c r="B541" s="21"/>
      <c r="C541" s="5"/>
    </row>
    <row r="542" spans="1:3" x14ac:dyDescent="0.25">
      <c r="A542" s="21"/>
      <c r="B542" s="21"/>
      <c r="C542" s="5"/>
    </row>
    <row r="543" spans="1:3" x14ac:dyDescent="0.25">
      <c r="A543" s="21"/>
      <c r="B543" s="21"/>
      <c r="C543" s="5"/>
    </row>
    <row r="544" spans="1:3" x14ac:dyDescent="0.25">
      <c r="A544" s="21"/>
      <c r="B544" s="21"/>
      <c r="C544" s="5"/>
    </row>
    <row r="545" spans="1:3" x14ac:dyDescent="0.25">
      <c r="A545" s="21"/>
      <c r="B545" s="21"/>
      <c r="C545" s="5"/>
    </row>
    <row r="546" spans="1:3" x14ac:dyDescent="0.25">
      <c r="A546" s="21"/>
      <c r="B546" s="21"/>
      <c r="C546" s="5"/>
    </row>
    <row r="547" spans="1:3" x14ac:dyDescent="0.25">
      <c r="A547" s="21"/>
      <c r="B547" s="21"/>
      <c r="C547" s="5"/>
    </row>
    <row r="548" spans="1:3" x14ac:dyDescent="0.25">
      <c r="A548" s="21"/>
      <c r="B548" s="21"/>
      <c r="C548" s="5"/>
    </row>
    <row r="549" spans="1:3" x14ac:dyDescent="0.25">
      <c r="A549" s="21"/>
      <c r="B549" s="21"/>
      <c r="C549" s="5"/>
    </row>
    <row r="550" spans="1:3" x14ac:dyDescent="0.25">
      <c r="A550" s="21"/>
      <c r="B550" s="21"/>
      <c r="C550" s="5"/>
    </row>
    <row r="551" spans="1:3" x14ac:dyDescent="0.25">
      <c r="A551" s="21"/>
      <c r="B551" s="21"/>
      <c r="C551" s="5"/>
    </row>
    <row r="552" spans="1:3" x14ac:dyDescent="0.25">
      <c r="A552" s="21"/>
      <c r="B552" s="21"/>
      <c r="C552" s="5"/>
    </row>
    <row r="553" spans="1:3" x14ac:dyDescent="0.25">
      <c r="A553" s="21"/>
      <c r="B553" s="21"/>
      <c r="C553" s="5"/>
    </row>
    <row r="554" spans="1:3" x14ac:dyDescent="0.25">
      <c r="A554" s="21"/>
      <c r="B554" s="21"/>
      <c r="C554" s="5"/>
    </row>
    <row r="555" spans="1:3" x14ac:dyDescent="0.25">
      <c r="A555" s="21"/>
      <c r="B555" s="21"/>
      <c r="C555" s="5"/>
    </row>
    <row r="556" spans="1:3" x14ac:dyDescent="0.25">
      <c r="A556" s="21"/>
      <c r="B556" s="21"/>
      <c r="C556" s="5"/>
    </row>
    <row r="557" spans="1:3" x14ac:dyDescent="0.25">
      <c r="A557" s="21"/>
      <c r="B557" s="21"/>
      <c r="C557" s="5"/>
    </row>
    <row r="558" spans="1:3" x14ac:dyDescent="0.25">
      <c r="A558" s="21"/>
      <c r="B558" s="21"/>
      <c r="C558" s="5"/>
    </row>
    <row r="559" spans="1:3" x14ac:dyDescent="0.25">
      <c r="A559" s="21"/>
      <c r="B559" s="21"/>
      <c r="C559" s="5"/>
    </row>
    <row r="560" spans="1:3" x14ac:dyDescent="0.25">
      <c r="A560" s="21"/>
      <c r="B560" s="21"/>
      <c r="C560" s="5"/>
    </row>
    <row r="561" spans="1:3" x14ac:dyDescent="0.25">
      <c r="A561" s="21"/>
      <c r="B561" s="21"/>
      <c r="C561" s="5"/>
    </row>
    <row r="562" spans="1:3" x14ac:dyDescent="0.25">
      <c r="A562" s="21"/>
      <c r="B562" s="21"/>
      <c r="C562" s="5"/>
    </row>
    <row r="563" spans="1:3" x14ac:dyDescent="0.25">
      <c r="A563" s="21"/>
      <c r="B563" s="21"/>
      <c r="C563" s="5"/>
    </row>
    <row r="564" spans="1:3" x14ac:dyDescent="0.25">
      <c r="A564" s="21"/>
      <c r="B564" s="21"/>
      <c r="C564" s="5"/>
    </row>
    <row r="565" spans="1:3" x14ac:dyDescent="0.25">
      <c r="A565" s="21"/>
      <c r="B565" s="21"/>
      <c r="C565" s="5"/>
    </row>
    <row r="566" spans="1:3" x14ac:dyDescent="0.25">
      <c r="A566" s="21"/>
      <c r="B566" s="21"/>
      <c r="C566" s="5"/>
    </row>
    <row r="567" spans="1:3" x14ac:dyDescent="0.25">
      <c r="A567" s="21"/>
      <c r="B567" s="21"/>
      <c r="C567" s="5"/>
    </row>
    <row r="568" spans="1:3" x14ac:dyDescent="0.25">
      <c r="A568" s="21"/>
      <c r="B568" s="21"/>
      <c r="C568" s="5"/>
    </row>
    <row r="569" spans="1:3" x14ac:dyDescent="0.25">
      <c r="A569" s="21"/>
      <c r="B569" s="21"/>
      <c r="C569" s="5"/>
    </row>
    <row r="570" spans="1:3" x14ac:dyDescent="0.25">
      <c r="A570" s="21"/>
      <c r="B570" s="21"/>
      <c r="C570" s="5"/>
    </row>
    <row r="571" spans="1:3" x14ac:dyDescent="0.25">
      <c r="A571" s="21"/>
      <c r="B571" s="21"/>
      <c r="C571" s="5"/>
    </row>
    <row r="572" spans="1:3" x14ac:dyDescent="0.25">
      <c r="A572" s="21"/>
      <c r="B572" s="21"/>
      <c r="C572" s="5"/>
    </row>
    <row r="573" spans="1:3" x14ac:dyDescent="0.25">
      <c r="A573" s="21"/>
      <c r="B573" s="21"/>
      <c r="C573" s="5"/>
    </row>
    <row r="574" spans="1:3" x14ac:dyDescent="0.25">
      <c r="A574" s="21"/>
      <c r="B574" s="21"/>
      <c r="C574" s="5"/>
    </row>
    <row r="575" spans="1:3" x14ac:dyDescent="0.25">
      <c r="A575" s="21"/>
      <c r="B575" s="21"/>
      <c r="C575" s="5"/>
    </row>
    <row r="576" spans="1:3" x14ac:dyDescent="0.25">
      <c r="A576" s="21"/>
      <c r="B576" s="21"/>
      <c r="C576" s="5"/>
    </row>
    <row r="577" spans="1:3" x14ac:dyDescent="0.25">
      <c r="A577" s="21"/>
      <c r="B577" s="21"/>
      <c r="C577" s="5"/>
    </row>
    <row r="578" spans="1:3" x14ac:dyDescent="0.25">
      <c r="A578" s="21"/>
      <c r="B578" s="21"/>
      <c r="C578" s="5"/>
    </row>
    <row r="579" spans="1:3" x14ac:dyDescent="0.25">
      <c r="A579" s="21"/>
      <c r="B579" s="21"/>
      <c r="C579" s="5"/>
    </row>
    <row r="580" spans="1:3" x14ac:dyDescent="0.25">
      <c r="A580" s="21"/>
      <c r="B580" s="21"/>
      <c r="C580" s="5"/>
    </row>
    <row r="581" spans="1:3" x14ac:dyDescent="0.25">
      <c r="A581" s="21"/>
      <c r="B581" s="21"/>
      <c r="C581" s="5"/>
    </row>
    <row r="582" spans="1:3" x14ac:dyDescent="0.25">
      <c r="A582" s="21"/>
      <c r="B582" s="21"/>
      <c r="C582" s="5"/>
    </row>
    <row r="583" spans="1:3" x14ac:dyDescent="0.25">
      <c r="A583" s="21"/>
      <c r="B583" s="21"/>
      <c r="C583" s="5"/>
    </row>
    <row r="584" spans="1:3" x14ac:dyDescent="0.25">
      <c r="A584" s="21"/>
      <c r="B584" s="21"/>
      <c r="C584" s="5"/>
    </row>
    <row r="585" spans="1:3" x14ac:dyDescent="0.25">
      <c r="A585" s="21"/>
      <c r="B585" s="21"/>
      <c r="C585" s="5"/>
    </row>
    <row r="586" spans="1:3" x14ac:dyDescent="0.25">
      <c r="A586" s="21"/>
      <c r="B586" s="21"/>
      <c r="C586" s="5"/>
    </row>
    <row r="587" spans="1:3" x14ac:dyDescent="0.25">
      <c r="A587" s="21"/>
      <c r="B587" s="21"/>
      <c r="C587" s="5"/>
    </row>
    <row r="588" spans="1:3" x14ac:dyDescent="0.25">
      <c r="A588" s="21"/>
      <c r="B588" s="21"/>
      <c r="C588" s="5"/>
    </row>
    <row r="589" spans="1:3" x14ac:dyDescent="0.25">
      <c r="A589" s="21"/>
      <c r="B589" s="21"/>
      <c r="C589" s="5"/>
    </row>
    <row r="590" spans="1:3" x14ac:dyDescent="0.25">
      <c r="A590" s="21"/>
      <c r="B590" s="21"/>
      <c r="C590" s="5"/>
    </row>
    <row r="591" spans="1:3" x14ac:dyDescent="0.25">
      <c r="A591" s="21"/>
      <c r="B591" s="21"/>
      <c r="C591" s="5"/>
    </row>
    <row r="592" spans="1:3" x14ac:dyDescent="0.25">
      <c r="A592" s="21"/>
      <c r="B592" s="21"/>
      <c r="C592" s="5"/>
    </row>
    <row r="593" spans="1:3" x14ac:dyDescent="0.25">
      <c r="A593" s="21"/>
      <c r="B593" s="21"/>
      <c r="C593" s="5"/>
    </row>
    <row r="594" spans="1:3" x14ac:dyDescent="0.25">
      <c r="A594" s="21"/>
      <c r="B594" s="21"/>
      <c r="C594" s="5"/>
    </row>
    <row r="595" spans="1:3" x14ac:dyDescent="0.25">
      <c r="A595" s="21"/>
      <c r="B595" s="21"/>
      <c r="C595" s="5"/>
    </row>
    <row r="596" spans="1:3" x14ac:dyDescent="0.25">
      <c r="A596" s="21"/>
      <c r="B596" s="21"/>
      <c r="C596" s="5"/>
    </row>
    <row r="597" spans="1:3" x14ac:dyDescent="0.25">
      <c r="A597" s="21"/>
      <c r="B597" s="21"/>
      <c r="C597" s="5"/>
    </row>
    <row r="598" spans="1:3" x14ac:dyDescent="0.25">
      <c r="A598" s="21"/>
      <c r="B598" s="21"/>
      <c r="C598" s="5"/>
    </row>
    <row r="599" spans="1:3" x14ac:dyDescent="0.25">
      <c r="A599" s="21"/>
      <c r="B599" s="21"/>
      <c r="C599" s="5"/>
    </row>
    <row r="600" spans="1:3" x14ac:dyDescent="0.25">
      <c r="A600" s="21"/>
      <c r="B600" s="21"/>
      <c r="C600" s="5"/>
    </row>
    <row r="601" spans="1:3" x14ac:dyDescent="0.25">
      <c r="A601" s="21"/>
      <c r="B601" s="21"/>
      <c r="C601" s="5"/>
    </row>
    <row r="602" spans="1:3" x14ac:dyDescent="0.25">
      <c r="A602" s="21"/>
      <c r="B602" s="21"/>
      <c r="C602" s="5"/>
    </row>
    <row r="603" spans="1:3" x14ac:dyDescent="0.25">
      <c r="A603" s="21"/>
      <c r="B603" s="21"/>
      <c r="C603" s="5"/>
    </row>
    <row r="604" spans="1:3" x14ac:dyDescent="0.25">
      <c r="A604" s="21"/>
      <c r="B604" s="21"/>
      <c r="C604" s="5"/>
    </row>
    <row r="605" spans="1:3" x14ac:dyDescent="0.25">
      <c r="A605" s="21"/>
      <c r="B605" s="21"/>
      <c r="C605" s="5"/>
    </row>
    <row r="606" spans="1:3" x14ac:dyDescent="0.25">
      <c r="A606" s="21"/>
      <c r="B606" s="21"/>
      <c r="C606" s="5"/>
    </row>
    <row r="607" spans="1:3" x14ac:dyDescent="0.25">
      <c r="A607" s="21"/>
      <c r="B607" s="21"/>
      <c r="C607" s="5"/>
    </row>
    <row r="608" spans="1:3" x14ac:dyDescent="0.25">
      <c r="A608" s="21"/>
      <c r="B608" s="21"/>
      <c r="C608" s="5"/>
    </row>
    <row r="609" spans="1:3" x14ac:dyDescent="0.25">
      <c r="A609" s="21"/>
      <c r="B609" s="21"/>
      <c r="C609" s="5"/>
    </row>
    <row r="610" spans="1:3" x14ac:dyDescent="0.25">
      <c r="A610" s="21"/>
      <c r="B610" s="21"/>
      <c r="C610" s="5"/>
    </row>
    <row r="611" spans="1:3" x14ac:dyDescent="0.25">
      <c r="A611" s="21"/>
      <c r="B611" s="21"/>
      <c r="C611" s="5"/>
    </row>
    <row r="612" spans="1:3" x14ac:dyDescent="0.25">
      <c r="A612" s="21"/>
      <c r="B612" s="21"/>
      <c r="C612" s="5"/>
    </row>
    <row r="613" spans="1:3" x14ac:dyDescent="0.25">
      <c r="A613" s="21"/>
      <c r="B613" s="21"/>
      <c r="C613" s="5"/>
    </row>
    <row r="614" spans="1:3" x14ac:dyDescent="0.25">
      <c r="A614" s="21"/>
      <c r="B614" s="21"/>
      <c r="C614" s="5"/>
    </row>
    <row r="615" spans="1:3" x14ac:dyDescent="0.25">
      <c r="A615" s="21"/>
      <c r="B615" s="21"/>
      <c r="C615" s="5"/>
    </row>
    <row r="616" spans="1:3" x14ac:dyDescent="0.25">
      <c r="A616" s="21"/>
      <c r="B616" s="21"/>
      <c r="C616" s="5"/>
    </row>
    <row r="617" spans="1:3" x14ac:dyDescent="0.25">
      <c r="A617" s="21"/>
      <c r="B617" s="21"/>
      <c r="C617" s="5"/>
    </row>
    <row r="618" spans="1:3" x14ac:dyDescent="0.25">
      <c r="A618" s="21"/>
      <c r="B618" s="21"/>
      <c r="C618" s="5"/>
    </row>
    <row r="619" spans="1:3" x14ac:dyDescent="0.25">
      <c r="A619" s="21"/>
      <c r="B619" s="21"/>
      <c r="C619" s="5"/>
    </row>
    <row r="620" spans="1:3" x14ac:dyDescent="0.25">
      <c r="A620" s="21"/>
      <c r="B620" s="21"/>
      <c r="C620" s="5"/>
    </row>
    <row r="621" spans="1:3" x14ac:dyDescent="0.25">
      <c r="A621" s="21"/>
      <c r="B621" s="21"/>
      <c r="C621" s="5"/>
    </row>
    <row r="622" spans="1:3" x14ac:dyDescent="0.25">
      <c r="A622" s="21"/>
      <c r="B622" s="21"/>
      <c r="C622" s="5"/>
    </row>
    <row r="623" spans="1:3" x14ac:dyDescent="0.25">
      <c r="A623" s="21"/>
      <c r="B623" s="21"/>
      <c r="C623" s="5"/>
    </row>
    <row r="624" spans="1:3" x14ac:dyDescent="0.25">
      <c r="A624" s="21"/>
      <c r="B624" s="21"/>
      <c r="C624" s="5"/>
    </row>
    <row r="625" spans="1:3" x14ac:dyDescent="0.25">
      <c r="A625" s="21"/>
      <c r="B625" s="21"/>
      <c r="C625" s="5"/>
    </row>
    <row r="626" spans="1:3" x14ac:dyDescent="0.25">
      <c r="A626" s="21"/>
      <c r="B626" s="21"/>
      <c r="C626" s="5"/>
    </row>
    <row r="627" spans="1:3" x14ac:dyDescent="0.25">
      <c r="A627" s="21"/>
      <c r="B627" s="21"/>
      <c r="C627" s="5"/>
    </row>
    <row r="628" spans="1:3" x14ac:dyDescent="0.25">
      <c r="A628" s="21"/>
      <c r="B628" s="21"/>
      <c r="C628" s="5"/>
    </row>
    <row r="629" spans="1:3" x14ac:dyDescent="0.25">
      <c r="A629" s="21"/>
      <c r="B629" s="21"/>
      <c r="C629" s="5"/>
    </row>
    <row r="630" spans="1:3" x14ac:dyDescent="0.25">
      <c r="A630" s="21"/>
      <c r="B630" s="21"/>
      <c r="C630" s="5"/>
    </row>
    <row r="631" spans="1:3" x14ac:dyDescent="0.25">
      <c r="A631" s="21"/>
      <c r="B631" s="21"/>
      <c r="C631" s="5"/>
    </row>
    <row r="632" spans="1:3" x14ac:dyDescent="0.25">
      <c r="A632" s="21"/>
      <c r="B632" s="21"/>
      <c r="C632" s="5"/>
    </row>
    <row r="633" spans="1:3" x14ac:dyDescent="0.25">
      <c r="A633" s="21"/>
      <c r="B633" s="21"/>
      <c r="C633" s="5"/>
    </row>
    <row r="634" spans="1:3" x14ac:dyDescent="0.25">
      <c r="A634" s="21"/>
      <c r="B634" s="21"/>
      <c r="C634" s="5"/>
    </row>
    <row r="635" spans="1:3" x14ac:dyDescent="0.25">
      <c r="A635" s="21"/>
      <c r="B635" s="21"/>
      <c r="C635" s="5"/>
    </row>
    <row r="636" spans="1:3" x14ac:dyDescent="0.25">
      <c r="A636" s="21"/>
      <c r="B636" s="21"/>
      <c r="C636" s="5"/>
    </row>
    <row r="637" spans="1:3" x14ac:dyDescent="0.25">
      <c r="A637" s="21"/>
      <c r="B637" s="21"/>
      <c r="C637" s="5"/>
    </row>
    <row r="638" spans="1:3" x14ac:dyDescent="0.25">
      <c r="A638" s="21"/>
      <c r="B638" s="21"/>
      <c r="C638" s="5"/>
    </row>
    <row r="639" spans="1:3" x14ac:dyDescent="0.25">
      <c r="A639" s="21"/>
      <c r="B639" s="21"/>
      <c r="C639" s="5"/>
    </row>
    <row r="640" spans="1:3" x14ac:dyDescent="0.25">
      <c r="A640" s="21"/>
      <c r="B640" s="21"/>
      <c r="C640" s="5"/>
    </row>
    <row r="641" spans="1:3" x14ac:dyDescent="0.25">
      <c r="A641" s="21"/>
      <c r="B641" s="21"/>
      <c r="C641" s="5"/>
    </row>
    <row r="642" spans="1:3" x14ac:dyDescent="0.25">
      <c r="A642" s="21"/>
      <c r="B642" s="21"/>
      <c r="C642" s="5"/>
    </row>
    <row r="643" spans="1:3" x14ac:dyDescent="0.25">
      <c r="A643" s="21"/>
      <c r="B643" s="21"/>
      <c r="C643" s="5"/>
    </row>
    <row r="644" spans="1:3" x14ac:dyDescent="0.25">
      <c r="A644" s="21"/>
      <c r="B644" s="21"/>
      <c r="C644" s="5"/>
    </row>
    <row r="645" spans="1:3" x14ac:dyDescent="0.25">
      <c r="A645" s="21"/>
      <c r="B645" s="21"/>
      <c r="C645" s="5"/>
    </row>
    <row r="646" spans="1:3" x14ac:dyDescent="0.25">
      <c r="A646" s="21"/>
      <c r="B646" s="21"/>
      <c r="C646" s="5"/>
    </row>
    <row r="647" spans="1:3" x14ac:dyDescent="0.25">
      <c r="A647" s="21"/>
      <c r="B647" s="21"/>
      <c r="C647" s="5"/>
    </row>
    <row r="648" spans="1:3" x14ac:dyDescent="0.25">
      <c r="A648" s="21"/>
      <c r="B648" s="21"/>
      <c r="C648" s="5"/>
    </row>
    <row r="649" spans="1:3" x14ac:dyDescent="0.25">
      <c r="A649" s="21"/>
      <c r="B649" s="21"/>
      <c r="C649" s="5"/>
    </row>
    <row r="650" spans="1:3" x14ac:dyDescent="0.25">
      <c r="A650" s="21"/>
      <c r="B650" s="21"/>
      <c r="C650" s="5"/>
    </row>
    <row r="651" spans="1:3" x14ac:dyDescent="0.25">
      <c r="A651" s="21"/>
      <c r="B651" s="21"/>
      <c r="C651" s="5"/>
    </row>
    <row r="652" spans="1:3" x14ac:dyDescent="0.25">
      <c r="A652" s="21"/>
      <c r="B652" s="21"/>
      <c r="C652" s="5"/>
    </row>
    <row r="653" spans="1:3" x14ac:dyDescent="0.25">
      <c r="A653" s="21"/>
      <c r="B653" s="21"/>
      <c r="C653" s="5"/>
    </row>
    <row r="654" spans="1:3" x14ac:dyDescent="0.25">
      <c r="A654" s="21"/>
      <c r="B654" s="21"/>
      <c r="C654" s="5"/>
    </row>
    <row r="655" spans="1:3" x14ac:dyDescent="0.25">
      <c r="A655" s="21"/>
      <c r="B655" s="21"/>
      <c r="C655" s="5"/>
    </row>
    <row r="656" spans="1:3" x14ac:dyDescent="0.25">
      <c r="A656" s="21"/>
      <c r="B656" s="21"/>
      <c r="C656" s="5"/>
    </row>
    <row r="657" spans="1:3" x14ac:dyDescent="0.25">
      <c r="A657" s="21"/>
      <c r="B657" s="21"/>
      <c r="C657" s="5"/>
    </row>
    <row r="658" spans="1:3" x14ac:dyDescent="0.25">
      <c r="A658" s="21"/>
      <c r="B658" s="21"/>
      <c r="C658" s="5"/>
    </row>
    <row r="659" spans="1:3" x14ac:dyDescent="0.25">
      <c r="A659" s="21"/>
      <c r="B659" s="21"/>
      <c r="C659" s="5"/>
    </row>
    <row r="660" spans="1:3" x14ac:dyDescent="0.25">
      <c r="A660" s="21"/>
      <c r="B660" s="21"/>
      <c r="C660" s="5"/>
    </row>
    <row r="661" spans="1:3" x14ac:dyDescent="0.25">
      <c r="A661" s="21"/>
      <c r="B661" s="21"/>
      <c r="C661" s="5"/>
    </row>
    <row r="662" spans="1:3" x14ac:dyDescent="0.25">
      <c r="A662" s="21"/>
      <c r="B662" s="21"/>
      <c r="C662" s="5"/>
    </row>
    <row r="663" spans="1:3" x14ac:dyDescent="0.25">
      <c r="A663" s="21"/>
      <c r="B663" s="21"/>
      <c r="C663" s="5"/>
    </row>
    <row r="664" spans="1:3" x14ac:dyDescent="0.25">
      <c r="A664" s="21"/>
      <c r="B664" s="21"/>
      <c r="C664" s="5"/>
    </row>
    <row r="665" spans="1:3" x14ac:dyDescent="0.25">
      <c r="A665" s="21"/>
      <c r="B665" s="21"/>
      <c r="C665" s="5"/>
    </row>
    <row r="666" spans="1:3" x14ac:dyDescent="0.25">
      <c r="A666" s="21"/>
      <c r="B666" s="21"/>
      <c r="C666" s="5"/>
    </row>
    <row r="667" spans="1:3" x14ac:dyDescent="0.25">
      <c r="A667" s="21"/>
      <c r="B667" s="21"/>
      <c r="C667" s="5"/>
    </row>
    <row r="668" spans="1:3" x14ac:dyDescent="0.25">
      <c r="A668" s="21"/>
      <c r="B668" s="21"/>
      <c r="C668" s="5"/>
    </row>
    <row r="669" spans="1:3" x14ac:dyDescent="0.25">
      <c r="A669" s="21"/>
      <c r="B669" s="21"/>
      <c r="C669" s="5"/>
    </row>
    <row r="670" spans="1:3" x14ac:dyDescent="0.25">
      <c r="A670" s="21"/>
      <c r="B670" s="21"/>
      <c r="C670" s="5"/>
    </row>
    <row r="671" spans="1:3" x14ac:dyDescent="0.25">
      <c r="A671" s="21"/>
      <c r="B671" s="21"/>
      <c r="C671" s="5"/>
    </row>
    <row r="672" spans="1:3" x14ac:dyDescent="0.25">
      <c r="A672" s="21"/>
      <c r="B672" s="21"/>
      <c r="C672" s="5"/>
    </row>
    <row r="673" spans="1:3" x14ac:dyDescent="0.25">
      <c r="A673" s="21"/>
      <c r="B673" s="21"/>
      <c r="C673" s="5"/>
    </row>
    <row r="674" spans="1:3" x14ac:dyDescent="0.25">
      <c r="A674" s="21"/>
      <c r="B674" s="21"/>
      <c r="C674" s="5"/>
    </row>
    <row r="675" spans="1:3" x14ac:dyDescent="0.25">
      <c r="A675" s="21"/>
      <c r="B675" s="21"/>
      <c r="C675" s="5"/>
    </row>
    <row r="676" spans="1:3" x14ac:dyDescent="0.25">
      <c r="A676" s="21"/>
      <c r="B676" s="21"/>
      <c r="C676" s="5"/>
    </row>
    <row r="677" spans="1:3" x14ac:dyDescent="0.25">
      <c r="A677" s="21"/>
      <c r="B677" s="21"/>
      <c r="C677" s="5"/>
    </row>
    <row r="678" spans="1:3" x14ac:dyDescent="0.25">
      <c r="A678" s="21"/>
      <c r="B678" s="21"/>
      <c r="C678" s="5"/>
    </row>
    <row r="679" spans="1:3" x14ac:dyDescent="0.25">
      <c r="A679" s="21"/>
      <c r="B679" s="21"/>
      <c r="C679" s="5"/>
    </row>
    <row r="680" spans="1:3" x14ac:dyDescent="0.25">
      <c r="A680" s="21"/>
      <c r="B680" s="21"/>
      <c r="C680" s="5"/>
    </row>
    <row r="681" spans="1:3" x14ac:dyDescent="0.25">
      <c r="A681" s="21"/>
      <c r="B681" s="21"/>
      <c r="C681" s="5"/>
    </row>
    <row r="682" spans="1:3" x14ac:dyDescent="0.25">
      <c r="A682" s="21"/>
      <c r="B682" s="21"/>
      <c r="C682" s="5"/>
    </row>
    <row r="683" spans="1:3" x14ac:dyDescent="0.25">
      <c r="A683" s="21"/>
      <c r="B683" s="21"/>
      <c r="C683" s="5"/>
    </row>
    <row r="684" spans="1:3" x14ac:dyDescent="0.25">
      <c r="A684" s="21"/>
      <c r="B684" s="21"/>
      <c r="C684" s="5"/>
    </row>
    <row r="685" spans="1:3" x14ac:dyDescent="0.25">
      <c r="A685" s="21"/>
      <c r="B685" s="21"/>
      <c r="C685" s="5"/>
    </row>
    <row r="686" spans="1:3" x14ac:dyDescent="0.25">
      <c r="A686" s="21"/>
      <c r="B686" s="21"/>
      <c r="C686" s="5"/>
    </row>
    <row r="687" spans="1:3" x14ac:dyDescent="0.25">
      <c r="A687" s="21"/>
      <c r="B687" s="21"/>
      <c r="C687" s="5"/>
    </row>
    <row r="688" spans="1:3" x14ac:dyDescent="0.25">
      <c r="A688" s="21"/>
      <c r="B688" s="21"/>
      <c r="C688" s="5"/>
    </row>
    <row r="689" spans="1:3" x14ac:dyDescent="0.25">
      <c r="A689" s="21"/>
      <c r="B689" s="21"/>
      <c r="C689" s="5"/>
    </row>
    <row r="690" spans="1:3" x14ac:dyDescent="0.25">
      <c r="A690" s="21"/>
      <c r="B690" s="21"/>
      <c r="C690" s="5"/>
    </row>
    <row r="691" spans="1:3" x14ac:dyDescent="0.25">
      <c r="A691" s="21"/>
      <c r="B691" s="21"/>
      <c r="C691" s="5"/>
    </row>
    <row r="692" spans="1:3" x14ac:dyDescent="0.25">
      <c r="A692" s="21"/>
      <c r="B692" s="21"/>
      <c r="C692" s="5"/>
    </row>
    <row r="693" spans="1:3" x14ac:dyDescent="0.25">
      <c r="A693" s="21"/>
      <c r="B693" s="21"/>
      <c r="C693" s="5"/>
    </row>
    <row r="694" spans="1:3" x14ac:dyDescent="0.25">
      <c r="A694" s="21"/>
      <c r="B694" s="21"/>
      <c r="C694" s="5"/>
    </row>
    <row r="695" spans="1:3" x14ac:dyDescent="0.25">
      <c r="A695" s="21"/>
      <c r="B695" s="21"/>
      <c r="C695" s="5"/>
    </row>
    <row r="696" spans="1:3" x14ac:dyDescent="0.25">
      <c r="A696" s="21"/>
      <c r="B696" s="21"/>
      <c r="C696" s="5"/>
    </row>
    <row r="697" spans="1:3" x14ac:dyDescent="0.25">
      <c r="A697" s="21"/>
      <c r="B697" s="21"/>
      <c r="C697" s="5"/>
    </row>
    <row r="698" spans="1:3" x14ac:dyDescent="0.25">
      <c r="A698" s="21"/>
      <c r="B698" s="21"/>
      <c r="C698" s="5"/>
    </row>
    <row r="699" spans="1:3" x14ac:dyDescent="0.25">
      <c r="A699" s="21"/>
      <c r="B699" s="21"/>
      <c r="C699" s="5"/>
    </row>
    <row r="700" spans="1:3" x14ac:dyDescent="0.25">
      <c r="A700" s="21"/>
      <c r="B700" s="21"/>
      <c r="C700" s="5"/>
    </row>
    <row r="701" spans="1:3" x14ac:dyDescent="0.25">
      <c r="A701" s="21"/>
      <c r="B701" s="21"/>
      <c r="C701" s="5"/>
    </row>
    <row r="702" spans="1:3" x14ac:dyDescent="0.25">
      <c r="A702" s="21"/>
      <c r="B702" s="21"/>
      <c r="C702" s="5"/>
    </row>
    <row r="703" spans="1:3" x14ac:dyDescent="0.25">
      <c r="A703" s="21"/>
      <c r="B703" s="21"/>
      <c r="C703" s="5"/>
    </row>
    <row r="704" spans="1:3" x14ac:dyDescent="0.25">
      <c r="A704" s="21"/>
      <c r="B704" s="21"/>
      <c r="C704" s="5"/>
    </row>
    <row r="705" spans="1:3" x14ac:dyDescent="0.25">
      <c r="A705" s="21"/>
      <c r="B705" s="21"/>
      <c r="C705" s="5"/>
    </row>
    <row r="706" spans="1:3" x14ac:dyDescent="0.25">
      <c r="A706" s="21"/>
      <c r="B706" s="21"/>
      <c r="C706" s="5"/>
    </row>
    <row r="707" spans="1:3" x14ac:dyDescent="0.25">
      <c r="A707" s="21"/>
      <c r="B707" s="21"/>
      <c r="C707" s="5"/>
    </row>
    <row r="708" spans="1:3" x14ac:dyDescent="0.25">
      <c r="A708" s="21"/>
      <c r="B708" s="21"/>
      <c r="C708" s="5"/>
    </row>
    <row r="709" spans="1:3" x14ac:dyDescent="0.25">
      <c r="A709" s="21"/>
      <c r="B709" s="21"/>
      <c r="C709" s="5"/>
    </row>
    <row r="710" spans="1:3" x14ac:dyDescent="0.25">
      <c r="A710" s="21"/>
      <c r="B710" s="21"/>
      <c r="C710" s="5"/>
    </row>
    <row r="711" spans="1:3" x14ac:dyDescent="0.25">
      <c r="A711" s="21"/>
      <c r="B711" s="21"/>
      <c r="C711" s="5"/>
    </row>
    <row r="712" spans="1:3" x14ac:dyDescent="0.25">
      <c r="A712" s="21"/>
      <c r="B712" s="21"/>
      <c r="C712" s="5"/>
    </row>
    <row r="713" spans="1:3" x14ac:dyDescent="0.25">
      <c r="A713" s="21"/>
      <c r="B713" s="21"/>
      <c r="C713" s="5"/>
    </row>
    <row r="714" spans="1:3" x14ac:dyDescent="0.25">
      <c r="A714" s="21"/>
      <c r="B714" s="21"/>
      <c r="C714" s="5"/>
    </row>
    <row r="715" spans="1:3" x14ac:dyDescent="0.25">
      <c r="A715" s="21"/>
      <c r="B715" s="21"/>
      <c r="C715" s="5"/>
    </row>
    <row r="716" spans="1:3" x14ac:dyDescent="0.25">
      <c r="A716" s="21"/>
      <c r="B716" s="21"/>
      <c r="C716" s="5"/>
    </row>
    <row r="717" spans="1:3" x14ac:dyDescent="0.25">
      <c r="A717" s="21"/>
      <c r="B717" s="21"/>
      <c r="C717" s="5"/>
    </row>
    <row r="718" spans="1:3" x14ac:dyDescent="0.25">
      <c r="A718" s="21"/>
      <c r="B718" s="21"/>
      <c r="C718" s="5"/>
    </row>
    <row r="719" spans="1:3" x14ac:dyDescent="0.25">
      <c r="A719" s="21"/>
      <c r="B719" s="21"/>
      <c r="C719" s="5"/>
    </row>
    <row r="720" spans="1:3" x14ac:dyDescent="0.25">
      <c r="A720" s="21"/>
      <c r="B720" s="21"/>
      <c r="C720" s="5"/>
    </row>
    <row r="721" spans="1:3" x14ac:dyDescent="0.25">
      <c r="A721" s="21"/>
      <c r="B721" s="21"/>
      <c r="C721" s="5"/>
    </row>
    <row r="722" spans="1:3" x14ac:dyDescent="0.25">
      <c r="A722" s="21"/>
      <c r="B722" s="21"/>
      <c r="C722" s="5"/>
    </row>
    <row r="723" spans="1:3" x14ac:dyDescent="0.25">
      <c r="A723" s="21"/>
      <c r="B723" s="21"/>
      <c r="C723" s="5"/>
    </row>
    <row r="724" spans="1:3" x14ac:dyDescent="0.25">
      <c r="A724" s="21"/>
      <c r="B724" s="21"/>
      <c r="C724" s="5"/>
    </row>
    <row r="725" spans="1:3" x14ac:dyDescent="0.25">
      <c r="A725" s="21"/>
      <c r="B725" s="21"/>
      <c r="C725" s="5"/>
    </row>
    <row r="726" spans="1:3" x14ac:dyDescent="0.25">
      <c r="A726" s="21"/>
      <c r="B726" s="21"/>
      <c r="C726" s="5"/>
    </row>
    <row r="727" spans="1:3" x14ac:dyDescent="0.25">
      <c r="A727" s="21"/>
      <c r="B727" s="21"/>
      <c r="C727" s="5"/>
    </row>
    <row r="728" spans="1:3" x14ac:dyDescent="0.25">
      <c r="A728" s="21"/>
      <c r="B728" s="21"/>
      <c r="C728" s="5"/>
    </row>
    <row r="729" spans="1:3" x14ac:dyDescent="0.25">
      <c r="A729" s="21"/>
      <c r="B729" s="21"/>
      <c r="C729" s="5"/>
    </row>
    <row r="730" spans="1:3" x14ac:dyDescent="0.25">
      <c r="A730" s="21"/>
      <c r="B730" s="21"/>
      <c r="C730" s="5"/>
    </row>
    <row r="731" spans="1:3" x14ac:dyDescent="0.25">
      <c r="A731" s="21"/>
      <c r="B731" s="21"/>
      <c r="C731" s="5"/>
    </row>
    <row r="732" spans="1:3" x14ac:dyDescent="0.25">
      <c r="A732" s="21"/>
      <c r="B732" s="21"/>
      <c r="C732" s="5"/>
    </row>
    <row r="733" spans="1:3" x14ac:dyDescent="0.25">
      <c r="A733" s="21"/>
      <c r="B733" s="21"/>
      <c r="C733" s="5"/>
    </row>
    <row r="734" spans="1:3" x14ac:dyDescent="0.25">
      <c r="A734" s="21"/>
      <c r="B734" s="21"/>
      <c r="C734" s="5"/>
    </row>
    <row r="735" spans="1:3" x14ac:dyDescent="0.25">
      <c r="A735" s="21"/>
      <c r="B735" s="21"/>
      <c r="C735" s="5"/>
    </row>
    <row r="736" spans="1:3" x14ac:dyDescent="0.25">
      <c r="A736" s="21"/>
      <c r="B736" s="21"/>
      <c r="C736" s="5"/>
    </row>
    <row r="737" spans="1:3" x14ac:dyDescent="0.25">
      <c r="A737" s="21"/>
      <c r="B737" s="21"/>
      <c r="C737" s="5"/>
    </row>
    <row r="738" spans="1:3" x14ac:dyDescent="0.25">
      <c r="A738" s="21"/>
      <c r="B738" s="21"/>
      <c r="C738" s="5"/>
    </row>
    <row r="739" spans="1:3" x14ac:dyDescent="0.25">
      <c r="A739" s="21"/>
      <c r="B739" s="21"/>
      <c r="C739" s="5"/>
    </row>
    <row r="740" spans="1:3" x14ac:dyDescent="0.25">
      <c r="A740" s="21"/>
      <c r="B740" s="21"/>
      <c r="C740" s="5"/>
    </row>
    <row r="741" spans="1:3" x14ac:dyDescent="0.25">
      <c r="A741" s="21"/>
      <c r="B741" s="21"/>
      <c r="C741" s="5"/>
    </row>
    <row r="742" spans="1:3" x14ac:dyDescent="0.25">
      <c r="A742" s="21"/>
      <c r="B742" s="21"/>
      <c r="C742" s="5"/>
    </row>
    <row r="743" spans="1:3" x14ac:dyDescent="0.25">
      <c r="A743" s="21"/>
      <c r="B743" s="21"/>
      <c r="C743" s="5"/>
    </row>
    <row r="744" spans="1:3" x14ac:dyDescent="0.25">
      <c r="A744" s="21"/>
      <c r="B744" s="21"/>
      <c r="C744" s="5"/>
    </row>
    <row r="745" spans="1:3" x14ac:dyDescent="0.25">
      <c r="A745" s="21"/>
      <c r="B745" s="21"/>
      <c r="C745" s="5"/>
    </row>
    <row r="746" spans="1:3" x14ac:dyDescent="0.25">
      <c r="A746" s="21"/>
      <c r="B746" s="21"/>
      <c r="C746" s="5"/>
    </row>
    <row r="747" spans="1:3" x14ac:dyDescent="0.25">
      <c r="A747" s="21"/>
      <c r="B747" s="21"/>
      <c r="C747" s="5"/>
    </row>
    <row r="748" spans="1:3" x14ac:dyDescent="0.25">
      <c r="A748" s="21"/>
      <c r="B748" s="21"/>
      <c r="C748" s="5"/>
    </row>
    <row r="749" spans="1:3" x14ac:dyDescent="0.25">
      <c r="A749" s="21"/>
      <c r="B749" s="21"/>
      <c r="C749" s="5"/>
    </row>
    <row r="750" spans="1:3" x14ac:dyDescent="0.25">
      <c r="A750" s="21"/>
      <c r="B750" s="21"/>
      <c r="C750" s="5"/>
    </row>
    <row r="751" spans="1:3" x14ac:dyDescent="0.25">
      <c r="A751" s="21"/>
      <c r="B751" s="21"/>
      <c r="C751" s="5"/>
    </row>
    <row r="752" spans="1:3" x14ac:dyDescent="0.25">
      <c r="A752" s="21"/>
      <c r="B752" s="21"/>
      <c r="C752" s="5"/>
    </row>
    <row r="753" spans="1:3" x14ac:dyDescent="0.25">
      <c r="A753" s="21"/>
      <c r="B753" s="21"/>
      <c r="C753" s="5"/>
    </row>
    <row r="754" spans="1:3" x14ac:dyDescent="0.25">
      <c r="A754" s="21"/>
      <c r="B754" s="21"/>
      <c r="C754" s="5"/>
    </row>
    <row r="755" spans="1:3" x14ac:dyDescent="0.25">
      <c r="A755" s="21"/>
      <c r="B755" s="21"/>
      <c r="C755" s="5"/>
    </row>
    <row r="756" spans="1:3" x14ac:dyDescent="0.25">
      <c r="A756" s="21"/>
      <c r="B756" s="21"/>
      <c r="C756" s="5"/>
    </row>
    <row r="757" spans="1:3" x14ac:dyDescent="0.25">
      <c r="A757" s="21"/>
      <c r="B757" s="21"/>
      <c r="C757" s="5"/>
    </row>
    <row r="758" spans="1:3" x14ac:dyDescent="0.25">
      <c r="A758" s="21"/>
      <c r="B758" s="21"/>
      <c r="C758" s="5"/>
    </row>
    <row r="759" spans="1:3" x14ac:dyDescent="0.25">
      <c r="A759" s="21"/>
      <c r="B759" s="21"/>
      <c r="C759" s="5"/>
    </row>
    <row r="760" spans="1:3" x14ac:dyDescent="0.25">
      <c r="A760" s="21"/>
      <c r="B760" s="21"/>
      <c r="C760" s="5"/>
    </row>
    <row r="761" spans="1:3" x14ac:dyDescent="0.25">
      <c r="A761" s="21"/>
      <c r="B761" s="21"/>
      <c r="C761" s="5"/>
    </row>
    <row r="762" spans="1:3" x14ac:dyDescent="0.25">
      <c r="A762" s="21"/>
      <c r="B762" s="21"/>
      <c r="C762" s="5"/>
    </row>
    <row r="763" spans="1:3" x14ac:dyDescent="0.25">
      <c r="A763" s="21"/>
      <c r="B763" s="21"/>
      <c r="C763" s="5"/>
    </row>
    <row r="764" spans="1:3" x14ac:dyDescent="0.25">
      <c r="A764" s="21"/>
      <c r="B764" s="21"/>
      <c r="C764" s="5"/>
    </row>
    <row r="765" spans="1:3" x14ac:dyDescent="0.25">
      <c r="A765" s="21"/>
      <c r="B765" s="21"/>
      <c r="C765" s="5"/>
    </row>
    <row r="766" spans="1:3" x14ac:dyDescent="0.25">
      <c r="A766" s="21"/>
      <c r="B766" s="21"/>
      <c r="C766" s="5"/>
    </row>
    <row r="767" spans="1:3" x14ac:dyDescent="0.25">
      <c r="A767" s="21"/>
      <c r="B767" s="21"/>
      <c r="C767" s="5"/>
    </row>
    <row r="768" spans="1:3" x14ac:dyDescent="0.25">
      <c r="A768" s="21"/>
      <c r="B768" s="21"/>
      <c r="C768" s="5"/>
    </row>
    <row r="769" spans="1:3" x14ac:dyDescent="0.25">
      <c r="A769" s="21"/>
      <c r="B769" s="21"/>
      <c r="C769" s="5"/>
    </row>
    <row r="770" spans="1:3" x14ac:dyDescent="0.25">
      <c r="A770" s="21"/>
      <c r="B770" s="21"/>
      <c r="C770" s="5"/>
    </row>
    <row r="771" spans="1:3" x14ac:dyDescent="0.25">
      <c r="A771" s="21"/>
      <c r="B771" s="21"/>
      <c r="C771" s="5"/>
    </row>
    <row r="772" spans="1:3" x14ac:dyDescent="0.25">
      <c r="A772" s="21"/>
      <c r="B772" s="21"/>
      <c r="C772" s="5"/>
    </row>
    <row r="773" spans="1:3" x14ac:dyDescent="0.25">
      <c r="A773" s="21"/>
      <c r="B773" s="21"/>
      <c r="C773" s="5"/>
    </row>
    <row r="774" spans="1:3" x14ac:dyDescent="0.25">
      <c r="A774" s="21"/>
      <c r="B774" s="21"/>
      <c r="C774" s="5"/>
    </row>
    <row r="775" spans="1:3" x14ac:dyDescent="0.25">
      <c r="A775" s="21"/>
      <c r="B775" s="21"/>
      <c r="C775" s="5"/>
    </row>
    <row r="776" spans="1:3" x14ac:dyDescent="0.25">
      <c r="A776" s="21"/>
      <c r="B776" s="21"/>
      <c r="C776" s="5"/>
    </row>
    <row r="777" spans="1:3" x14ac:dyDescent="0.25">
      <c r="A777" s="21"/>
      <c r="B777" s="21"/>
      <c r="C777" s="5"/>
    </row>
    <row r="778" spans="1:3" x14ac:dyDescent="0.25">
      <c r="A778" s="21"/>
      <c r="B778" s="21"/>
      <c r="C778" s="5"/>
    </row>
    <row r="779" spans="1:3" x14ac:dyDescent="0.25">
      <c r="A779" s="21"/>
      <c r="B779" s="21"/>
      <c r="C779" s="5"/>
    </row>
    <row r="780" spans="1:3" x14ac:dyDescent="0.25">
      <c r="A780" s="21"/>
      <c r="B780" s="21"/>
      <c r="C780" s="5"/>
    </row>
    <row r="781" spans="1:3" x14ac:dyDescent="0.25">
      <c r="A781" s="21"/>
      <c r="B781" s="21"/>
      <c r="C781" s="5"/>
    </row>
    <row r="782" spans="1:3" x14ac:dyDescent="0.25">
      <c r="A782" s="21"/>
      <c r="B782" s="21"/>
      <c r="C782" s="5"/>
    </row>
    <row r="783" spans="1:3" x14ac:dyDescent="0.25">
      <c r="A783" s="21"/>
      <c r="B783" s="21"/>
      <c r="C783" s="5"/>
    </row>
    <row r="784" spans="1:3" x14ac:dyDescent="0.25">
      <c r="A784" s="21"/>
      <c r="B784" s="21"/>
      <c r="C784" s="5"/>
    </row>
    <row r="785" spans="1:3" x14ac:dyDescent="0.25">
      <c r="A785" s="21"/>
      <c r="B785" s="21"/>
      <c r="C785" s="5"/>
    </row>
    <row r="786" spans="1:3" x14ac:dyDescent="0.25">
      <c r="A786" s="21"/>
      <c r="B786" s="21"/>
      <c r="C786" s="5"/>
    </row>
    <row r="787" spans="1:3" x14ac:dyDescent="0.25">
      <c r="A787" s="21"/>
      <c r="B787" s="21"/>
      <c r="C787" s="5"/>
    </row>
    <row r="788" spans="1:3" x14ac:dyDescent="0.25">
      <c r="A788" s="21"/>
      <c r="B788" s="21"/>
      <c r="C788" s="5"/>
    </row>
    <row r="789" spans="1:3" x14ac:dyDescent="0.25">
      <c r="A789" s="21"/>
      <c r="B789" s="21"/>
      <c r="C789" s="5"/>
    </row>
    <row r="790" spans="1:3" x14ac:dyDescent="0.25">
      <c r="A790" s="21"/>
      <c r="B790" s="21"/>
      <c r="C790" s="5"/>
    </row>
    <row r="791" spans="1:3" x14ac:dyDescent="0.25">
      <c r="A791" s="21"/>
      <c r="B791" s="21"/>
      <c r="C791" s="5"/>
    </row>
    <row r="792" spans="1:3" x14ac:dyDescent="0.25">
      <c r="A792" s="21"/>
      <c r="B792" s="21"/>
      <c r="C792" s="5"/>
    </row>
    <row r="793" spans="1:3" x14ac:dyDescent="0.25">
      <c r="A793" s="21"/>
      <c r="B793" s="21"/>
      <c r="C793" s="5"/>
    </row>
    <row r="794" spans="1:3" x14ac:dyDescent="0.25">
      <c r="A794" s="21"/>
      <c r="B794" s="21"/>
      <c r="C794" s="5"/>
    </row>
    <row r="795" spans="1:3" x14ac:dyDescent="0.25">
      <c r="A795" s="21"/>
      <c r="B795" s="21"/>
      <c r="C795" s="5"/>
    </row>
    <row r="796" spans="1:3" x14ac:dyDescent="0.25">
      <c r="A796" s="21"/>
      <c r="B796" s="21"/>
      <c r="C796" s="5"/>
    </row>
    <row r="797" spans="1:3" x14ac:dyDescent="0.25">
      <c r="A797" s="21"/>
      <c r="B797" s="21"/>
      <c r="C797" s="5"/>
    </row>
    <row r="798" spans="1:3" x14ac:dyDescent="0.25">
      <c r="A798" s="21"/>
      <c r="B798" s="21"/>
      <c r="C798" s="5"/>
    </row>
    <row r="799" spans="1:3" x14ac:dyDescent="0.25">
      <c r="A799" s="21"/>
      <c r="B799" s="21"/>
      <c r="C799" s="5"/>
    </row>
    <row r="800" spans="1:3" x14ac:dyDescent="0.25">
      <c r="A800" s="21"/>
      <c r="B800" s="21"/>
      <c r="C800" s="5"/>
    </row>
    <row r="801" spans="1:3" x14ac:dyDescent="0.25">
      <c r="A801" s="21"/>
      <c r="B801" s="21"/>
      <c r="C801" s="5"/>
    </row>
    <row r="802" spans="1:3" x14ac:dyDescent="0.25">
      <c r="A802" s="21"/>
      <c r="B802" s="21"/>
      <c r="C802" s="5"/>
    </row>
    <row r="803" spans="1:3" x14ac:dyDescent="0.25">
      <c r="A803" s="21"/>
      <c r="B803" s="21"/>
      <c r="C803" s="5"/>
    </row>
    <row r="804" spans="1:3" x14ac:dyDescent="0.25">
      <c r="A804" s="21"/>
      <c r="B804" s="21"/>
      <c r="C804" s="5"/>
    </row>
    <row r="805" spans="1:3" x14ac:dyDescent="0.25">
      <c r="A805" s="21"/>
      <c r="B805" s="21"/>
      <c r="C805" s="5"/>
    </row>
    <row r="806" spans="1:3" x14ac:dyDescent="0.25">
      <c r="A806" s="21"/>
      <c r="B806" s="21"/>
      <c r="C806" s="5"/>
    </row>
    <row r="807" spans="1:3" x14ac:dyDescent="0.25">
      <c r="A807" s="21"/>
      <c r="B807" s="21"/>
      <c r="C807" s="5"/>
    </row>
    <row r="808" spans="1:3" x14ac:dyDescent="0.25">
      <c r="A808" s="21"/>
      <c r="B808" s="21"/>
      <c r="C808" s="5"/>
    </row>
    <row r="809" spans="1:3" x14ac:dyDescent="0.25">
      <c r="A809" s="21"/>
      <c r="B809" s="21"/>
      <c r="C809" s="5"/>
    </row>
    <row r="810" spans="1:3" x14ac:dyDescent="0.25">
      <c r="A810" s="21"/>
      <c r="B810" s="21"/>
      <c r="C810" s="5"/>
    </row>
    <row r="811" spans="1:3" x14ac:dyDescent="0.25">
      <c r="A811" s="21"/>
      <c r="B811" s="21"/>
      <c r="C811" s="5"/>
    </row>
    <row r="812" spans="1:3" x14ac:dyDescent="0.25">
      <c r="A812" s="21"/>
      <c r="B812" s="21"/>
      <c r="C812" s="5"/>
    </row>
    <row r="813" spans="1:3" x14ac:dyDescent="0.25">
      <c r="A813" s="21"/>
      <c r="B813" s="21"/>
      <c r="C813" s="5"/>
    </row>
    <row r="814" spans="1:3" x14ac:dyDescent="0.25">
      <c r="A814" s="21"/>
      <c r="B814" s="21"/>
      <c r="C814" s="5"/>
    </row>
    <row r="815" spans="1:3" x14ac:dyDescent="0.25">
      <c r="A815" s="21"/>
      <c r="B815" s="21"/>
      <c r="C815" s="5"/>
    </row>
    <row r="816" spans="1:3" x14ac:dyDescent="0.25">
      <c r="A816" s="21"/>
      <c r="B816" s="21"/>
      <c r="C816" s="5"/>
    </row>
    <row r="817" spans="1:3" x14ac:dyDescent="0.25">
      <c r="A817" s="21"/>
      <c r="B817" s="21"/>
      <c r="C817" s="5"/>
    </row>
    <row r="818" spans="1:3" x14ac:dyDescent="0.25">
      <c r="A818" s="21"/>
      <c r="B818" s="21"/>
      <c r="C818" s="5"/>
    </row>
    <row r="819" spans="1:3" x14ac:dyDescent="0.25">
      <c r="A819" s="21"/>
      <c r="B819" s="21"/>
      <c r="C819" s="5"/>
    </row>
    <row r="820" spans="1:3" x14ac:dyDescent="0.25">
      <c r="A820" s="21"/>
      <c r="B820" s="21"/>
      <c r="C820" s="5"/>
    </row>
    <row r="821" spans="1:3" x14ac:dyDescent="0.25">
      <c r="A821" s="21"/>
      <c r="B821" s="21"/>
      <c r="C821" s="5"/>
    </row>
    <row r="822" spans="1:3" x14ac:dyDescent="0.25">
      <c r="A822" s="21"/>
      <c r="B822" s="21"/>
      <c r="C822" s="5"/>
    </row>
    <row r="823" spans="1:3" x14ac:dyDescent="0.25">
      <c r="A823" s="21"/>
      <c r="B823" s="21"/>
      <c r="C823" s="5"/>
    </row>
    <row r="824" spans="1:3" x14ac:dyDescent="0.25">
      <c r="A824" s="21"/>
      <c r="B824" s="21"/>
      <c r="C824" s="5"/>
    </row>
    <row r="825" spans="1:3" x14ac:dyDescent="0.25">
      <c r="A825" s="21"/>
      <c r="B825" s="21"/>
      <c r="C825" s="5"/>
    </row>
    <row r="826" spans="1:3" x14ac:dyDescent="0.25">
      <c r="A826" s="21"/>
      <c r="B826" s="21"/>
      <c r="C826" s="5"/>
    </row>
    <row r="827" spans="1:3" x14ac:dyDescent="0.25">
      <c r="A827" s="21"/>
      <c r="B827" s="21"/>
      <c r="C827" s="5"/>
    </row>
    <row r="828" spans="1:3" x14ac:dyDescent="0.25">
      <c r="A828" s="21"/>
      <c r="B828" s="21"/>
      <c r="C828" s="5"/>
    </row>
    <row r="829" spans="1:3" x14ac:dyDescent="0.25">
      <c r="A829" s="21"/>
      <c r="B829" s="21"/>
      <c r="C829" s="5"/>
    </row>
    <row r="830" spans="1:3" x14ac:dyDescent="0.25">
      <c r="A830" s="21"/>
      <c r="B830" s="21"/>
      <c r="C830" s="5"/>
    </row>
    <row r="831" spans="1:3" x14ac:dyDescent="0.25">
      <c r="A831" s="21"/>
      <c r="B831" s="21"/>
      <c r="C831" s="5"/>
    </row>
    <row r="832" spans="1:3" x14ac:dyDescent="0.25">
      <c r="A832" s="21"/>
      <c r="B832" s="21"/>
      <c r="C832" s="5"/>
    </row>
    <row r="833" spans="1:3" x14ac:dyDescent="0.25">
      <c r="A833" s="21"/>
      <c r="B833" s="21"/>
      <c r="C833" s="5"/>
    </row>
    <row r="834" spans="1:3" x14ac:dyDescent="0.25">
      <c r="A834" s="21"/>
      <c r="B834" s="21"/>
      <c r="C834" s="5"/>
    </row>
    <row r="835" spans="1:3" x14ac:dyDescent="0.25">
      <c r="A835" s="21"/>
      <c r="B835" s="21"/>
      <c r="C835" s="5"/>
    </row>
    <row r="836" spans="1:3" x14ac:dyDescent="0.25">
      <c r="A836" s="21"/>
      <c r="B836" s="21"/>
      <c r="C836" s="5"/>
    </row>
    <row r="837" spans="1:3" x14ac:dyDescent="0.25">
      <c r="A837" s="21"/>
      <c r="B837" s="21"/>
      <c r="C837" s="5"/>
    </row>
    <row r="838" spans="1:3" x14ac:dyDescent="0.25">
      <c r="A838" s="21"/>
      <c r="B838" s="21"/>
      <c r="C838" s="5"/>
    </row>
    <row r="839" spans="1:3" x14ac:dyDescent="0.25">
      <c r="A839" s="21"/>
      <c r="B839" s="21"/>
      <c r="C839" s="5"/>
    </row>
    <row r="840" spans="1:3" x14ac:dyDescent="0.25">
      <c r="A840" s="21"/>
      <c r="B840" s="21"/>
      <c r="C840" s="5"/>
    </row>
    <row r="841" spans="1:3" x14ac:dyDescent="0.25">
      <c r="A841" s="21"/>
      <c r="B841" s="21"/>
      <c r="C841" s="5"/>
    </row>
    <row r="842" spans="1:3" x14ac:dyDescent="0.25">
      <c r="A842" s="21"/>
      <c r="B842" s="21"/>
      <c r="C842" s="5"/>
    </row>
    <row r="843" spans="1:3" x14ac:dyDescent="0.25">
      <c r="A843" s="21"/>
      <c r="B843" s="21"/>
      <c r="C843" s="5"/>
    </row>
    <row r="844" spans="1:3" x14ac:dyDescent="0.25">
      <c r="A844" s="21"/>
      <c r="B844" s="21"/>
      <c r="C844" s="5"/>
    </row>
    <row r="845" spans="1:3" x14ac:dyDescent="0.25">
      <c r="A845" s="21"/>
      <c r="B845" s="21"/>
      <c r="C845" s="5"/>
    </row>
    <row r="846" spans="1:3" x14ac:dyDescent="0.25">
      <c r="A846" s="21"/>
      <c r="B846" s="21"/>
      <c r="C846" s="5"/>
    </row>
    <row r="847" spans="1:3" x14ac:dyDescent="0.25">
      <c r="A847" s="21"/>
      <c r="B847" s="21"/>
      <c r="C847" s="5"/>
    </row>
    <row r="848" spans="1:3" x14ac:dyDescent="0.25">
      <c r="A848" s="21"/>
      <c r="B848" s="21"/>
      <c r="C848" s="5"/>
    </row>
    <row r="849" spans="1:3" x14ac:dyDescent="0.25">
      <c r="A849" s="21"/>
      <c r="B849" s="21"/>
      <c r="C849" s="5"/>
    </row>
    <row r="850" spans="1:3" x14ac:dyDescent="0.25">
      <c r="A850" s="21"/>
      <c r="B850" s="21"/>
      <c r="C850" s="5"/>
    </row>
    <row r="851" spans="1:3" x14ac:dyDescent="0.25">
      <c r="A851" s="21"/>
      <c r="B851" s="21"/>
      <c r="C851" s="5"/>
    </row>
    <row r="852" spans="1:3" x14ac:dyDescent="0.25">
      <c r="A852" s="21"/>
      <c r="B852" s="21"/>
      <c r="C852" s="5"/>
    </row>
    <row r="853" spans="1:3" x14ac:dyDescent="0.25">
      <c r="A853" s="21"/>
      <c r="B853" s="21"/>
      <c r="C853" s="5"/>
    </row>
    <row r="854" spans="1:3" x14ac:dyDescent="0.25">
      <c r="A854" s="21"/>
      <c r="B854" s="21"/>
      <c r="C854" s="5"/>
    </row>
    <row r="855" spans="1:3" x14ac:dyDescent="0.25">
      <c r="A855" s="21"/>
      <c r="B855" s="21"/>
      <c r="C855" s="5"/>
    </row>
    <row r="856" spans="1:3" x14ac:dyDescent="0.25">
      <c r="A856" s="21"/>
      <c r="B856" s="21"/>
      <c r="C856" s="5"/>
    </row>
    <row r="857" spans="1:3" x14ac:dyDescent="0.25">
      <c r="A857" s="21"/>
      <c r="B857" s="21"/>
      <c r="C857" s="5"/>
    </row>
    <row r="858" spans="1:3" x14ac:dyDescent="0.25">
      <c r="A858" s="21"/>
      <c r="B858" s="21"/>
      <c r="C858" s="5"/>
    </row>
    <row r="859" spans="1:3" x14ac:dyDescent="0.25">
      <c r="A859" s="21"/>
      <c r="B859" s="21"/>
      <c r="C859" s="5"/>
    </row>
    <row r="860" spans="1:3" x14ac:dyDescent="0.25">
      <c r="A860" s="21"/>
      <c r="B860" s="21"/>
      <c r="C860" s="5"/>
    </row>
    <row r="861" spans="1:3" x14ac:dyDescent="0.25">
      <c r="A861" s="21"/>
      <c r="B861" s="21"/>
      <c r="C861" s="5"/>
    </row>
    <row r="862" spans="1:3" x14ac:dyDescent="0.25">
      <c r="A862" s="21"/>
      <c r="B862" s="21"/>
      <c r="C862" s="5"/>
    </row>
    <row r="863" spans="1:3" x14ac:dyDescent="0.25">
      <c r="A863" s="21"/>
      <c r="B863" s="21"/>
      <c r="C863" s="5"/>
    </row>
    <row r="864" spans="1:3" x14ac:dyDescent="0.25">
      <c r="A864" s="21"/>
      <c r="B864" s="21"/>
      <c r="C864" s="5"/>
    </row>
    <row r="865" spans="1:3" x14ac:dyDescent="0.25">
      <c r="A865" s="21"/>
      <c r="B865" s="21"/>
      <c r="C865" s="5"/>
    </row>
    <row r="866" spans="1:3" x14ac:dyDescent="0.25">
      <c r="A866" s="21"/>
      <c r="B866" s="21"/>
      <c r="C866" s="5"/>
    </row>
    <row r="867" spans="1:3" x14ac:dyDescent="0.25">
      <c r="A867" s="21"/>
      <c r="B867" s="21"/>
      <c r="C867" s="5"/>
    </row>
    <row r="868" spans="1:3" x14ac:dyDescent="0.25">
      <c r="A868" s="21"/>
      <c r="B868" s="21"/>
      <c r="C868" s="5"/>
    </row>
    <row r="869" spans="1:3" x14ac:dyDescent="0.25">
      <c r="A869" s="21"/>
      <c r="B869" s="21"/>
      <c r="C869" s="5"/>
    </row>
    <row r="870" spans="1:3" x14ac:dyDescent="0.25">
      <c r="A870" s="21"/>
      <c r="B870" s="21"/>
      <c r="C870" s="5"/>
    </row>
    <row r="871" spans="1:3" x14ac:dyDescent="0.25">
      <c r="A871" s="21"/>
      <c r="B871" s="21"/>
      <c r="C871" s="5"/>
    </row>
    <row r="872" spans="1:3" x14ac:dyDescent="0.25">
      <c r="A872" s="21"/>
      <c r="B872" s="21"/>
      <c r="C872" s="5"/>
    </row>
    <row r="873" spans="1:3" x14ac:dyDescent="0.25">
      <c r="A873" s="21"/>
      <c r="B873" s="21"/>
      <c r="C873" s="5"/>
    </row>
    <row r="874" spans="1:3" x14ac:dyDescent="0.25">
      <c r="A874" s="21"/>
      <c r="B874" s="21"/>
      <c r="C874" s="5"/>
    </row>
    <row r="875" spans="1:3" x14ac:dyDescent="0.25">
      <c r="A875" s="21"/>
      <c r="B875" s="21"/>
      <c r="C875" s="5"/>
    </row>
    <row r="876" spans="1:3" x14ac:dyDescent="0.25">
      <c r="A876" s="21"/>
      <c r="B876" s="21"/>
      <c r="C876" s="5"/>
    </row>
    <row r="877" spans="1:3" x14ac:dyDescent="0.25">
      <c r="A877" s="21"/>
      <c r="B877" s="21"/>
      <c r="C877" s="5"/>
    </row>
    <row r="878" spans="1:3" x14ac:dyDescent="0.25">
      <c r="A878" s="21"/>
      <c r="B878" s="21"/>
      <c r="C878" s="5"/>
    </row>
    <row r="879" spans="1:3" x14ac:dyDescent="0.25">
      <c r="A879" s="21"/>
      <c r="B879" s="21"/>
      <c r="C879" s="5"/>
    </row>
    <row r="880" spans="1:3" x14ac:dyDescent="0.25">
      <c r="A880" s="21"/>
      <c r="B880" s="21"/>
      <c r="C880" s="5"/>
    </row>
    <row r="881" spans="1:3" x14ac:dyDescent="0.25">
      <c r="A881" s="21"/>
      <c r="B881" s="21"/>
      <c r="C881" s="5"/>
    </row>
    <row r="882" spans="1:3" x14ac:dyDescent="0.25">
      <c r="A882" s="21"/>
      <c r="B882" s="21"/>
      <c r="C882" s="5"/>
    </row>
    <row r="883" spans="1:3" x14ac:dyDescent="0.25">
      <c r="A883" s="21"/>
      <c r="B883" s="21"/>
      <c r="C883" s="5"/>
    </row>
    <row r="884" spans="1:3" x14ac:dyDescent="0.25">
      <c r="A884" s="21"/>
      <c r="B884" s="21"/>
      <c r="C884" s="5"/>
    </row>
    <row r="885" spans="1:3" x14ac:dyDescent="0.25">
      <c r="A885" s="21"/>
      <c r="B885" s="21"/>
      <c r="C885" s="5"/>
    </row>
    <row r="886" spans="1:3" x14ac:dyDescent="0.25">
      <c r="A886" s="21"/>
      <c r="B886" s="21"/>
      <c r="C886" s="5"/>
    </row>
    <row r="887" spans="1:3" x14ac:dyDescent="0.25">
      <c r="A887" s="21"/>
      <c r="B887" s="21"/>
      <c r="C887" s="5"/>
    </row>
    <row r="888" spans="1:3" x14ac:dyDescent="0.25">
      <c r="A888" s="21"/>
      <c r="B888" s="21"/>
      <c r="C888" s="5"/>
    </row>
    <row r="889" spans="1:3" x14ac:dyDescent="0.25">
      <c r="A889" s="21"/>
      <c r="B889" s="21"/>
      <c r="C889" s="5"/>
    </row>
    <row r="890" spans="1:3" x14ac:dyDescent="0.25">
      <c r="A890" s="21"/>
      <c r="B890" s="21"/>
      <c r="C890" s="5"/>
    </row>
    <row r="891" spans="1:3" x14ac:dyDescent="0.25">
      <c r="A891" s="21"/>
      <c r="B891" s="21"/>
      <c r="C891" s="5"/>
    </row>
    <row r="892" spans="1:3" x14ac:dyDescent="0.25">
      <c r="A892" s="21"/>
      <c r="B892" s="21"/>
      <c r="C892" s="5"/>
    </row>
    <row r="893" spans="1:3" x14ac:dyDescent="0.25">
      <c r="A893" s="21"/>
      <c r="B893" s="21"/>
      <c r="C893" s="5"/>
    </row>
    <row r="894" spans="1:3" x14ac:dyDescent="0.25">
      <c r="A894" s="21"/>
      <c r="B894" s="21"/>
      <c r="C894" s="5"/>
    </row>
    <row r="895" spans="1:3" x14ac:dyDescent="0.25">
      <c r="A895" s="21"/>
      <c r="B895" s="21"/>
      <c r="C895" s="5"/>
    </row>
    <row r="896" spans="1:3" x14ac:dyDescent="0.25">
      <c r="A896" s="21"/>
      <c r="B896" s="21"/>
      <c r="C896" s="5"/>
    </row>
    <row r="897" spans="1:3" x14ac:dyDescent="0.25">
      <c r="A897" s="21"/>
      <c r="B897" s="21"/>
      <c r="C897" s="5"/>
    </row>
    <row r="898" spans="1:3" x14ac:dyDescent="0.25">
      <c r="A898" s="21"/>
      <c r="B898" s="21"/>
      <c r="C898" s="5"/>
    </row>
    <row r="899" spans="1:3" x14ac:dyDescent="0.25">
      <c r="A899" s="21"/>
      <c r="B899" s="21"/>
      <c r="C899" s="5"/>
    </row>
    <row r="900" spans="1:3" x14ac:dyDescent="0.25">
      <c r="A900" s="21"/>
      <c r="B900" s="21"/>
      <c r="C900" s="5"/>
    </row>
    <row r="901" spans="1:3" x14ac:dyDescent="0.25">
      <c r="A901" s="21"/>
      <c r="B901" s="21"/>
      <c r="C901" s="5"/>
    </row>
    <row r="902" spans="1:3" x14ac:dyDescent="0.25">
      <c r="A902" s="21"/>
      <c r="B902" s="21"/>
      <c r="C902" s="5"/>
    </row>
    <row r="903" spans="1:3" x14ac:dyDescent="0.25">
      <c r="A903" s="21"/>
      <c r="B903" s="21"/>
      <c r="C903" s="5"/>
    </row>
    <row r="904" spans="1:3" x14ac:dyDescent="0.25">
      <c r="A904" s="21"/>
      <c r="B904" s="21"/>
      <c r="C904" s="5"/>
    </row>
    <row r="905" spans="1:3" x14ac:dyDescent="0.25">
      <c r="A905" s="21"/>
      <c r="B905" s="21"/>
      <c r="C905" s="5"/>
    </row>
    <row r="906" spans="1:3" x14ac:dyDescent="0.25">
      <c r="A906" s="21"/>
      <c r="B906" s="21"/>
      <c r="C906" s="5"/>
    </row>
    <row r="907" spans="1:3" x14ac:dyDescent="0.25">
      <c r="A907" s="21"/>
      <c r="B907" s="21"/>
      <c r="C907" s="5"/>
    </row>
    <row r="908" spans="1:3" x14ac:dyDescent="0.25">
      <c r="A908" s="21"/>
      <c r="B908" s="21"/>
      <c r="C908" s="5"/>
    </row>
    <row r="909" spans="1:3" x14ac:dyDescent="0.25">
      <c r="A909" s="21"/>
      <c r="B909" s="21"/>
      <c r="C909" s="5"/>
    </row>
    <row r="910" spans="1:3" x14ac:dyDescent="0.25">
      <c r="A910" s="21"/>
      <c r="B910" s="21"/>
      <c r="C910" s="5"/>
    </row>
    <row r="911" spans="1:3" x14ac:dyDescent="0.25">
      <c r="A911" s="21"/>
      <c r="B911" s="21"/>
      <c r="C911" s="5"/>
    </row>
    <row r="912" spans="1:3" x14ac:dyDescent="0.25">
      <c r="A912" s="21"/>
      <c r="B912" s="21"/>
      <c r="C912" s="5"/>
    </row>
    <row r="913" spans="1:3" x14ac:dyDescent="0.25">
      <c r="A913" s="21"/>
      <c r="B913" s="21"/>
      <c r="C913" s="5"/>
    </row>
    <row r="914" spans="1:3" x14ac:dyDescent="0.25">
      <c r="A914" s="21"/>
      <c r="B914" s="21"/>
      <c r="C914" s="5"/>
    </row>
    <row r="915" spans="1:3" x14ac:dyDescent="0.25">
      <c r="A915" s="21"/>
      <c r="B915" s="21"/>
      <c r="C915" s="5"/>
    </row>
    <row r="916" spans="1:3" x14ac:dyDescent="0.25">
      <c r="A916" s="21"/>
      <c r="B916" s="21"/>
      <c r="C916" s="5"/>
    </row>
    <row r="917" spans="1:3" x14ac:dyDescent="0.25">
      <c r="A917" s="21"/>
      <c r="B917" s="21"/>
      <c r="C917" s="5"/>
    </row>
    <row r="918" spans="1:3" x14ac:dyDescent="0.25">
      <c r="A918" s="21"/>
      <c r="B918" s="21"/>
      <c r="C918" s="5"/>
    </row>
    <row r="919" spans="1:3" x14ac:dyDescent="0.25">
      <c r="A919" s="21"/>
      <c r="B919" s="21"/>
      <c r="C919" s="5"/>
    </row>
    <row r="920" spans="1:3" x14ac:dyDescent="0.25">
      <c r="A920" s="21"/>
      <c r="B920" s="21"/>
      <c r="C920" s="5"/>
    </row>
    <row r="921" spans="1:3" x14ac:dyDescent="0.25">
      <c r="A921" s="21"/>
      <c r="B921" s="21"/>
      <c r="C921" s="5"/>
    </row>
    <row r="922" spans="1:3" x14ac:dyDescent="0.25">
      <c r="A922" s="21"/>
      <c r="B922" s="21"/>
      <c r="C922" s="5"/>
    </row>
    <row r="923" spans="1:3" x14ac:dyDescent="0.25">
      <c r="A923" s="21"/>
      <c r="B923" s="21"/>
      <c r="C923" s="5"/>
    </row>
    <row r="924" spans="1:3" x14ac:dyDescent="0.25">
      <c r="A924" s="21"/>
      <c r="B924" s="21"/>
      <c r="C924" s="5"/>
    </row>
    <row r="925" spans="1:3" x14ac:dyDescent="0.25">
      <c r="A925" s="21"/>
      <c r="B925" s="21"/>
      <c r="C925" s="5"/>
    </row>
    <row r="926" spans="1:3" x14ac:dyDescent="0.25">
      <c r="A926" s="21"/>
      <c r="B926" s="21"/>
      <c r="C926" s="5"/>
    </row>
    <row r="927" spans="1:3" x14ac:dyDescent="0.25">
      <c r="A927" s="21"/>
      <c r="B927" s="21"/>
      <c r="C927" s="5"/>
    </row>
    <row r="928" spans="1:3" x14ac:dyDescent="0.25">
      <c r="A928" s="21"/>
      <c r="B928" s="21"/>
      <c r="C928" s="5"/>
    </row>
    <row r="929" spans="1:3" x14ac:dyDescent="0.25">
      <c r="A929" s="21"/>
      <c r="B929" s="21"/>
      <c r="C929" s="5"/>
    </row>
    <row r="930" spans="1:3" x14ac:dyDescent="0.25">
      <c r="A930" s="21"/>
      <c r="B930" s="21"/>
      <c r="C930" s="5"/>
    </row>
    <row r="931" spans="1:3" x14ac:dyDescent="0.25">
      <c r="A931" s="21"/>
      <c r="B931" s="21"/>
      <c r="C931" s="5"/>
    </row>
    <row r="932" spans="1:3" x14ac:dyDescent="0.25">
      <c r="A932" s="21"/>
      <c r="B932" s="21"/>
      <c r="C932" s="5"/>
    </row>
    <row r="933" spans="1:3" x14ac:dyDescent="0.25">
      <c r="A933" s="21"/>
      <c r="B933" s="21"/>
      <c r="C933" s="5"/>
    </row>
    <row r="934" spans="1:3" x14ac:dyDescent="0.25">
      <c r="A934" s="21"/>
      <c r="B934" s="21"/>
      <c r="C934" s="5"/>
    </row>
    <row r="935" spans="1:3" x14ac:dyDescent="0.25">
      <c r="A935" s="21"/>
      <c r="B935" s="21"/>
      <c r="C935" s="5"/>
    </row>
    <row r="936" spans="1:3" x14ac:dyDescent="0.25">
      <c r="A936" s="21"/>
      <c r="B936" s="21"/>
      <c r="C936" s="5"/>
    </row>
    <row r="937" spans="1:3" x14ac:dyDescent="0.25">
      <c r="A937" s="21"/>
      <c r="B937" s="21"/>
      <c r="C937" s="5"/>
    </row>
    <row r="938" spans="1:3" x14ac:dyDescent="0.25">
      <c r="A938" s="21"/>
      <c r="B938" s="21"/>
      <c r="C938" s="5"/>
    </row>
    <row r="939" spans="1:3" x14ac:dyDescent="0.25">
      <c r="A939" s="21"/>
      <c r="B939" s="21"/>
      <c r="C939" s="5"/>
    </row>
    <row r="940" spans="1:3" x14ac:dyDescent="0.25">
      <c r="A940" s="21"/>
      <c r="B940" s="21"/>
      <c r="C940" s="5"/>
    </row>
    <row r="941" spans="1:3" x14ac:dyDescent="0.25">
      <c r="A941" s="21"/>
      <c r="B941" s="21"/>
      <c r="C941" s="5"/>
    </row>
    <row r="942" spans="1:3" x14ac:dyDescent="0.25">
      <c r="A942" s="21"/>
      <c r="B942" s="21"/>
      <c r="C942" s="5"/>
    </row>
    <row r="943" spans="1:3" x14ac:dyDescent="0.25">
      <c r="A943" s="21"/>
      <c r="B943" s="21"/>
      <c r="C943" s="5"/>
    </row>
    <row r="944" spans="1:3" x14ac:dyDescent="0.25">
      <c r="A944" s="21"/>
      <c r="B944" s="21"/>
      <c r="C944" s="5"/>
    </row>
    <row r="945" spans="1:3" x14ac:dyDescent="0.25">
      <c r="A945" s="21"/>
      <c r="B945" s="21"/>
      <c r="C945" s="5"/>
    </row>
    <row r="946" spans="1:3" x14ac:dyDescent="0.25">
      <c r="A946" s="21"/>
      <c r="B946" s="21"/>
      <c r="C946" s="5"/>
    </row>
    <row r="947" spans="1:3" x14ac:dyDescent="0.25">
      <c r="A947" s="21"/>
      <c r="B947" s="21"/>
      <c r="C947" s="5"/>
    </row>
    <row r="948" spans="1:3" x14ac:dyDescent="0.25">
      <c r="A948" s="21"/>
      <c r="B948" s="21"/>
      <c r="C948" s="5"/>
    </row>
    <row r="949" spans="1:3" x14ac:dyDescent="0.25">
      <c r="A949" s="21"/>
      <c r="B949" s="21"/>
      <c r="C949" s="5"/>
    </row>
    <row r="950" spans="1:3" x14ac:dyDescent="0.25">
      <c r="A950" s="21"/>
      <c r="B950" s="21"/>
      <c r="C950" s="5"/>
    </row>
    <row r="951" spans="1:3" x14ac:dyDescent="0.25">
      <c r="A951" s="21"/>
      <c r="B951" s="21"/>
      <c r="C951" s="5"/>
    </row>
    <row r="952" spans="1:3" x14ac:dyDescent="0.25">
      <c r="A952" s="21"/>
      <c r="B952" s="21"/>
      <c r="C952" s="5"/>
    </row>
    <row r="953" spans="1:3" x14ac:dyDescent="0.25">
      <c r="A953" s="21"/>
      <c r="B953" s="21"/>
      <c r="C953" s="5"/>
    </row>
    <row r="954" spans="1:3" x14ac:dyDescent="0.25">
      <c r="A954" s="21"/>
      <c r="B954" s="21"/>
      <c r="C954" s="5"/>
    </row>
    <row r="955" spans="1:3" x14ac:dyDescent="0.25">
      <c r="A955" s="21"/>
      <c r="B955" s="21"/>
      <c r="C955" s="5"/>
    </row>
    <row r="956" spans="1:3" x14ac:dyDescent="0.25">
      <c r="A956" s="21"/>
      <c r="B956" s="21"/>
      <c r="C956" s="5"/>
    </row>
    <row r="957" spans="1:3" x14ac:dyDescent="0.25">
      <c r="A957" s="21"/>
      <c r="B957" s="21"/>
      <c r="C957" s="5"/>
    </row>
    <row r="958" spans="1:3" x14ac:dyDescent="0.25">
      <c r="A958" s="21"/>
      <c r="B958" s="21"/>
      <c r="C958" s="5"/>
    </row>
    <row r="959" spans="1:3" x14ac:dyDescent="0.25">
      <c r="A959" s="21"/>
      <c r="B959" s="21"/>
      <c r="C959" s="5"/>
    </row>
    <row r="960" spans="1:3" x14ac:dyDescent="0.25">
      <c r="A960" s="21"/>
      <c r="B960" s="21"/>
      <c r="C960" s="5"/>
    </row>
    <row r="961" spans="1:3" x14ac:dyDescent="0.25">
      <c r="A961" s="21"/>
      <c r="B961" s="21"/>
      <c r="C961" s="5"/>
    </row>
    <row r="962" spans="1:3" x14ac:dyDescent="0.25">
      <c r="A962" s="21"/>
      <c r="B962" s="21"/>
      <c r="C962" s="5"/>
    </row>
    <row r="963" spans="1:3" x14ac:dyDescent="0.25">
      <c r="A963" s="21"/>
      <c r="B963" s="21"/>
      <c r="C963" s="5"/>
    </row>
    <row r="964" spans="1:3" x14ac:dyDescent="0.25">
      <c r="A964" s="21"/>
      <c r="B964" s="21"/>
      <c r="C964" s="5"/>
    </row>
    <row r="965" spans="1:3" x14ac:dyDescent="0.25">
      <c r="A965" s="21"/>
      <c r="B965" s="21"/>
      <c r="C965" s="5"/>
    </row>
    <row r="966" spans="1:3" x14ac:dyDescent="0.25">
      <c r="A966" s="21"/>
      <c r="B966" s="21"/>
      <c r="C966" s="5"/>
    </row>
    <row r="967" spans="1:3" x14ac:dyDescent="0.25">
      <c r="A967" s="21"/>
      <c r="B967" s="21"/>
      <c r="C967" s="5"/>
    </row>
    <row r="968" spans="1:3" x14ac:dyDescent="0.25">
      <c r="A968" s="21"/>
      <c r="B968" s="21"/>
      <c r="C968" s="5"/>
    </row>
    <row r="969" spans="1:3" x14ac:dyDescent="0.25">
      <c r="A969" s="21"/>
      <c r="B969" s="21"/>
      <c r="C969" s="5"/>
    </row>
    <row r="970" spans="1:3" x14ac:dyDescent="0.25">
      <c r="A970" s="21"/>
      <c r="B970" s="21"/>
      <c r="C970" s="5"/>
    </row>
    <row r="971" spans="1:3" x14ac:dyDescent="0.25">
      <c r="A971" s="21"/>
      <c r="B971" s="21"/>
      <c r="C971" s="5"/>
    </row>
    <row r="972" spans="1:3" x14ac:dyDescent="0.25">
      <c r="A972" s="21"/>
      <c r="B972" s="21"/>
      <c r="C972" s="5"/>
    </row>
    <row r="973" spans="1:3" x14ac:dyDescent="0.25">
      <c r="A973" s="21"/>
      <c r="B973" s="21"/>
      <c r="C973" s="5"/>
    </row>
    <row r="974" spans="1:3" x14ac:dyDescent="0.25">
      <c r="A974" s="21"/>
      <c r="B974" s="21"/>
      <c r="C974" s="5"/>
    </row>
    <row r="975" spans="1:3" x14ac:dyDescent="0.25">
      <c r="A975" s="21"/>
      <c r="B975" s="21"/>
      <c r="C975" s="5"/>
    </row>
    <row r="976" spans="1:3" x14ac:dyDescent="0.25">
      <c r="A976" s="21"/>
      <c r="B976" s="21"/>
      <c r="C976" s="5"/>
    </row>
    <row r="977" spans="1:3" x14ac:dyDescent="0.25">
      <c r="A977" s="21"/>
      <c r="B977" s="21"/>
      <c r="C977" s="5"/>
    </row>
    <row r="978" spans="1:3" x14ac:dyDescent="0.25">
      <c r="A978" s="21"/>
      <c r="B978" s="21"/>
      <c r="C978" s="5"/>
    </row>
    <row r="979" spans="1:3" x14ac:dyDescent="0.25">
      <c r="A979" s="21"/>
      <c r="B979" s="21"/>
      <c r="C979" s="5"/>
    </row>
    <row r="980" spans="1:3" x14ac:dyDescent="0.25">
      <c r="A980" s="21"/>
      <c r="B980" s="21"/>
      <c r="C980" s="5"/>
    </row>
    <row r="981" spans="1:3" x14ac:dyDescent="0.25">
      <c r="A981" s="21"/>
      <c r="B981" s="21"/>
      <c r="C981" s="5"/>
    </row>
    <row r="982" spans="1:3" x14ac:dyDescent="0.25">
      <c r="A982" s="21"/>
      <c r="B982" s="21"/>
      <c r="C982" s="5"/>
    </row>
    <row r="983" spans="1:3" x14ac:dyDescent="0.25">
      <c r="A983" s="21"/>
      <c r="B983" s="21"/>
      <c r="C983" s="5"/>
    </row>
    <row r="984" spans="1:3" x14ac:dyDescent="0.25">
      <c r="A984" s="21"/>
      <c r="B984" s="21"/>
      <c r="C984" s="5"/>
    </row>
    <row r="985" spans="1:3" x14ac:dyDescent="0.25">
      <c r="A985" s="21"/>
      <c r="B985" s="21"/>
      <c r="C985" s="5"/>
    </row>
    <row r="986" spans="1:3" x14ac:dyDescent="0.25">
      <c r="A986" s="21"/>
      <c r="B986" s="21"/>
      <c r="C986" s="5"/>
    </row>
    <row r="987" spans="1:3" x14ac:dyDescent="0.25">
      <c r="A987" s="21"/>
      <c r="B987" s="21"/>
      <c r="C987" s="5"/>
    </row>
    <row r="988" spans="1:3" x14ac:dyDescent="0.25">
      <c r="A988" s="21"/>
      <c r="B988" s="21"/>
      <c r="C988" s="5"/>
    </row>
    <row r="989" spans="1:3" x14ac:dyDescent="0.25">
      <c r="A989" s="21"/>
      <c r="B989" s="21"/>
      <c r="C989" s="5"/>
    </row>
    <row r="990" spans="1:3" x14ac:dyDescent="0.25">
      <c r="A990" s="21"/>
      <c r="B990" s="21"/>
      <c r="C990" s="5"/>
    </row>
    <row r="991" spans="1:3" x14ac:dyDescent="0.25">
      <c r="A991" s="21"/>
      <c r="B991" s="21"/>
      <c r="C991" s="5"/>
    </row>
    <row r="992" spans="1:3" x14ac:dyDescent="0.25">
      <c r="A992" s="21"/>
      <c r="B992" s="21"/>
      <c r="C992" s="5"/>
    </row>
    <row r="993" spans="1:3" x14ac:dyDescent="0.25">
      <c r="A993" s="21"/>
      <c r="B993" s="21"/>
      <c r="C993" s="5"/>
    </row>
    <row r="994" spans="1:3" x14ac:dyDescent="0.25">
      <c r="A994" s="21"/>
      <c r="B994" s="21"/>
      <c r="C994" s="5"/>
    </row>
    <row r="995" spans="1:3" x14ac:dyDescent="0.25">
      <c r="A995" s="21"/>
      <c r="B995" s="21"/>
      <c r="C995" s="5"/>
    </row>
    <row r="996" spans="1:3" x14ac:dyDescent="0.25">
      <c r="A996" s="21"/>
      <c r="B996" s="21"/>
      <c r="C996" s="5"/>
    </row>
    <row r="997" spans="1:3" x14ac:dyDescent="0.25">
      <c r="A997" s="21"/>
      <c r="B997" s="21"/>
      <c r="C997" s="5"/>
    </row>
    <row r="998" spans="1:3" x14ac:dyDescent="0.25">
      <c r="A998" s="21"/>
      <c r="B998" s="21"/>
      <c r="C998" s="5"/>
    </row>
    <row r="999" spans="1:3" x14ac:dyDescent="0.25">
      <c r="A999" s="21"/>
      <c r="B999" s="21"/>
      <c r="C999" s="5"/>
    </row>
    <row r="1000" spans="1:3" x14ac:dyDescent="0.25">
      <c r="A1000" s="21"/>
      <c r="B1000" s="21"/>
      <c r="C1000" s="5"/>
    </row>
    <row r="1001" spans="1:3" x14ac:dyDescent="0.25">
      <c r="A1001" s="21"/>
      <c r="B1001" s="21"/>
      <c r="C1001" s="5"/>
    </row>
    <row r="1002" spans="1:3" x14ac:dyDescent="0.25">
      <c r="A1002" s="21"/>
      <c r="B1002" s="21"/>
      <c r="C1002" s="5"/>
    </row>
    <row r="1003" spans="1:3" x14ac:dyDescent="0.25">
      <c r="A1003" s="21"/>
      <c r="B1003" s="21"/>
      <c r="C1003" s="5"/>
    </row>
    <row r="1004" spans="1:3" x14ac:dyDescent="0.25">
      <c r="A1004" s="21"/>
      <c r="B1004" s="21"/>
      <c r="C1004" s="5"/>
    </row>
    <row r="1005" spans="1:3" x14ac:dyDescent="0.25">
      <c r="A1005" s="21"/>
      <c r="B1005" s="21"/>
      <c r="C1005" s="5"/>
    </row>
    <row r="1006" spans="1:3" x14ac:dyDescent="0.25">
      <c r="A1006" s="21"/>
      <c r="B1006" s="21"/>
      <c r="C1006" s="5"/>
    </row>
    <row r="1007" spans="1:3" x14ac:dyDescent="0.25">
      <c r="A1007" s="21"/>
      <c r="B1007" s="21"/>
      <c r="C1007" s="5"/>
    </row>
    <row r="1008" spans="1:3" x14ac:dyDescent="0.25">
      <c r="A1008" s="21"/>
      <c r="B1008" s="21"/>
      <c r="C1008" s="5"/>
    </row>
    <row r="1009" spans="1:3" x14ac:dyDescent="0.25">
      <c r="A1009" s="21"/>
      <c r="B1009" s="21"/>
      <c r="C1009" s="5"/>
    </row>
    <row r="1010" spans="1:3" x14ac:dyDescent="0.25">
      <c r="A1010" s="21"/>
      <c r="B1010" s="21"/>
      <c r="C1010" s="5"/>
    </row>
    <row r="1011" spans="1:3" x14ac:dyDescent="0.25">
      <c r="A1011" s="21"/>
      <c r="B1011" s="21"/>
      <c r="C1011" s="5"/>
    </row>
    <row r="1012" spans="1:3" x14ac:dyDescent="0.25">
      <c r="A1012" s="21"/>
      <c r="B1012" s="21"/>
      <c r="C1012" s="5"/>
    </row>
    <row r="1013" spans="1:3" x14ac:dyDescent="0.25">
      <c r="A1013" s="21"/>
      <c r="B1013" s="21"/>
      <c r="C1013" s="5"/>
    </row>
    <row r="1014" spans="1:3" x14ac:dyDescent="0.25">
      <c r="A1014" s="21"/>
      <c r="B1014" s="21"/>
      <c r="C1014" s="5"/>
    </row>
    <row r="1015" spans="1:3" x14ac:dyDescent="0.25">
      <c r="A1015" s="21"/>
      <c r="B1015" s="21"/>
      <c r="C1015" s="5"/>
    </row>
    <row r="1016" spans="1:3" x14ac:dyDescent="0.25">
      <c r="A1016" s="21"/>
      <c r="B1016" s="21"/>
      <c r="C1016" s="5"/>
    </row>
    <row r="1017" spans="1:3" x14ac:dyDescent="0.25">
      <c r="A1017" s="21"/>
      <c r="B1017" s="21"/>
      <c r="C1017" s="5"/>
    </row>
    <row r="1018" spans="1:3" x14ac:dyDescent="0.25">
      <c r="A1018" s="21"/>
      <c r="B1018" s="21"/>
      <c r="C1018" s="5"/>
    </row>
    <row r="1019" spans="1:3" x14ac:dyDescent="0.25">
      <c r="A1019" s="21"/>
      <c r="B1019" s="21"/>
      <c r="C1019" s="5"/>
    </row>
    <row r="1020" spans="1:3" x14ac:dyDescent="0.25">
      <c r="A1020" s="21"/>
      <c r="B1020" s="21"/>
      <c r="C1020" s="5"/>
    </row>
    <row r="1021" spans="1:3" x14ac:dyDescent="0.25">
      <c r="A1021" s="21"/>
      <c r="B1021" s="21"/>
      <c r="C1021" s="5"/>
    </row>
    <row r="1022" spans="1:3" x14ac:dyDescent="0.25">
      <c r="A1022" s="21"/>
      <c r="B1022" s="21"/>
      <c r="C1022" s="5"/>
    </row>
    <row r="1023" spans="1:3" x14ac:dyDescent="0.25">
      <c r="A1023" s="21"/>
      <c r="B1023" s="21"/>
      <c r="C1023" s="5"/>
    </row>
    <row r="1024" spans="1:3" x14ac:dyDescent="0.25">
      <c r="A1024" s="21"/>
      <c r="B1024" s="21"/>
      <c r="C1024" s="5"/>
    </row>
    <row r="1025" spans="1:3" x14ac:dyDescent="0.25">
      <c r="A1025" s="21"/>
      <c r="B1025" s="21"/>
      <c r="C1025" s="5"/>
    </row>
    <row r="1026" spans="1:3" x14ac:dyDescent="0.25">
      <c r="A1026" s="21"/>
      <c r="B1026" s="21"/>
      <c r="C1026" s="5"/>
    </row>
    <row r="1027" spans="1:3" x14ac:dyDescent="0.25">
      <c r="A1027" s="21"/>
      <c r="B1027" s="21"/>
      <c r="C1027" s="5"/>
    </row>
    <row r="1028" spans="1:3" x14ac:dyDescent="0.25">
      <c r="A1028" s="21"/>
      <c r="B1028" s="21"/>
      <c r="C1028" s="5"/>
    </row>
    <row r="1029" spans="1:3" x14ac:dyDescent="0.25">
      <c r="A1029" s="21"/>
      <c r="B1029" s="21"/>
      <c r="C1029" s="5"/>
    </row>
    <row r="1030" spans="1:3" x14ac:dyDescent="0.25">
      <c r="A1030" s="21"/>
      <c r="B1030" s="21"/>
      <c r="C1030" s="5"/>
    </row>
    <row r="1031" spans="1:3" x14ac:dyDescent="0.25">
      <c r="A1031" s="21"/>
      <c r="B1031" s="21"/>
      <c r="C1031" s="5"/>
    </row>
    <row r="1032" spans="1:3" x14ac:dyDescent="0.25">
      <c r="A1032" s="21"/>
      <c r="B1032" s="21"/>
      <c r="C1032" s="5"/>
    </row>
    <row r="1033" spans="1:3" x14ac:dyDescent="0.25">
      <c r="A1033" s="21"/>
      <c r="B1033" s="21"/>
      <c r="C1033" s="5"/>
    </row>
    <row r="1034" spans="1:3" x14ac:dyDescent="0.25">
      <c r="A1034" s="21"/>
      <c r="B1034" s="21"/>
      <c r="C1034" s="5"/>
    </row>
    <row r="1035" spans="1:3" x14ac:dyDescent="0.25">
      <c r="A1035" s="21"/>
      <c r="B1035" s="21"/>
      <c r="C1035" s="5"/>
    </row>
    <row r="1036" spans="1:3" x14ac:dyDescent="0.25">
      <c r="A1036" s="21"/>
      <c r="B1036" s="21"/>
      <c r="C1036" s="5"/>
    </row>
    <row r="1037" spans="1:3" x14ac:dyDescent="0.25">
      <c r="A1037" s="21"/>
      <c r="B1037" s="21"/>
      <c r="C1037" s="5"/>
    </row>
    <row r="1038" spans="1:3" x14ac:dyDescent="0.25">
      <c r="A1038" s="21"/>
      <c r="B1038" s="21"/>
      <c r="C1038" s="5"/>
    </row>
    <row r="1039" spans="1:3" x14ac:dyDescent="0.25">
      <c r="A1039" s="21"/>
      <c r="B1039" s="21"/>
      <c r="C1039" s="5"/>
    </row>
    <row r="1040" spans="1:3" x14ac:dyDescent="0.25">
      <c r="A1040" s="21"/>
      <c r="B1040" s="21"/>
      <c r="C1040" s="5"/>
    </row>
    <row r="1041" spans="1:3" x14ac:dyDescent="0.25">
      <c r="A1041" s="21"/>
      <c r="B1041" s="21"/>
      <c r="C1041" s="5"/>
    </row>
    <row r="1042" spans="1:3" x14ac:dyDescent="0.25">
      <c r="A1042" s="21"/>
      <c r="B1042" s="21"/>
      <c r="C1042" s="5"/>
    </row>
    <row r="1043" spans="1:3" x14ac:dyDescent="0.25">
      <c r="A1043" s="21"/>
      <c r="B1043" s="21"/>
      <c r="C1043" s="5"/>
    </row>
    <row r="1044" spans="1:3" x14ac:dyDescent="0.25">
      <c r="A1044" s="21"/>
      <c r="B1044" s="21"/>
      <c r="C1044" s="5"/>
    </row>
    <row r="1045" spans="1:3" x14ac:dyDescent="0.25">
      <c r="A1045" s="21"/>
      <c r="B1045" s="21"/>
      <c r="C1045" s="5"/>
    </row>
    <row r="1046" spans="1:3" x14ac:dyDescent="0.25">
      <c r="A1046" s="21"/>
      <c r="B1046" s="21"/>
      <c r="C1046" s="5"/>
    </row>
    <row r="1047" spans="1:3" x14ac:dyDescent="0.25">
      <c r="A1047" s="21"/>
      <c r="B1047" s="21"/>
      <c r="C1047" s="5"/>
    </row>
    <row r="1048" spans="1:3" x14ac:dyDescent="0.25">
      <c r="A1048" s="21"/>
      <c r="B1048" s="21"/>
      <c r="C1048" s="5"/>
    </row>
    <row r="1049" spans="1:3" x14ac:dyDescent="0.25">
      <c r="A1049" s="21"/>
      <c r="B1049" s="21"/>
      <c r="C1049" s="5"/>
    </row>
    <row r="1050" spans="1:3" x14ac:dyDescent="0.25">
      <c r="A1050" s="21"/>
      <c r="B1050" s="21"/>
      <c r="C1050" s="5"/>
    </row>
    <row r="1051" spans="1:3" x14ac:dyDescent="0.25">
      <c r="A1051" s="21"/>
      <c r="B1051" s="21"/>
      <c r="C1051" s="5"/>
    </row>
    <row r="1052" spans="1:3" x14ac:dyDescent="0.25">
      <c r="A1052" s="21"/>
      <c r="B1052" s="21"/>
      <c r="C1052" s="5"/>
    </row>
    <row r="1053" spans="1:3" x14ac:dyDescent="0.25">
      <c r="A1053" s="21"/>
      <c r="B1053" s="21"/>
      <c r="C1053" s="5"/>
    </row>
    <row r="1054" spans="1:3" x14ac:dyDescent="0.25">
      <c r="A1054" s="21"/>
      <c r="B1054" s="21"/>
      <c r="C1054" s="5"/>
    </row>
    <row r="1055" spans="1:3" x14ac:dyDescent="0.25">
      <c r="A1055" s="21"/>
      <c r="B1055" s="21"/>
      <c r="C1055" s="5"/>
    </row>
    <row r="1056" spans="1:3" x14ac:dyDescent="0.25">
      <c r="A1056" s="21"/>
      <c r="B1056" s="21"/>
      <c r="C1056" s="5"/>
    </row>
    <row r="1057" spans="1:3" x14ac:dyDescent="0.25">
      <c r="A1057" s="21"/>
      <c r="B1057" s="21"/>
      <c r="C1057" s="5"/>
    </row>
    <row r="1058" spans="1:3" x14ac:dyDescent="0.25">
      <c r="A1058" s="21"/>
      <c r="B1058" s="21"/>
      <c r="C1058" s="5"/>
    </row>
    <row r="1059" spans="1:3" x14ac:dyDescent="0.25">
      <c r="A1059" s="21"/>
      <c r="B1059" s="21"/>
      <c r="C1059" s="5"/>
    </row>
    <row r="1060" spans="1:3" x14ac:dyDescent="0.25">
      <c r="A1060" s="21"/>
      <c r="B1060" s="21"/>
      <c r="C1060" s="5"/>
    </row>
    <row r="1061" spans="1:3" x14ac:dyDescent="0.25">
      <c r="A1061" s="21"/>
      <c r="B1061" s="21"/>
      <c r="C1061" s="5"/>
    </row>
    <row r="1062" spans="1:3" x14ac:dyDescent="0.25">
      <c r="A1062" s="21"/>
      <c r="B1062" s="21"/>
      <c r="C1062" s="5"/>
    </row>
    <row r="1063" spans="1:3" x14ac:dyDescent="0.25">
      <c r="A1063" s="21"/>
      <c r="B1063" s="21"/>
      <c r="C1063" s="5"/>
    </row>
    <row r="1064" spans="1:3" x14ac:dyDescent="0.25">
      <c r="A1064" s="21"/>
      <c r="B1064" s="21"/>
      <c r="C1064" s="5"/>
    </row>
    <row r="1065" spans="1:3" x14ac:dyDescent="0.25">
      <c r="A1065" s="21"/>
      <c r="B1065" s="21"/>
      <c r="C1065" s="5"/>
    </row>
    <row r="1066" spans="1:3" x14ac:dyDescent="0.25">
      <c r="A1066" s="21"/>
      <c r="B1066" s="21"/>
      <c r="C1066" s="5"/>
    </row>
    <row r="1067" spans="1:3" x14ac:dyDescent="0.25">
      <c r="A1067" s="21"/>
      <c r="B1067" s="21"/>
      <c r="C1067" s="5"/>
    </row>
    <row r="1068" spans="1:3" x14ac:dyDescent="0.25">
      <c r="A1068" s="21"/>
      <c r="B1068" s="21"/>
      <c r="C1068" s="5"/>
    </row>
    <row r="1069" spans="1:3" x14ac:dyDescent="0.25">
      <c r="A1069" s="21"/>
      <c r="B1069" s="21"/>
      <c r="C1069" s="5"/>
    </row>
    <row r="1070" spans="1:3" x14ac:dyDescent="0.25">
      <c r="A1070" s="21"/>
      <c r="B1070" s="21"/>
      <c r="C1070" s="5"/>
    </row>
    <row r="1071" spans="1:3" x14ac:dyDescent="0.25">
      <c r="A1071" s="21"/>
      <c r="B1071" s="21"/>
      <c r="C1071" s="5"/>
    </row>
    <row r="1072" spans="1:3" x14ac:dyDescent="0.25">
      <c r="A1072" s="21"/>
      <c r="B1072" s="21"/>
      <c r="C1072" s="5"/>
    </row>
    <row r="1073" spans="1:3" x14ac:dyDescent="0.25">
      <c r="A1073" s="21"/>
      <c r="B1073" s="21"/>
      <c r="C1073" s="5"/>
    </row>
    <row r="1074" spans="1:3" x14ac:dyDescent="0.25">
      <c r="A1074" s="21"/>
      <c r="B1074" s="21"/>
      <c r="C1074" s="5"/>
    </row>
    <row r="1075" spans="1:3" x14ac:dyDescent="0.25">
      <c r="A1075" s="21"/>
      <c r="B1075" s="21"/>
      <c r="C1075" s="5"/>
    </row>
    <row r="1076" spans="1:3" x14ac:dyDescent="0.25">
      <c r="A1076" s="21"/>
      <c r="B1076" s="21"/>
      <c r="C1076" s="5"/>
    </row>
    <row r="1077" spans="1:3" x14ac:dyDescent="0.25">
      <c r="A1077" s="21"/>
      <c r="B1077" s="21"/>
      <c r="C1077" s="5"/>
    </row>
    <row r="1078" spans="1:3" x14ac:dyDescent="0.25">
      <c r="A1078" s="21"/>
      <c r="B1078" s="21"/>
      <c r="C1078" s="5"/>
    </row>
    <row r="1079" spans="1:3" x14ac:dyDescent="0.25">
      <c r="A1079" s="21"/>
      <c r="B1079" s="21"/>
      <c r="C1079" s="5"/>
    </row>
    <row r="1080" spans="1:3" x14ac:dyDescent="0.25">
      <c r="A1080" s="21"/>
      <c r="B1080" s="21"/>
      <c r="C1080" s="5"/>
    </row>
    <row r="1081" spans="1:3" x14ac:dyDescent="0.25">
      <c r="A1081" s="21"/>
      <c r="B1081" s="21"/>
      <c r="C1081" s="5"/>
    </row>
    <row r="1082" spans="1:3" x14ac:dyDescent="0.25">
      <c r="A1082" s="21"/>
      <c r="B1082" s="21"/>
      <c r="C1082" s="5"/>
    </row>
    <row r="1083" spans="1:3" x14ac:dyDescent="0.25">
      <c r="A1083" s="21"/>
      <c r="B1083" s="21"/>
      <c r="C1083" s="5"/>
    </row>
    <row r="1084" spans="1:3" x14ac:dyDescent="0.25">
      <c r="A1084" s="21"/>
      <c r="B1084" s="21"/>
      <c r="C1084" s="5"/>
    </row>
    <row r="1085" spans="1:3" x14ac:dyDescent="0.25">
      <c r="A1085" s="21"/>
      <c r="B1085" s="21"/>
      <c r="C1085" s="5"/>
    </row>
    <row r="1086" spans="1:3" x14ac:dyDescent="0.25">
      <c r="A1086" s="21"/>
      <c r="B1086" s="21"/>
      <c r="C1086" s="5"/>
    </row>
    <row r="1087" spans="1:3" x14ac:dyDescent="0.25">
      <c r="A1087" s="21"/>
      <c r="B1087" s="21"/>
      <c r="C1087" s="5"/>
    </row>
    <row r="1088" spans="1:3" x14ac:dyDescent="0.25">
      <c r="A1088" s="21"/>
      <c r="B1088" s="21"/>
      <c r="C1088" s="5"/>
    </row>
    <row r="1089" spans="1:3" x14ac:dyDescent="0.25">
      <c r="A1089" s="21"/>
      <c r="B1089" s="21"/>
      <c r="C1089" s="5"/>
    </row>
    <row r="1090" spans="1:3" x14ac:dyDescent="0.25">
      <c r="A1090" s="21"/>
      <c r="B1090" s="21"/>
      <c r="C1090" s="5"/>
    </row>
    <row r="1091" spans="1:3" x14ac:dyDescent="0.25">
      <c r="A1091" s="21"/>
      <c r="B1091" s="21"/>
      <c r="C1091" s="5"/>
    </row>
    <row r="1092" spans="1:3" x14ac:dyDescent="0.25">
      <c r="A1092" s="21"/>
      <c r="B1092" s="21"/>
      <c r="C1092" s="5"/>
    </row>
    <row r="1093" spans="1:3" x14ac:dyDescent="0.25">
      <c r="A1093" s="21"/>
      <c r="B1093" s="21"/>
      <c r="C1093" s="5"/>
    </row>
    <row r="1094" spans="1:3" x14ac:dyDescent="0.25">
      <c r="A1094" s="21"/>
      <c r="B1094" s="21"/>
      <c r="C1094" s="5"/>
    </row>
    <row r="1095" spans="1:3" x14ac:dyDescent="0.25">
      <c r="A1095" s="21"/>
      <c r="B1095" s="21"/>
      <c r="C1095" s="5"/>
    </row>
    <row r="1096" spans="1:3" x14ac:dyDescent="0.25">
      <c r="A1096" s="21"/>
      <c r="B1096" s="21"/>
      <c r="C1096" s="5"/>
    </row>
    <row r="1097" spans="1:3" x14ac:dyDescent="0.25">
      <c r="A1097" s="21"/>
      <c r="B1097" s="21"/>
      <c r="C1097" s="5"/>
    </row>
    <row r="1098" spans="1:3" x14ac:dyDescent="0.25">
      <c r="A1098" s="21"/>
      <c r="B1098" s="21"/>
      <c r="C1098" s="5"/>
    </row>
    <row r="1099" spans="1:3" x14ac:dyDescent="0.25">
      <c r="A1099" s="21"/>
      <c r="B1099" s="21"/>
      <c r="C1099" s="5"/>
    </row>
    <row r="1100" spans="1:3" x14ac:dyDescent="0.25">
      <c r="A1100" s="21"/>
      <c r="B1100" s="21"/>
      <c r="C1100" s="5"/>
    </row>
    <row r="1101" spans="1:3" x14ac:dyDescent="0.25">
      <c r="A1101" s="21"/>
      <c r="B1101" s="21"/>
      <c r="C1101" s="5"/>
    </row>
    <row r="1102" spans="1:3" x14ac:dyDescent="0.25">
      <c r="A1102" s="21"/>
      <c r="B1102" s="21"/>
      <c r="C1102" s="5"/>
    </row>
    <row r="1103" spans="1:3" x14ac:dyDescent="0.25">
      <c r="A1103" s="21"/>
      <c r="B1103" s="21"/>
      <c r="C1103" s="5"/>
    </row>
    <row r="1104" spans="1:3" x14ac:dyDescent="0.25">
      <c r="A1104" s="21"/>
      <c r="B1104" s="21"/>
      <c r="C1104" s="5"/>
    </row>
    <row r="1105" spans="1:3" x14ac:dyDescent="0.25">
      <c r="A1105" s="21"/>
      <c r="B1105" s="21"/>
      <c r="C1105" s="5"/>
    </row>
    <row r="1106" spans="1:3" x14ac:dyDescent="0.25">
      <c r="A1106" s="21"/>
      <c r="B1106" s="21"/>
      <c r="C1106" s="5"/>
    </row>
    <row r="1107" spans="1:3" x14ac:dyDescent="0.25">
      <c r="A1107" s="21"/>
      <c r="B1107" s="21"/>
      <c r="C1107" s="5"/>
    </row>
    <row r="1108" spans="1:3" x14ac:dyDescent="0.25">
      <c r="A1108" s="21"/>
      <c r="B1108" s="21"/>
      <c r="C1108" s="5"/>
    </row>
    <row r="1109" spans="1:3" x14ac:dyDescent="0.25">
      <c r="A1109" s="21"/>
      <c r="B1109" s="21"/>
      <c r="C1109" s="5"/>
    </row>
    <row r="1110" spans="1:3" x14ac:dyDescent="0.25">
      <c r="A1110" s="21"/>
      <c r="B1110" s="21"/>
      <c r="C1110" s="5"/>
    </row>
    <row r="1111" spans="1:3" x14ac:dyDescent="0.25">
      <c r="A1111" s="21"/>
      <c r="B1111" s="21"/>
      <c r="C1111" s="5"/>
    </row>
    <row r="1112" spans="1:3" x14ac:dyDescent="0.25">
      <c r="A1112" s="21"/>
      <c r="B1112" s="21"/>
      <c r="C1112" s="5"/>
    </row>
    <row r="1113" spans="1:3" x14ac:dyDescent="0.25">
      <c r="A1113" s="21"/>
      <c r="B1113" s="21"/>
      <c r="C1113" s="5"/>
    </row>
    <row r="1114" spans="1:3" x14ac:dyDescent="0.25">
      <c r="A1114" s="21"/>
      <c r="B1114" s="21"/>
      <c r="C1114" s="5"/>
    </row>
    <row r="1115" spans="1:3" x14ac:dyDescent="0.25">
      <c r="A1115" s="21"/>
      <c r="B1115" s="21"/>
      <c r="C1115" s="5"/>
    </row>
    <row r="1116" spans="1:3" x14ac:dyDescent="0.25">
      <c r="A1116" s="21"/>
      <c r="B1116" s="21"/>
      <c r="C1116" s="5"/>
    </row>
    <row r="1117" spans="1:3" x14ac:dyDescent="0.25">
      <c r="A1117" s="21"/>
      <c r="B1117" s="21"/>
      <c r="C1117" s="5"/>
    </row>
    <row r="1118" spans="1:3" x14ac:dyDescent="0.25">
      <c r="A1118" s="21"/>
      <c r="B1118" s="21"/>
      <c r="C1118" s="5"/>
    </row>
    <row r="1119" spans="1:3" x14ac:dyDescent="0.25">
      <c r="A1119" s="21"/>
      <c r="B1119" s="21"/>
      <c r="C1119" s="5"/>
    </row>
    <row r="1120" spans="1:3" x14ac:dyDescent="0.25">
      <c r="A1120" s="21"/>
      <c r="B1120" s="21"/>
      <c r="C1120" s="5"/>
    </row>
    <row r="1121" spans="1:3" x14ac:dyDescent="0.25">
      <c r="A1121" s="21"/>
      <c r="B1121" s="21"/>
      <c r="C1121" s="5"/>
    </row>
    <row r="1122" spans="1:3" x14ac:dyDescent="0.25">
      <c r="A1122" s="21"/>
      <c r="B1122" s="21"/>
      <c r="C1122" s="5"/>
    </row>
    <row r="1123" spans="1:3" x14ac:dyDescent="0.25">
      <c r="A1123" s="21"/>
      <c r="B1123" s="21"/>
      <c r="C1123" s="5"/>
    </row>
    <row r="1124" spans="1:3" x14ac:dyDescent="0.25">
      <c r="A1124" s="21"/>
      <c r="B1124" s="21"/>
      <c r="C1124" s="5"/>
    </row>
    <row r="1125" spans="1:3" x14ac:dyDescent="0.25">
      <c r="A1125" s="21"/>
      <c r="B1125" s="21"/>
      <c r="C1125" s="5"/>
    </row>
    <row r="1126" spans="1:3" x14ac:dyDescent="0.25">
      <c r="A1126" s="21"/>
      <c r="B1126" s="21"/>
      <c r="C1126" s="5"/>
    </row>
    <row r="1127" spans="1:3" x14ac:dyDescent="0.25">
      <c r="A1127" s="21"/>
      <c r="B1127" s="21"/>
      <c r="C1127" s="5"/>
    </row>
    <row r="1128" spans="1:3" x14ac:dyDescent="0.25">
      <c r="A1128" s="21"/>
      <c r="B1128" s="21"/>
      <c r="C1128" s="5"/>
    </row>
    <row r="1129" spans="1:3" x14ac:dyDescent="0.25">
      <c r="A1129" s="21"/>
      <c r="B1129" s="21"/>
      <c r="C1129" s="5"/>
    </row>
    <row r="1130" spans="1:3" x14ac:dyDescent="0.25">
      <c r="A1130" s="21"/>
      <c r="B1130" s="21"/>
      <c r="C1130" s="5"/>
    </row>
    <row r="1131" spans="1:3" x14ac:dyDescent="0.25">
      <c r="A1131" s="21"/>
      <c r="B1131" s="21"/>
      <c r="C1131" s="5"/>
    </row>
    <row r="1132" spans="1:3" x14ac:dyDescent="0.25">
      <c r="A1132" s="21"/>
      <c r="B1132" s="21"/>
      <c r="C1132" s="5"/>
    </row>
    <row r="1133" spans="1:3" x14ac:dyDescent="0.25">
      <c r="A1133" s="21"/>
      <c r="B1133" s="21"/>
      <c r="C1133" s="5"/>
    </row>
    <row r="1134" spans="1:3" x14ac:dyDescent="0.25">
      <c r="A1134" s="21"/>
      <c r="B1134" s="21"/>
      <c r="C1134" s="5"/>
    </row>
    <row r="1135" spans="1:3" x14ac:dyDescent="0.25">
      <c r="A1135" s="21"/>
      <c r="B1135" s="21"/>
      <c r="C1135" s="5"/>
    </row>
    <row r="1136" spans="1:3" x14ac:dyDescent="0.25">
      <c r="A1136" s="21"/>
      <c r="B1136" s="21"/>
      <c r="C1136" s="5"/>
    </row>
    <row r="1137" spans="1:3" x14ac:dyDescent="0.25">
      <c r="A1137" s="21"/>
      <c r="B1137" s="21"/>
      <c r="C1137" s="5"/>
    </row>
    <row r="1138" spans="1:3" x14ac:dyDescent="0.25">
      <c r="A1138" s="21"/>
      <c r="B1138" s="21"/>
      <c r="C1138" s="5"/>
    </row>
    <row r="1139" spans="1:3" x14ac:dyDescent="0.25">
      <c r="A1139" s="21"/>
      <c r="B1139" s="21"/>
      <c r="C1139" s="5"/>
    </row>
    <row r="1140" spans="1:3" x14ac:dyDescent="0.25">
      <c r="A1140" s="21"/>
      <c r="B1140" s="21"/>
      <c r="C1140" s="5"/>
    </row>
    <row r="1141" spans="1:3" x14ac:dyDescent="0.25">
      <c r="A1141" s="21"/>
      <c r="B1141" s="21"/>
      <c r="C1141" s="5"/>
    </row>
    <row r="1142" spans="1:3" x14ac:dyDescent="0.25">
      <c r="A1142" s="21"/>
      <c r="B1142" s="21"/>
      <c r="C1142" s="5"/>
    </row>
    <row r="1143" spans="1:3" x14ac:dyDescent="0.25">
      <c r="A1143" s="21"/>
      <c r="B1143" s="21"/>
      <c r="C1143" s="5"/>
    </row>
    <row r="1144" spans="1:3" x14ac:dyDescent="0.25">
      <c r="A1144" s="21"/>
      <c r="B1144" s="21"/>
      <c r="C1144" s="5"/>
    </row>
    <row r="1145" spans="1:3" x14ac:dyDescent="0.25">
      <c r="A1145" s="21"/>
      <c r="B1145" s="21"/>
      <c r="C1145" s="5"/>
    </row>
    <row r="1146" spans="1:3" x14ac:dyDescent="0.25">
      <c r="A1146" s="21"/>
      <c r="B1146" s="21"/>
      <c r="C1146" s="5"/>
    </row>
    <row r="1147" spans="1:3" x14ac:dyDescent="0.25">
      <c r="A1147" s="21"/>
      <c r="B1147" s="21"/>
      <c r="C1147" s="5"/>
    </row>
    <row r="1148" spans="1:3" x14ac:dyDescent="0.25">
      <c r="A1148" s="21"/>
      <c r="B1148" s="21"/>
      <c r="C1148" s="5"/>
    </row>
    <row r="1149" spans="1:3" x14ac:dyDescent="0.25">
      <c r="A1149" s="21"/>
      <c r="B1149" s="21"/>
      <c r="C1149" s="5"/>
    </row>
    <row r="1150" spans="1:3" x14ac:dyDescent="0.25">
      <c r="A1150" s="21"/>
      <c r="B1150" s="21"/>
      <c r="C1150" s="5"/>
    </row>
    <row r="1151" spans="1:3" x14ac:dyDescent="0.25">
      <c r="A1151" s="21"/>
      <c r="B1151" s="21"/>
      <c r="C1151" s="5"/>
    </row>
    <row r="1152" spans="1:3" x14ac:dyDescent="0.25">
      <c r="A1152" s="21"/>
      <c r="B1152" s="21"/>
      <c r="C1152" s="5"/>
    </row>
    <row r="1153" spans="1:3" x14ac:dyDescent="0.25">
      <c r="A1153" s="21"/>
      <c r="B1153" s="21"/>
      <c r="C1153" s="5"/>
    </row>
    <row r="1154" spans="1:3" x14ac:dyDescent="0.25">
      <c r="A1154" s="21"/>
      <c r="B1154" s="21"/>
      <c r="C1154" s="5"/>
    </row>
    <row r="1155" spans="1:3" x14ac:dyDescent="0.25">
      <c r="A1155" s="21"/>
      <c r="B1155" s="21"/>
      <c r="C1155" s="5"/>
    </row>
    <row r="1156" spans="1:3" x14ac:dyDescent="0.25">
      <c r="A1156" s="21"/>
      <c r="B1156" s="21"/>
      <c r="C1156" s="5"/>
    </row>
    <row r="1157" spans="1:3" x14ac:dyDescent="0.25">
      <c r="A1157" s="21"/>
      <c r="B1157" s="21"/>
      <c r="C1157" s="5"/>
    </row>
    <row r="1158" spans="1:3" x14ac:dyDescent="0.25">
      <c r="A1158" s="21"/>
      <c r="B1158" s="21"/>
      <c r="C1158" s="5"/>
    </row>
    <row r="1159" spans="1:3" x14ac:dyDescent="0.25">
      <c r="A1159" s="21"/>
      <c r="B1159" s="21"/>
      <c r="C1159" s="5"/>
    </row>
    <row r="1160" spans="1:3" x14ac:dyDescent="0.25">
      <c r="A1160" s="21"/>
      <c r="B1160" s="21"/>
      <c r="C1160" s="5"/>
    </row>
    <row r="1161" spans="1:3" x14ac:dyDescent="0.25">
      <c r="A1161" s="21"/>
      <c r="B1161" s="21"/>
      <c r="C1161" s="5"/>
    </row>
    <row r="1162" spans="1:3" x14ac:dyDescent="0.25">
      <c r="A1162" s="21"/>
      <c r="B1162" s="21"/>
      <c r="C1162" s="5"/>
    </row>
    <row r="1163" spans="1:3" x14ac:dyDescent="0.25">
      <c r="A1163" s="21"/>
      <c r="B1163" s="21"/>
      <c r="C1163" s="5"/>
    </row>
    <row r="1164" spans="1:3" x14ac:dyDescent="0.25">
      <c r="A1164" s="21"/>
      <c r="B1164" s="21"/>
      <c r="C1164" s="5"/>
    </row>
    <row r="1165" spans="1:3" x14ac:dyDescent="0.25">
      <c r="A1165" s="21"/>
      <c r="B1165" s="21"/>
      <c r="C1165" s="5"/>
    </row>
    <row r="1166" spans="1:3" x14ac:dyDescent="0.25">
      <c r="A1166" s="21"/>
      <c r="B1166" s="21"/>
      <c r="C1166" s="5"/>
    </row>
    <row r="1167" spans="1:3" x14ac:dyDescent="0.25">
      <c r="A1167" s="21"/>
      <c r="B1167" s="21"/>
      <c r="C1167" s="5"/>
    </row>
    <row r="1168" spans="1:3" x14ac:dyDescent="0.25">
      <c r="A1168" s="21"/>
      <c r="B1168" s="21"/>
      <c r="C1168" s="5"/>
    </row>
    <row r="1169" spans="1:3" x14ac:dyDescent="0.25">
      <c r="A1169" s="21"/>
      <c r="B1169" s="21"/>
      <c r="C1169" s="5"/>
    </row>
    <row r="1170" spans="1:3" x14ac:dyDescent="0.25">
      <c r="A1170" s="21"/>
      <c r="B1170" s="21"/>
      <c r="C1170" s="5"/>
    </row>
    <row r="1171" spans="1:3" x14ac:dyDescent="0.25">
      <c r="A1171" s="21"/>
      <c r="B1171" s="21"/>
      <c r="C1171" s="5"/>
    </row>
    <row r="1172" spans="1:3" x14ac:dyDescent="0.25">
      <c r="A1172" s="21"/>
      <c r="B1172" s="21"/>
      <c r="C1172" s="5"/>
    </row>
    <row r="1173" spans="1:3" x14ac:dyDescent="0.25">
      <c r="A1173" s="21"/>
      <c r="B1173" s="21"/>
      <c r="C1173" s="5"/>
    </row>
    <row r="1174" spans="1:3" x14ac:dyDescent="0.25">
      <c r="A1174" s="21"/>
      <c r="B1174" s="21"/>
      <c r="C1174" s="5"/>
    </row>
    <row r="1175" spans="1:3" x14ac:dyDescent="0.25">
      <c r="A1175" s="21"/>
      <c r="B1175" s="21"/>
      <c r="C1175" s="5"/>
    </row>
    <row r="1176" spans="1:3" x14ac:dyDescent="0.25">
      <c r="A1176" s="21"/>
      <c r="B1176" s="21"/>
      <c r="C1176" s="5"/>
    </row>
    <row r="1177" spans="1:3" x14ac:dyDescent="0.25">
      <c r="A1177" s="21"/>
      <c r="B1177" s="21"/>
      <c r="C1177" s="5"/>
    </row>
    <row r="1178" spans="1:3" x14ac:dyDescent="0.25">
      <c r="A1178" s="21"/>
      <c r="B1178" s="21"/>
      <c r="C1178" s="5"/>
    </row>
    <row r="1179" spans="1:3" x14ac:dyDescent="0.25">
      <c r="A1179" s="21"/>
      <c r="B1179" s="21"/>
      <c r="C1179" s="5"/>
    </row>
    <row r="1180" spans="1:3" x14ac:dyDescent="0.25">
      <c r="A1180" s="21"/>
      <c r="B1180" s="21"/>
      <c r="C1180" s="5"/>
    </row>
    <row r="1181" spans="1:3" x14ac:dyDescent="0.25">
      <c r="A1181" s="21"/>
      <c r="B1181" s="21"/>
      <c r="C1181" s="5"/>
    </row>
    <row r="1182" spans="1:3" x14ac:dyDescent="0.25">
      <c r="A1182" s="21"/>
      <c r="B1182" s="21"/>
      <c r="C1182" s="5"/>
    </row>
    <row r="1183" spans="1:3" x14ac:dyDescent="0.25">
      <c r="A1183" s="21"/>
      <c r="B1183" s="21"/>
      <c r="C1183" s="5"/>
    </row>
    <row r="1184" spans="1:3" x14ac:dyDescent="0.25">
      <c r="A1184" s="21"/>
      <c r="B1184" s="21"/>
      <c r="C1184" s="5"/>
    </row>
    <row r="1185" spans="1:3" x14ac:dyDescent="0.25">
      <c r="A1185" s="21"/>
      <c r="B1185" s="21"/>
      <c r="C1185" s="5"/>
    </row>
    <row r="1186" spans="1:3" x14ac:dyDescent="0.25">
      <c r="A1186" s="21"/>
      <c r="B1186" s="21"/>
      <c r="C1186" s="5"/>
    </row>
    <row r="1187" spans="1:3" x14ac:dyDescent="0.25">
      <c r="A1187" s="21"/>
      <c r="B1187" s="21"/>
      <c r="C1187" s="5"/>
    </row>
    <row r="1188" spans="1:3" x14ac:dyDescent="0.25">
      <c r="A1188" s="21"/>
      <c r="B1188" s="21"/>
      <c r="C1188" s="5"/>
    </row>
    <row r="1189" spans="1:3" x14ac:dyDescent="0.25">
      <c r="A1189" s="21"/>
      <c r="B1189" s="21"/>
      <c r="C1189" s="5"/>
    </row>
    <row r="1190" spans="1:3" x14ac:dyDescent="0.25">
      <c r="A1190" s="21"/>
      <c r="B1190" s="21"/>
      <c r="C1190" s="5"/>
    </row>
    <row r="1191" spans="1:3" x14ac:dyDescent="0.25">
      <c r="A1191" s="21"/>
      <c r="B1191" s="21"/>
      <c r="C1191" s="5"/>
    </row>
    <row r="1192" spans="1:3" x14ac:dyDescent="0.25">
      <c r="A1192" s="21"/>
      <c r="B1192" s="21"/>
      <c r="C1192" s="5"/>
    </row>
    <row r="1193" spans="1:3" x14ac:dyDescent="0.25">
      <c r="A1193" s="21"/>
      <c r="B1193" s="21"/>
      <c r="C1193" s="5"/>
    </row>
    <row r="1194" spans="1:3" x14ac:dyDescent="0.25">
      <c r="A1194" s="21"/>
      <c r="B1194" s="21"/>
      <c r="C1194" s="5"/>
    </row>
    <row r="1195" spans="1:3" x14ac:dyDescent="0.25">
      <c r="A1195" s="21"/>
      <c r="B1195" s="21"/>
      <c r="C1195" s="5"/>
    </row>
    <row r="1196" spans="1:3" x14ac:dyDescent="0.25">
      <c r="A1196" s="21"/>
      <c r="B1196" s="21"/>
      <c r="C1196" s="5"/>
    </row>
    <row r="1197" spans="1:3" x14ac:dyDescent="0.25">
      <c r="A1197" s="21"/>
      <c r="B1197" s="21"/>
      <c r="C1197" s="5"/>
    </row>
    <row r="1198" spans="1:3" x14ac:dyDescent="0.25">
      <c r="A1198" s="21"/>
      <c r="B1198" s="21"/>
      <c r="C1198" s="5"/>
    </row>
    <row r="1199" spans="1:3" x14ac:dyDescent="0.25">
      <c r="A1199" s="21"/>
      <c r="B1199" s="21"/>
      <c r="C1199" s="5"/>
    </row>
    <row r="1200" spans="1:3" x14ac:dyDescent="0.25">
      <c r="A1200" s="21"/>
      <c r="B1200" s="21"/>
      <c r="C1200" s="5"/>
    </row>
    <row r="1201" spans="1:3" x14ac:dyDescent="0.25">
      <c r="A1201" s="21"/>
      <c r="B1201" s="21"/>
      <c r="C1201" s="5"/>
    </row>
    <row r="1202" spans="1:3" x14ac:dyDescent="0.25">
      <c r="A1202" s="21"/>
      <c r="B1202" s="21"/>
      <c r="C1202" s="5"/>
    </row>
    <row r="1203" spans="1:3" x14ac:dyDescent="0.25">
      <c r="A1203" s="21"/>
      <c r="B1203" s="21"/>
      <c r="C1203" s="5"/>
    </row>
    <row r="1204" spans="1:3" x14ac:dyDescent="0.25">
      <c r="A1204" s="21"/>
      <c r="B1204" s="21"/>
      <c r="C1204" s="5"/>
    </row>
    <row r="1205" spans="1:3" x14ac:dyDescent="0.25">
      <c r="A1205" s="21"/>
      <c r="B1205" s="21"/>
      <c r="C1205" s="5"/>
    </row>
    <row r="1206" spans="1:3" x14ac:dyDescent="0.25">
      <c r="A1206" s="21"/>
      <c r="B1206" s="21"/>
      <c r="C1206" s="5"/>
    </row>
    <row r="1207" spans="1:3" x14ac:dyDescent="0.25">
      <c r="A1207" s="21"/>
      <c r="B1207" s="21"/>
      <c r="C1207" s="5"/>
    </row>
    <row r="1208" spans="1:3" x14ac:dyDescent="0.25">
      <c r="A1208" s="21"/>
      <c r="B1208" s="21"/>
      <c r="C1208" s="5"/>
    </row>
    <row r="1209" spans="1:3" x14ac:dyDescent="0.25">
      <c r="A1209" s="21"/>
      <c r="B1209" s="21"/>
      <c r="C1209" s="5"/>
    </row>
    <row r="1210" spans="1:3" x14ac:dyDescent="0.25">
      <c r="A1210" s="21"/>
      <c r="B1210" s="21"/>
      <c r="C1210" s="5"/>
    </row>
    <row r="1211" spans="1:3" x14ac:dyDescent="0.25">
      <c r="A1211" s="21"/>
      <c r="B1211" s="21"/>
      <c r="C1211" s="5"/>
    </row>
    <row r="1212" spans="1:3" x14ac:dyDescent="0.25">
      <c r="A1212" s="21"/>
      <c r="B1212" s="21"/>
      <c r="C1212" s="5"/>
    </row>
    <row r="1213" spans="1:3" x14ac:dyDescent="0.25">
      <c r="A1213" s="21"/>
      <c r="B1213" s="21"/>
      <c r="C1213" s="5"/>
    </row>
    <row r="1214" spans="1:3" x14ac:dyDescent="0.25">
      <c r="A1214" s="21"/>
      <c r="B1214" s="21"/>
      <c r="C1214" s="5"/>
    </row>
    <row r="1215" spans="1:3" x14ac:dyDescent="0.25">
      <c r="A1215" s="21"/>
      <c r="B1215" s="21"/>
      <c r="C1215" s="5"/>
    </row>
    <row r="1216" spans="1:3" x14ac:dyDescent="0.25">
      <c r="A1216" s="21"/>
      <c r="B1216" s="21"/>
      <c r="C1216" s="5"/>
    </row>
    <row r="1217" spans="1:3" x14ac:dyDescent="0.25">
      <c r="A1217" s="21"/>
      <c r="B1217" s="21"/>
      <c r="C1217" s="5"/>
    </row>
    <row r="1218" spans="1:3" x14ac:dyDescent="0.25">
      <c r="A1218" s="21"/>
      <c r="B1218" s="21"/>
      <c r="C1218" s="5"/>
    </row>
    <row r="1219" spans="1:3" x14ac:dyDescent="0.25">
      <c r="A1219" s="21"/>
      <c r="B1219" s="21"/>
      <c r="C1219" s="5"/>
    </row>
    <row r="1220" spans="1:3" x14ac:dyDescent="0.25">
      <c r="A1220" s="21"/>
      <c r="B1220" s="21"/>
      <c r="C1220" s="5"/>
    </row>
    <row r="1221" spans="1:3" x14ac:dyDescent="0.25">
      <c r="A1221" s="21"/>
      <c r="B1221" s="21"/>
      <c r="C1221" s="5"/>
    </row>
    <row r="1222" spans="1:3" x14ac:dyDescent="0.25">
      <c r="A1222" s="21"/>
      <c r="B1222" s="21"/>
      <c r="C1222" s="5"/>
    </row>
    <row r="1223" spans="1:3" x14ac:dyDescent="0.25">
      <c r="A1223" s="21"/>
      <c r="B1223" s="21"/>
      <c r="C1223" s="5"/>
    </row>
    <row r="1224" spans="1:3" x14ac:dyDescent="0.25">
      <c r="A1224" s="21"/>
      <c r="B1224" s="21"/>
      <c r="C1224" s="5"/>
    </row>
    <row r="1225" spans="1:3" x14ac:dyDescent="0.25">
      <c r="A1225" s="21"/>
      <c r="B1225" s="21"/>
      <c r="C1225" s="5"/>
    </row>
    <row r="1226" spans="1:3" x14ac:dyDescent="0.25">
      <c r="A1226" s="21"/>
      <c r="B1226" s="21"/>
      <c r="C1226" s="5"/>
    </row>
    <row r="1227" spans="1:3" x14ac:dyDescent="0.25">
      <c r="A1227" s="21"/>
      <c r="B1227" s="21"/>
      <c r="C1227" s="5"/>
    </row>
    <row r="1228" spans="1:3" x14ac:dyDescent="0.25">
      <c r="A1228" s="21"/>
      <c r="B1228" s="21"/>
      <c r="C1228" s="5"/>
    </row>
    <row r="1229" spans="1:3" x14ac:dyDescent="0.25">
      <c r="A1229" s="21"/>
      <c r="B1229" s="21"/>
      <c r="C1229" s="5"/>
    </row>
    <row r="1230" spans="1:3" x14ac:dyDescent="0.25">
      <c r="A1230" s="21"/>
      <c r="B1230" s="21"/>
      <c r="C1230" s="5"/>
    </row>
    <row r="1231" spans="1:3" x14ac:dyDescent="0.25">
      <c r="A1231" s="21"/>
      <c r="B1231" s="21"/>
      <c r="C1231" s="5"/>
    </row>
    <row r="1232" spans="1:3" x14ac:dyDescent="0.25">
      <c r="A1232" s="21"/>
      <c r="B1232" s="21"/>
      <c r="C1232" s="5"/>
    </row>
    <row r="1233" spans="1:3" x14ac:dyDescent="0.25">
      <c r="A1233" s="21"/>
      <c r="B1233" s="21"/>
      <c r="C1233" s="5"/>
    </row>
    <row r="1234" spans="1:3" x14ac:dyDescent="0.25">
      <c r="A1234" s="21"/>
      <c r="B1234" s="21"/>
      <c r="C1234" s="5"/>
    </row>
    <row r="1235" spans="1:3" x14ac:dyDescent="0.25">
      <c r="A1235" s="21"/>
      <c r="B1235" s="21"/>
      <c r="C1235" s="5"/>
    </row>
    <row r="1236" spans="1:3" x14ac:dyDescent="0.25">
      <c r="A1236" s="21"/>
      <c r="B1236" s="21"/>
      <c r="C1236" s="5"/>
    </row>
    <row r="1237" spans="1:3" x14ac:dyDescent="0.25">
      <c r="A1237" s="21"/>
      <c r="B1237" s="21"/>
      <c r="C1237" s="5"/>
    </row>
    <row r="1238" spans="1:3" x14ac:dyDescent="0.25">
      <c r="A1238" s="21"/>
      <c r="B1238" s="21"/>
      <c r="C1238" s="5"/>
    </row>
    <row r="1239" spans="1:3" x14ac:dyDescent="0.25">
      <c r="A1239" s="21"/>
      <c r="B1239" s="21"/>
      <c r="C1239" s="5"/>
    </row>
    <row r="1240" spans="1:3" x14ac:dyDescent="0.25">
      <c r="A1240" s="21"/>
      <c r="B1240" s="21"/>
      <c r="C1240" s="5"/>
    </row>
    <row r="1241" spans="1:3" x14ac:dyDescent="0.25">
      <c r="A1241" s="21"/>
      <c r="B1241" s="21"/>
      <c r="C1241" s="5"/>
    </row>
    <row r="1242" spans="1:3" x14ac:dyDescent="0.25">
      <c r="A1242" s="21"/>
      <c r="B1242" s="21"/>
      <c r="C1242" s="5"/>
    </row>
    <row r="1243" spans="1:3" x14ac:dyDescent="0.25">
      <c r="A1243" s="21"/>
      <c r="B1243" s="21"/>
      <c r="C1243" s="5"/>
    </row>
    <row r="1244" spans="1:3" x14ac:dyDescent="0.25">
      <c r="A1244" s="21"/>
      <c r="B1244" s="21"/>
      <c r="C1244" s="5"/>
    </row>
    <row r="1245" spans="1:3" x14ac:dyDescent="0.25">
      <c r="A1245" s="21"/>
      <c r="B1245" s="21"/>
      <c r="C1245" s="5"/>
    </row>
    <row r="1246" spans="1:3" x14ac:dyDescent="0.25">
      <c r="A1246" s="21"/>
      <c r="B1246" s="21"/>
      <c r="C1246" s="5"/>
    </row>
    <row r="1247" spans="1:3" x14ac:dyDescent="0.25">
      <c r="A1247" s="21"/>
      <c r="B1247" s="21"/>
      <c r="C1247" s="5"/>
    </row>
    <row r="1248" spans="1:3" x14ac:dyDescent="0.25">
      <c r="A1248" s="21"/>
      <c r="B1248" s="21"/>
      <c r="C1248" s="5"/>
    </row>
    <row r="1249" spans="1:3" x14ac:dyDescent="0.25">
      <c r="A1249" s="21"/>
      <c r="B1249" s="21"/>
      <c r="C1249" s="5"/>
    </row>
    <row r="1250" spans="1:3" x14ac:dyDescent="0.25">
      <c r="A1250" s="21"/>
      <c r="B1250" s="21"/>
      <c r="C1250" s="5"/>
    </row>
    <row r="1251" spans="1:3" x14ac:dyDescent="0.25">
      <c r="A1251" s="21"/>
      <c r="B1251" s="21"/>
      <c r="C1251" s="5"/>
    </row>
    <row r="1252" spans="1:3" x14ac:dyDescent="0.25">
      <c r="A1252" s="21"/>
      <c r="B1252" s="21"/>
      <c r="C1252" s="5"/>
    </row>
    <row r="1253" spans="1:3" x14ac:dyDescent="0.25">
      <c r="A1253" s="21"/>
      <c r="B1253" s="21"/>
      <c r="C1253" s="5"/>
    </row>
    <row r="1254" spans="1:3" x14ac:dyDescent="0.25">
      <c r="A1254" s="21"/>
      <c r="B1254" s="21"/>
      <c r="C1254" s="5"/>
    </row>
    <row r="1255" spans="1:3" x14ac:dyDescent="0.25">
      <c r="A1255" s="21"/>
      <c r="B1255" s="21"/>
      <c r="C1255" s="5"/>
    </row>
    <row r="1256" spans="1:3" x14ac:dyDescent="0.25">
      <c r="A1256" s="21"/>
      <c r="B1256" s="21"/>
      <c r="C1256" s="5"/>
    </row>
    <row r="1257" spans="1:3" x14ac:dyDescent="0.25">
      <c r="A1257" s="21"/>
      <c r="B1257" s="21"/>
      <c r="C1257" s="5"/>
    </row>
    <row r="1258" spans="1:3" x14ac:dyDescent="0.25">
      <c r="A1258" s="21"/>
      <c r="B1258" s="21"/>
      <c r="C1258" s="5"/>
    </row>
    <row r="1259" spans="1:3" x14ac:dyDescent="0.25">
      <c r="A1259" s="21"/>
      <c r="B1259" s="21"/>
      <c r="C1259" s="5"/>
    </row>
    <row r="1260" spans="1:3" x14ac:dyDescent="0.25">
      <c r="A1260" s="21"/>
      <c r="B1260" s="21"/>
      <c r="C1260" s="5"/>
    </row>
    <row r="1261" spans="1:3" x14ac:dyDescent="0.25">
      <c r="A1261" s="21"/>
      <c r="B1261" s="21"/>
      <c r="C1261" s="5"/>
    </row>
    <row r="1262" spans="1:3" x14ac:dyDescent="0.25">
      <c r="A1262" s="21"/>
      <c r="B1262" s="21"/>
      <c r="C1262" s="5"/>
    </row>
    <row r="1263" spans="1:3" x14ac:dyDescent="0.25">
      <c r="A1263" s="21"/>
      <c r="B1263" s="21"/>
      <c r="C1263" s="5"/>
    </row>
    <row r="1264" spans="1:3" x14ac:dyDescent="0.25">
      <c r="A1264" s="21"/>
      <c r="B1264" s="21"/>
      <c r="C1264" s="5"/>
    </row>
    <row r="1265" spans="1:3" x14ac:dyDescent="0.25">
      <c r="A1265" s="21"/>
      <c r="B1265" s="21"/>
      <c r="C1265" s="5"/>
    </row>
    <row r="1266" spans="1:3" x14ac:dyDescent="0.25">
      <c r="A1266" s="21"/>
      <c r="B1266" s="21"/>
      <c r="C1266" s="5"/>
    </row>
    <row r="1267" spans="1:3" x14ac:dyDescent="0.25">
      <c r="A1267" s="21"/>
      <c r="B1267" s="21"/>
      <c r="C1267" s="5"/>
    </row>
    <row r="1268" spans="1:3" x14ac:dyDescent="0.25">
      <c r="A1268" s="21"/>
      <c r="B1268" s="21"/>
      <c r="C1268" s="5"/>
    </row>
    <row r="1269" spans="1:3" x14ac:dyDescent="0.25">
      <c r="A1269" s="21"/>
      <c r="B1269" s="21"/>
      <c r="C1269" s="5"/>
    </row>
    <row r="1270" spans="1:3" x14ac:dyDescent="0.25">
      <c r="A1270" s="21"/>
      <c r="B1270" s="21"/>
      <c r="C1270" s="5"/>
    </row>
    <row r="1271" spans="1:3" x14ac:dyDescent="0.25">
      <c r="A1271" s="21"/>
      <c r="B1271" s="21"/>
      <c r="C1271" s="5"/>
    </row>
    <row r="1272" spans="1:3" x14ac:dyDescent="0.25">
      <c r="A1272" s="21"/>
      <c r="B1272" s="21"/>
      <c r="C1272" s="5"/>
    </row>
    <row r="1273" spans="1:3" x14ac:dyDescent="0.25">
      <c r="A1273" s="21"/>
      <c r="B1273" s="21"/>
      <c r="C1273" s="5"/>
    </row>
    <row r="1274" spans="1:3" x14ac:dyDescent="0.25">
      <c r="A1274" s="21"/>
      <c r="B1274" s="21"/>
      <c r="C1274" s="5"/>
    </row>
    <row r="1275" spans="1:3" x14ac:dyDescent="0.25">
      <c r="A1275" s="21"/>
      <c r="B1275" s="21"/>
      <c r="C1275" s="5"/>
    </row>
    <row r="1276" spans="1:3" x14ac:dyDescent="0.25">
      <c r="A1276" s="21"/>
      <c r="B1276" s="21"/>
      <c r="C1276" s="5"/>
    </row>
    <row r="1277" spans="1:3" x14ac:dyDescent="0.25">
      <c r="A1277" s="21"/>
      <c r="B1277" s="21"/>
      <c r="C1277" s="5"/>
    </row>
    <row r="1278" spans="1:3" x14ac:dyDescent="0.25">
      <c r="A1278" s="21"/>
      <c r="B1278" s="21"/>
      <c r="C1278" s="5"/>
    </row>
    <row r="1279" spans="1:3" x14ac:dyDescent="0.25">
      <c r="A1279" s="21"/>
      <c r="B1279" s="21"/>
      <c r="C1279" s="5"/>
    </row>
    <row r="1280" spans="1:3" x14ac:dyDescent="0.25">
      <c r="A1280" s="21"/>
      <c r="B1280" s="21"/>
      <c r="C1280" s="5"/>
    </row>
    <row r="1281" spans="1:3" x14ac:dyDescent="0.25">
      <c r="A1281" s="21"/>
      <c r="B1281" s="21"/>
      <c r="C1281" s="5"/>
    </row>
    <row r="1282" spans="1:3" x14ac:dyDescent="0.25">
      <c r="A1282" s="21"/>
      <c r="B1282" s="21"/>
      <c r="C1282" s="5"/>
    </row>
    <row r="1283" spans="1:3" x14ac:dyDescent="0.25">
      <c r="A1283" s="21"/>
      <c r="B1283" s="21"/>
      <c r="C1283" s="5"/>
    </row>
    <row r="1284" spans="1:3" x14ac:dyDescent="0.25">
      <c r="A1284" s="21"/>
      <c r="B1284" s="21"/>
      <c r="C1284" s="5"/>
    </row>
    <row r="1285" spans="1:3" x14ac:dyDescent="0.25">
      <c r="A1285" s="21"/>
      <c r="B1285" s="21"/>
      <c r="C1285" s="5"/>
    </row>
    <row r="1286" spans="1:3" x14ac:dyDescent="0.25">
      <c r="A1286" s="21"/>
      <c r="B1286" s="21"/>
      <c r="C1286" s="5"/>
    </row>
    <row r="1287" spans="1:3" x14ac:dyDescent="0.25">
      <c r="A1287" s="21"/>
      <c r="B1287" s="21"/>
      <c r="C1287" s="5"/>
    </row>
    <row r="1288" spans="1:3" x14ac:dyDescent="0.25">
      <c r="A1288" s="21"/>
      <c r="B1288" s="21"/>
      <c r="C1288" s="5"/>
    </row>
    <row r="1289" spans="1:3" x14ac:dyDescent="0.25">
      <c r="A1289" s="21"/>
      <c r="B1289" s="21"/>
      <c r="C1289" s="5"/>
    </row>
    <row r="1290" spans="1:3" x14ac:dyDescent="0.25">
      <c r="A1290" s="21"/>
      <c r="B1290" s="21"/>
      <c r="C1290" s="5"/>
    </row>
    <row r="1291" spans="1:3" x14ac:dyDescent="0.25">
      <c r="A1291" s="21"/>
      <c r="B1291" s="21"/>
      <c r="C1291" s="5"/>
    </row>
    <row r="1292" spans="1:3" x14ac:dyDescent="0.25">
      <c r="A1292" s="21"/>
      <c r="B1292" s="21"/>
      <c r="C1292" s="5"/>
    </row>
    <row r="1293" spans="1:3" x14ac:dyDescent="0.25">
      <c r="A1293" s="21"/>
      <c r="B1293" s="21"/>
      <c r="C1293" s="5"/>
    </row>
    <row r="1294" spans="1:3" x14ac:dyDescent="0.25">
      <c r="A1294" s="21"/>
      <c r="B1294" s="21"/>
      <c r="C1294" s="5"/>
    </row>
    <row r="1295" spans="1:3" x14ac:dyDescent="0.25">
      <c r="A1295" s="21"/>
      <c r="B1295" s="21"/>
      <c r="C1295" s="5"/>
    </row>
    <row r="1296" spans="1:3" x14ac:dyDescent="0.25">
      <c r="A1296" s="21"/>
      <c r="B1296" s="21"/>
      <c r="C1296" s="5"/>
    </row>
    <row r="1297" spans="1:3" x14ac:dyDescent="0.25">
      <c r="A1297" s="21"/>
      <c r="B1297" s="21"/>
      <c r="C1297" s="5"/>
    </row>
    <row r="1298" spans="1:3" x14ac:dyDescent="0.25">
      <c r="A1298" s="21"/>
      <c r="B1298" s="21"/>
      <c r="C1298" s="5"/>
    </row>
    <row r="1299" spans="1:3" x14ac:dyDescent="0.25">
      <c r="A1299" s="21"/>
      <c r="B1299" s="21"/>
      <c r="C1299" s="5"/>
    </row>
    <row r="1300" spans="1:3" x14ac:dyDescent="0.25">
      <c r="A1300" s="21"/>
      <c r="B1300" s="21"/>
      <c r="C1300" s="5"/>
    </row>
    <row r="1301" spans="1:3" x14ac:dyDescent="0.25">
      <c r="A1301" s="21"/>
      <c r="B1301" s="21"/>
      <c r="C1301" s="5"/>
    </row>
    <row r="1302" spans="1:3" x14ac:dyDescent="0.25">
      <c r="A1302" s="21"/>
      <c r="B1302" s="21"/>
      <c r="C1302" s="5"/>
    </row>
    <row r="1303" spans="1:3" x14ac:dyDescent="0.25">
      <c r="A1303" s="21"/>
      <c r="B1303" s="21"/>
      <c r="C1303" s="5"/>
    </row>
    <row r="1304" spans="1:3" x14ac:dyDescent="0.25">
      <c r="A1304" s="21"/>
      <c r="B1304" s="21"/>
      <c r="C1304" s="5"/>
    </row>
    <row r="1305" spans="1:3" x14ac:dyDescent="0.25">
      <c r="A1305" s="21"/>
      <c r="B1305" s="21"/>
      <c r="C1305" s="5"/>
    </row>
    <row r="1306" spans="1:3" x14ac:dyDescent="0.25">
      <c r="A1306" s="21"/>
      <c r="B1306" s="21"/>
      <c r="C1306" s="5"/>
    </row>
    <row r="1307" spans="1:3" x14ac:dyDescent="0.25">
      <c r="A1307" s="21"/>
      <c r="B1307" s="21"/>
      <c r="C1307" s="5"/>
    </row>
    <row r="1308" spans="1:3" x14ac:dyDescent="0.25">
      <c r="A1308" s="21"/>
      <c r="B1308" s="21"/>
      <c r="C1308" s="5"/>
    </row>
    <row r="1309" spans="1:3" x14ac:dyDescent="0.25">
      <c r="A1309" s="21"/>
      <c r="B1309" s="21"/>
      <c r="C1309" s="5"/>
    </row>
    <row r="1310" spans="1:3" x14ac:dyDescent="0.25">
      <c r="A1310" s="21"/>
      <c r="B1310" s="21"/>
      <c r="C1310" s="5"/>
    </row>
    <row r="1311" spans="1:3" x14ac:dyDescent="0.25">
      <c r="A1311" s="21"/>
      <c r="B1311" s="21"/>
      <c r="C1311" s="5"/>
    </row>
    <row r="1312" spans="1:3" x14ac:dyDescent="0.25">
      <c r="A1312" s="21"/>
      <c r="B1312" s="21"/>
      <c r="C1312" s="5"/>
    </row>
    <row r="1313" spans="1:3" x14ac:dyDescent="0.25">
      <c r="A1313" s="21"/>
      <c r="B1313" s="21"/>
      <c r="C1313" s="5"/>
    </row>
    <row r="1314" spans="1:3" x14ac:dyDescent="0.25">
      <c r="A1314" s="21"/>
      <c r="B1314" s="21"/>
      <c r="C1314" s="5"/>
    </row>
    <row r="1315" spans="1:3" x14ac:dyDescent="0.25">
      <c r="A1315" s="21"/>
      <c r="B1315" s="21"/>
      <c r="C1315" s="5"/>
    </row>
    <row r="1316" spans="1:3" x14ac:dyDescent="0.25">
      <c r="A1316" s="21"/>
      <c r="B1316" s="21"/>
      <c r="C1316" s="5"/>
    </row>
    <row r="1317" spans="1:3" x14ac:dyDescent="0.25">
      <c r="A1317" s="21"/>
      <c r="B1317" s="21"/>
      <c r="C1317" s="5"/>
    </row>
    <row r="1318" spans="1:3" x14ac:dyDescent="0.25">
      <c r="A1318" s="21"/>
      <c r="B1318" s="21"/>
      <c r="C1318" s="5"/>
    </row>
    <row r="1319" spans="1:3" x14ac:dyDescent="0.25">
      <c r="A1319" s="21"/>
      <c r="B1319" s="21"/>
      <c r="C1319" s="5"/>
    </row>
    <row r="1320" spans="1:3" x14ac:dyDescent="0.25">
      <c r="A1320" s="21"/>
      <c r="B1320" s="21"/>
      <c r="C1320" s="5"/>
    </row>
    <row r="1321" spans="1:3" x14ac:dyDescent="0.25">
      <c r="A1321" s="21"/>
      <c r="B1321" s="21"/>
      <c r="C1321" s="5"/>
    </row>
    <row r="1322" spans="1:3" x14ac:dyDescent="0.25">
      <c r="A1322" s="21"/>
      <c r="B1322" s="21"/>
      <c r="C1322" s="5"/>
    </row>
    <row r="1323" spans="1:3" x14ac:dyDescent="0.25">
      <c r="A1323" s="21"/>
      <c r="B1323" s="21"/>
      <c r="C1323" s="5"/>
    </row>
    <row r="1324" spans="1:3" x14ac:dyDescent="0.25">
      <c r="A1324" s="21"/>
      <c r="B1324" s="21"/>
      <c r="C1324" s="5"/>
    </row>
    <row r="1325" spans="1:3" x14ac:dyDescent="0.25">
      <c r="A1325" s="21"/>
      <c r="B1325" s="21"/>
      <c r="C1325" s="5"/>
    </row>
    <row r="1326" spans="1:3" x14ac:dyDescent="0.25">
      <c r="A1326" s="21"/>
      <c r="B1326" s="21"/>
      <c r="C1326" s="5"/>
    </row>
    <row r="1327" spans="1:3" x14ac:dyDescent="0.25">
      <c r="A1327" s="21"/>
      <c r="B1327" s="21"/>
      <c r="C1327" s="5"/>
    </row>
    <row r="1328" spans="1:3" x14ac:dyDescent="0.25">
      <c r="A1328" s="21"/>
      <c r="B1328" s="21"/>
      <c r="C1328" s="5"/>
    </row>
    <row r="1329" spans="1:3" x14ac:dyDescent="0.25">
      <c r="A1329" s="21"/>
      <c r="B1329" s="21"/>
      <c r="C1329" s="5"/>
    </row>
    <row r="1330" spans="1:3" x14ac:dyDescent="0.25">
      <c r="A1330" s="21"/>
      <c r="B1330" s="21"/>
      <c r="C1330" s="5"/>
    </row>
    <row r="1331" spans="1:3" x14ac:dyDescent="0.25">
      <c r="A1331" s="21"/>
      <c r="B1331" s="21"/>
      <c r="C1331" s="5"/>
    </row>
    <row r="1332" spans="1:3" x14ac:dyDescent="0.25">
      <c r="A1332" s="21"/>
      <c r="B1332" s="21"/>
      <c r="C1332" s="5"/>
    </row>
    <row r="1333" spans="1:3" x14ac:dyDescent="0.25">
      <c r="A1333" s="21"/>
      <c r="B1333" s="21"/>
      <c r="C1333" s="5"/>
    </row>
    <row r="1334" spans="1:3" x14ac:dyDescent="0.25">
      <c r="A1334" s="21"/>
      <c r="B1334" s="21"/>
      <c r="C1334" s="5"/>
    </row>
    <row r="1335" spans="1:3" x14ac:dyDescent="0.25">
      <c r="A1335" s="21"/>
      <c r="B1335" s="21"/>
      <c r="C1335" s="5"/>
    </row>
    <row r="1336" spans="1:3" x14ac:dyDescent="0.25">
      <c r="A1336" s="21"/>
      <c r="B1336" s="21"/>
      <c r="C1336" s="5"/>
    </row>
    <row r="1337" spans="1:3" x14ac:dyDescent="0.25">
      <c r="A1337" s="21"/>
      <c r="B1337" s="21"/>
      <c r="C1337" s="5"/>
    </row>
    <row r="1338" spans="1:3" x14ac:dyDescent="0.25">
      <c r="A1338" s="21"/>
      <c r="B1338" s="21"/>
      <c r="C1338" s="5"/>
    </row>
    <row r="1339" spans="1:3" x14ac:dyDescent="0.25">
      <c r="A1339" s="21"/>
      <c r="B1339" s="21"/>
      <c r="C1339" s="5"/>
    </row>
    <row r="1340" spans="1:3" x14ac:dyDescent="0.25">
      <c r="A1340" s="21"/>
      <c r="B1340" s="21"/>
      <c r="C1340" s="5"/>
    </row>
    <row r="1341" spans="1:3" x14ac:dyDescent="0.25">
      <c r="A1341" s="21"/>
      <c r="B1341" s="21"/>
      <c r="C1341" s="5"/>
    </row>
    <row r="1342" spans="1:3" x14ac:dyDescent="0.25">
      <c r="A1342" s="21"/>
      <c r="B1342" s="21"/>
      <c r="C1342" s="5"/>
    </row>
    <row r="1343" spans="1:3" x14ac:dyDescent="0.25">
      <c r="A1343" s="21"/>
      <c r="B1343" s="21"/>
      <c r="C1343" s="5"/>
    </row>
    <row r="1344" spans="1:3" x14ac:dyDescent="0.25">
      <c r="A1344" s="21"/>
      <c r="B1344" s="21"/>
      <c r="C1344" s="5"/>
    </row>
    <row r="1345" spans="1:3" x14ac:dyDescent="0.25">
      <c r="A1345" s="21"/>
      <c r="B1345" s="21"/>
      <c r="C1345" s="5"/>
    </row>
    <row r="1346" spans="1:3" x14ac:dyDescent="0.25">
      <c r="A1346" s="21"/>
      <c r="B1346" s="21"/>
      <c r="C1346" s="5"/>
    </row>
    <row r="1347" spans="1:3" x14ac:dyDescent="0.25">
      <c r="A1347" s="21"/>
      <c r="B1347" s="21"/>
      <c r="C1347" s="5"/>
    </row>
    <row r="1348" spans="1:3" x14ac:dyDescent="0.25">
      <c r="A1348" s="21"/>
      <c r="B1348" s="21"/>
      <c r="C1348" s="5"/>
    </row>
    <row r="1349" spans="1:3" x14ac:dyDescent="0.25">
      <c r="A1349" s="21"/>
      <c r="B1349" s="21"/>
      <c r="C1349" s="5"/>
    </row>
    <row r="1350" spans="1:3" x14ac:dyDescent="0.25">
      <c r="A1350" s="21"/>
      <c r="B1350" s="21"/>
      <c r="C1350" s="5"/>
    </row>
    <row r="1351" spans="1:3" x14ac:dyDescent="0.25">
      <c r="A1351" s="21"/>
      <c r="B1351" s="21"/>
      <c r="C1351" s="5"/>
    </row>
    <row r="1352" spans="1:3" x14ac:dyDescent="0.25">
      <c r="A1352" s="21"/>
      <c r="B1352" s="21"/>
      <c r="C1352" s="5"/>
    </row>
    <row r="1353" spans="1:3" x14ac:dyDescent="0.25">
      <c r="A1353" s="21"/>
      <c r="B1353" s="21"/>
      <c r="C1353" s="5"/>
    </row>
    <row r="1354" spans="1:3" x14ac:dyDescent="0.25">
      <c r="A1354" s="21"/>
      <c r="B1354" s="21"/>
      <c r="C1354" s="5"/>
    </row>
    <row r="1355" spans="1:3" x14ac:dyDescent="0.25">
      <c r="A1355" s="21"/>
      <c r="B1355" s="21"/>
      <c r="C1355" s="5"/>
    </row>
    <row r="1356" spans="1:3" x14ac:dyDescent="0.25">
      <c r="A1356" s="21"/>
      <c r="B1356" s="21"/>
      <c r="C1356" s="5"/>
    </row>
    <row r="1357" spans="1:3" x14ac:dyDescent="0.25">
      <c r="A1357" s="21"/>
      <c r="B1357" s="21"/>
      <c r="C1357" s="5"/>
    </row>
    <row r="1358" spans="1:3" x14ac:dyDescent="0.25">
      <c r="A1358" s="21"/>
      <c r="B1358" s="21"/>
      <c r="C1358" s="5"/>
    </row>
    <row r="1359" spans="1:3" x14ac:dyDescent="0.25">
      <c r="A1359" s="21"/>
      <c r="B1359" s="21"/>
      <c r="C1359" s="5"/>
    </row>
    <row r="1360" spans="1:3" x14ac:dyDescent="0.25">
      <c r="A1360" s="21"/>
      <c r="B1360" s="21"/>
      <c r="C1360" s="5"/>
    </row>
    <row r="1361" spans="1:3" x14ac:dyDescent="0.25">
      <c r="A1361" s="21"/>
      <c r="B1361" s="21"/>
      <c r="C1361" s="5"/>
    </row>
    <row r="1362" spans="1:3" x14ac:dyDescent="0.25">
      <c r="A1362" s="21"/>
      <c r="B1362" s="21"/>
      <c r="C1362" s="5"/>
    </row>
    <row r="1363" spans="1:3" x14ac:dyDescent="0.25">
      <c r="A1363" s="21"/>
      <c r="B1363" s="21"/>
      <c r="C1363" s="5"/>
    </row>
    <row r="1364" spans="1:3" x14ac:dyDescent="0.25">
      <c r="A1364" s="21"/>
      <c r="B1364" s="21"/>
      <c r="C1364" s="5"/>
    </row>
    <row r="1365" spans="1:3" x14ac:dyDescent="0.25">
      <c r="A1365" s="21"/>
      <c r="B1365" s="21"/>
      <c r="C1365" s="5"/>
    </row>
    <row r="1366" spans="1:3" x14ac:dyDescent="0.25">
      <c r="A1366" s="21"/>
      <c r="B1366" s="21"/>
      <c r="C1366" s="5"/>
    </row>
    <row r="1367" spans="1:3" x14ac:dyDescent="0.25">
      <c r="A1367" s="21"/>
      <c r="B1367" s="21"/>
      <c r="C1367" s="5"/>
    </row>
    <row r="1368" spans="1:3" x14ac:dyDescent="0.25">
      <c r="A1368" s="21"/>
      <c r="B1368" s="21"/>
      <c r="C1368" s="5"/>
    </row>
    <row r="1369" spans="1:3" x14ac:dyDescent="0.25">
      <c r="A1369" s="21"/>
      <c r="B1369" s="21"/>
      <c r="C1369" s="5"/>
    </row>
    <row r="1370" spans="1:3" x14ac:dyDescent="0.25">
      <c r="A1370" s="21"/>
      <c r="B1370" s="21"/>
      <c r="C1370" s="5"/>
    </row>
    <row r="1371" spans="1:3" x14ac:dyDescent="0.25">
      <c r="A1371" s="21"/>
      <c r="B1371" s="21"/>
      <c r="C1371" s="5"/>
    </row>
    <row r="1372" spans="1:3" x14ac:dyDescent="0.25">
      <c r="A1372" s="21"/>
      <c r="B1372" s="21"/>
      <c r="C1372" s="5"/>
    </row>
    <row r="1373" spans="1:3" x14ac:dyDescent="0.25">
      <c r="A1373" s="21"/>
      <c r="B1373" s="21"/>
      <c r="C1373" s="5"/>
    </row>
    <row r="1374" spans="1:3" x14ac:dyDescent="0.25">
      <c r="A1374" s="21"/>
      <c r="B1374" s="21"/>
      <c r="C1374" s="5"/>
    </row>
    <row r="1375" spans="1:3" x14ac:dyDescent="0.25">
      <c r="A1375" s="21"/>
      <c r="B1375" s="21"/>
      <c r="C1375" s="5"/>
    </row>
    <row r="1376" spans="1:3" x14ac:dyDescent="0.25">
      <c r="A1376" s="21"/>
      <c r="B1376" s="21"/>
      <c r="C1376" s="5"/>
    </row>
    <row r="1377" spans="1:3" x14ac:dyDescent="0.25">
      <c r="A1377" s="21"/>
      <c r="B1377" s="21"/>
      <c r="C1377" s="5"/>
    </row>
    <row r="1378" spans="1:3" x14ac:dyDescent="0.25">
      <c r="A1378" s="21"/>
      <c r="B1378" s="21"/>
      <c r="C1378" s="5"/>
    </row>
    <row r="1379" spans="1:3" x14ac:dyDescent="0.25">
      <c r="A1379" s="21"/>
      <c r="B1379" s="21"/>
      <c r="C1379" s="5"/>
    </row>
    <row r="1380" spans="1:3" x14ac:dyDescent="0.25">
      <c r="A1380" s="21"/>
      <c r="B1380" s="21"/>
      <c r="C1380" s="5"/>
    </row>
    <row r="1381" spans="1:3" x14ac:dyDescent="0.25">
      <c r="A1381" s="21"/>
      <c r="B1381" s="21"/>
      <c r="C1381" s="5"/>
    </row>
    <row r="1382" spans="1:3" x14ac:dyDescent="0.25">
      <c r="A1382" s="21"/>
      <c r="B1382" s="21"/>
      <c r="C1382" s="5"/>
    </row>
    <row r="1383" spans="1:3" x14ac:dyDescent="0.25">
      <c r="A1383" s="21"/>
      <c r="B1383" s="21"/>
      <c r="C1383" s="5"/>
    </row>
    <row r="1384" spans="1:3" x14ac:dyDescent="0.25">
      <c r="A1384" s="21"/>
      <c r="B1384" s="21"/>
      <c r="C1384" s="5"/>
    </row>
    <row r="1385" spans="1:3" x14ac:dyDescent="0.25">
      <c r="A1385" s="21"/>
      <c r="B1385" s="21"/>
      <c r="C1385" s="5"/>
    </row>
    <row r="1386" spans="1:3" x14ac:dyDescent="0.25">
      <c r="A1386" s="21"/>
      <c r="B1386" s="21"/>
      <c r="C1386" s="5"/>
    </row>
    <row r="1387" spans="1:3" x14ac:dyDescent="0.25">
      <c r="A1387" s="21"/>
      <c r="B1387" s="21"/>
      <c r="C1387" s="5"/>
    </row>
    <row r="1388" spans="1:3" x14ac:dyDescent="0.25">
      <c r="A1388" s="21"/>
      <c r="B1388" s="21"/>
      <c r="C1388" s="5"/>
    </row>
    <row r="1389" spans="1:3" x14ac:dyDescent="0.25">
      <c r="A1389" s="21"/>
      <c r="B1389" s="21"/>
      <c r="C1389" s="5"/>
    </row>
    <row r="1390" spans="1:3" x14ac:dyDescent="0.25">
      <c r="A1390" s="21"/>
      <c r="B1390" s="21"/>
      <c r="C1390" s="5"/>
    </row>
    <row r="1391" spans="1:3" x14ac:dyDescent="0.25">
      <c r="A1391" s="21"/>
      <c r="B1391" s="21"/>
      <c r="C1391" s="5"/>
    </row>
    <row r="1392" spans="1:3" x14ac:dyDescent="0.25">
      <c r="A1392" s="21"/>
      <c r="B1392" s="21"/>
      <c r="C1392" s="5"/>
    </row>
    <row r="1393" spans="1:3" x14ac:dyDescent="0.25">
      <c r="A1393" s="21"/>
      <c r="B1393" s="21"/>
      <c r="C1393" s="5"/>
    </row>
    <row r="1394" spans="1:3" x14ac:dyDescent="0.25">
      <c r="A1394" s="21"/>
      <c r="B1394" s="21"/>
      <c r="C1394" s="5"/>
    </row>
    <row r="1395" spans="1:3" x14ac:dyDescent="0.25">
      <c r="A1395" s="21"/>
      <c r="B1395" s="21"/>
      <c r="C1395" s="5"/>
    </row>
    <row r="1396" spans="1:3" x14ac:dyDescent="0.25">
      <c r="A1396" s="21"/>
      <c r="B1396" s="21"/>
      <c r="C1396" s="5"/>
    </row>
    <row r="1397" spans="1:3" x14ac:dyDescent="0.25">
      <c r="A1397" s="21"/>
      <c r="B1397" s="21"/>
      <c r="C1397" s="5"/>
    </row>
    <row r="1398" spans="1:3" x14ac:dyDescent="0.25">
      <c r="A1398" s="21"/>
      <c r="B1398" s="21"/>
      <c r="C1398" s="5"/>
    </row>
    <row r="1399" spans="1:3" x14ac:dyDescent="0.25">
      <c r="A1399" s="21"/>
      <c r="B1399" s="21"/>
      <c r="C1399" s="5"/>
    </row>
    <row r="1400" spans="1:3" x14ac:dyDescent="0.25">
      <c r="A1400" s="21"/>
      <c r="B1400" s="21"/>
      <c r="C1400" s="5"/>
    </row>
    <row r="1401" spans="1:3" x14ac:dyDescent="0.25">
      <c r="A1401" s="21"/>
      <c r="B1401" s="21"/>
      <c r="C1401" s="5"/>
    </row>
    <row r="1402" spans="1:3" x14ac:dyDescent="0.25">
      <c r="A1402" s="21"/>
      <c r="B1402" s="21"/>
      <c r="C1402" s="5"/>
    </row>
    <row r="1403" spans="1:3" x14ac:dyDescent="0.25">
      <c r="A1403" s="21"/>
      <c r="B1403" s="21"/>
      <c r="C1403" s="5"/>
    </row>
    <row r="1404" spans="1:3" x14ac:dyDescent="0.25">
      <c r="A1404" s="21"/>
      <c r="B1404" s="21"/>
      <c r="C1404" s="5"/>
    </row>
    <row r="1405" spans="1:3" x14ac:dyDescent="0.25">
      <c r="A1405" s="21"/>
      <c r="B1405" s="21"/>
      <c r="C1405" s="5"/>
    </row>
    <row r="1406" spans="1:3" x14ac:dyDescent="0.25">
      <c r="A1406" s="21"/>
      <c r="B1406" s="21"/>
      <c r="C1406" s="5"/>
    </row>
    <row r="1407" spans="1:3" x14ac:dyDescent="0.25">
      <c r="A1407" s="21"/>
      <c r="B1407" s="21"/>
      <c r="C1407" s="5"/>
    </row>
    <row r="1408" spans="1:3" x14ac:dyDescent="0.25">
      <c r="A1408" s="21"/>
      <c r="B1408" s="21"/>
      <c r="C1408" s="5"/>
    </row>
    <row r="1409" spans="1:3" x14ac:dyDescent="0.25">
      <c r="A1409" s="21"/>
      <c r="B1409" s="21"/>
      <c r="C1409" s="5"/>
    </row>
    <row r="1410" spans="1:3" x14ac:dyDescent="0.25">
      <c r="A1410" s="21"/>
      <c r="B1410" s="21"/>
      <c r="C1410" s="5"/>
    </row>
    <row r="1411" spans="1:3" x14ac:dyDescent="0.25">
      <c r="A1411" s="21"/>
      <c r="B1411" s="21"/>
      <c r="C1411" s="5"/>
    </row>
    <row r="1412" spans="1:3" x14ac:dyDescent="0.25">
      <c r="A1412" s="21"/>
      <c r="B1412" s="21"/>
      <c r="C1412" s="5"/>
    </row>
    <row r="1413" spans="1:3" x14ac:dyDescent="0.25">
      <c r="A1413" s="21"/>
      <c r="B1413" s="21"/>
      <c r="C1413" s="5"/>
    </row>
    <row r="1414" spans="1:3" x14ac:dyDescent="0.25">
      <c r="A1414" s="21"/>
      <c r="B1414" s="21"/>
      <c r="C1414" s="5"/>
    </row>
    <row r="1415" spans="1:3" x14ac:dyDescent="0.25">
      <c r="A1415" s="21"/>
      <c r="B1415" s="21"/>
      <c r="C1415" s="5"/>
    </row>
    <row r="1416" spans="1:3" x14ac:dyDescent="0.25">
      <c r="A1416" s="21"/>
      <c r="B1416" s="21"/>
      <c r="C1416" s="5"/>
    </row>
    <row r="1417" spans="1:3" x14ac:dyDescent="0.25">
      <c r="A1417" s="21"/>
      <c r="B1417" s="21"/>
      <c r="C1417" s="5"/>
    </row>
    <row r="1418" spans="1:3" x14ac:dyDescent="0.25">
      <c r="A1418" s="21"/>
      <c r="B1418" s="21"/>
      <c r="C1418" s="5"/>
    </row>
    <row r="1419" spans="1:3" x14ac:dyDescent="0.25">
      <c r="A1419" s="21"/>
      <c r="B1419" s="21"/>
      <c r="C1419" s="5"/>
    </row>
    <row r="1420" spans="1:3" x14ac:dyDescent="0.25">
      <c r="A1420" s="21"/>
      <c r="B1420" s="21"/>
      <c r="C1420" s="5"/>
    </row>
    <row r="1421" spans="1:3" x14ac:dyDescent="0.25">
      <c r="A1421" s="21"/>
      <c r="B1421" s="21"/>
      <c r="C1421" s="5"/>
    </row>
    <row r="1422" spans="1:3" x14ac:dyDescent="0.25">
      <c r="A1422" s="21"/>
      <c r="B1422" s="21"/>
      <c r="C1422" s="5"/>
    </row>
    <row r="1423" spans="1:3" x14ac:dyDescent="0.25">
      <c r="A1423" s="21"/>
      <c r="B1423" s="21"/>
      <c r="C1423" s="5"/>
    </row>
    <row r="1424" spans="1:3" x14ac:dyDescent="0.25">
      <c r="A1424" s="21"/>
      <c r="B1424" s="21"/>
      <c r="C1424" s="5"/>
    </row>
    <row r="1425" spans="1:3" x14ac:dyDescent="0.25">
      <c r="A1425" s="21"/>
      <c r="B1425" s="21"/>
      <c r="C1425" s="5"/>
    </row>
    <row r="1426" spans="1:3" x14ac:dyDescent="0.25">
      <c r="A1426" s="21"/>
      <c r="B1426" s="21"/>
      <c r="C1426" s="5"/>
    </row>
    <row r="1427" spans="1:3" x14ac:dyDescent="0.25">
      <c r="A1427" s="21"/>
      <c r="B1427" s="21"/>
      <c r="C1427" s="5"/>
    </row>
    <row r="1428" spans="1:3" x14ac:dyDescent="0.25">
      <c r="A1428" s="21"/>
      <c r="B1428" s="21"/>
      <c r="C1428" s="5"/>
    </row>
    <row r="1429" spans="1:3" x14ac:dyDescent="0.25">
      <c r="A1429" s="21"/>
      <c r="B1429" s="21"/>
      <c r="C1429" s="5"/>
    </row>
    <row r="1430" spans="1:3" x14ac:dyDescent="0.25">
      <c r="A1430" s="21"/>
      <c r="B1430" s="21"/>
      <c r="C1430" s="5"/>
    </row>
    <row r="1431" spans="1:3" x14ac:dyDescent="0.25">
      <c r="A1431" s="21"/>
      <c r="B1431" s="21"/>
      <c r="C1431" s="5"/>
    </row>
    <row r="1432" spans="1:3" x14ac:dyDescent="0.25">
      <c r="A1432" s="21"/>
      <c r="B1432" s="21"/>
      <c r="C1432" s="5"/>
    </row>
    <row r="1433" spans="1:3" x14ac:dyDescent="0.25">
      <c r="A1433" s="21"/>
      <c r="B1433" s="21"/>
      <c r="C1433" s="5"/>
    </row>
    <row r="1434" spans="1:3" x14ac:dyDescent="0.25">
      <c r="A1434" s="21"/>
      <c r="B1434" s="21"/>
      <c r="C1434" s="5"/>
    </row>
    <row r="1435" spans="1:3" x14ac:dyDescent="0.25">
      <c r="A1435" s="21"/>
      <c r="B1435" s="21"/>
      <c r="C1435" s="5"/>
    </row>
    <row r="1436" spans="1:3" x14ac:dyDescent="0.25">
      <c r="A1436" s="21"/>
      <c r="B1436" s="21"/>
      <c r="C1436" s="5"/>
    </row>
    <row r="1437" spans="1:3" x14ac:dyDescent="0.25">
      <c r="A1437" s="21"/>
      <c r="B1437" s="21"/>
      <c r="C1437" s="5"/>
    </row>
    <row r="1438" spans="1:3" x14ac:dyDescent="0.25">
      <c r="A1438" s="21"/>
      <c r="B1438" s="21"/>
      <c r="C1438" s="5"/>
    </row>
    <row r="1439" spans="1:3" x14ac:dyDescent="0.25">
      <c r="A1439" s="21"/>
      <c r="B1439" s="21"/>
      <c r="C1439" s="5"/>
    </row>
    <row r="1440" spans="1:3" x14ac:dyDescent="0.25">
      <c r="A1440" s="21"/>
      <c r="B1440" s="21"/>
      <c r="C1440" s="5"/>
    </row>
    <row r="1441" spans="1:3" x14ac:dyDescent="0.25">
      <c r="A1441" s="21"/>
      <c r="B1441" s="21"/>
      <c r="C1441" s="5"/>
    </row>
    <row r="1442" spans="1:3" x14ac:dyDescent="0.25">
      <c r="A1442" s="21"/>
      <c r="B1442" s="21"/>
      <c r="C1442" s="5"/>
    </row>
    <row r="1443" spans="1:3" x14ac:dyDescent="0.25">
      <c r="A1443" s="21"/>
      <c r="B1443" s="21"/>
      <c r="C1443" s="5"/>
    </row>
    <row r="1444" spans="1:3" x14ac:dyDescent="0.25">
      <c r="A1444" s="21"/>
      <c r="B1444" s="21"/>
      <c r="C1444" s="5"/>
    </row>
    <row r="1445" spans="1:3" x14ac:dyDescent="0.25">
      <c r="A1445" s="21"/>
      <c r="B1445" s="21"/>
      <c r="C1445" s="5"/>
    </row>
    <row r="1446" spans="1:3" x14ac:dyDescent="0.25">
      <c r="A1446" s="21"/>
      <c r="B1446" s="21"/>
      <c r="C1446" s="5"/>
    </row>
    <row r="1447" spans="1:3" x14ac:dyDescent="0.25">
      <c r="A1447" s="21"/>
      <c r="B1447" s="21"/>
      <c r="C1447" s="5"/>
    </row>
    <row r="1448" spans="1:3" x14ac:dyDescent="0.25">
      <c r="A1448" s="21"/>
      <c r="B1448" s="21"/>
      <c r="C1448" s="5"/>
    </row>
    <row r="1449" spans="1:3" x14ac:dyDescent="0.25">
      <c r="A1449" s="21"/>
      <c r="B1449" s="21"/>
      <c r="C1449" s="5"/>
    </row>
    <row r="1450" spans="1:3" x14ac:dyDescent="0.25">
      <c r="A1450" s="21"/>
      <c r="B1450" s="21"/>
      <c r="C1450" s="5"/>
    </row>
    <row r="1451" spans="1:3" x14ac:dyDescent="0.25">
      <c r="A1451" s="21"/>
      <c r="B1451" s="21"/>
      <c r="C1451" s="5"/>
    </row>
    <row r="1452" spans="1:3" x14ac:dyDescent="0.25">
      <c r="A1452" s="21"/>
      <c r="B1452" s="21"/>
      <c r="C1452" s="5"/>
    </row>
    <row r="1453" spans="1:3" x14ac:dyDescent="0.25">
      <c r="A1453" s="21"/>
      <c r="B1453" s="21"/>
      <c r="C1453" s="5"/>
    </row>
    <row r="1454" spans="1:3" x14ac:dyDescent="0.25">
      <c r="A1454" s="21"/>
      <c r="B1454" s="21"/>
      <c r="C1454" s="5"/>
    </row>
    <row r="1455" spans="1:3" x14ac:dyDescent="0.25">
      <c r="A1455" s="21"/>
      <c r="B1455" s="21"/>
      <c r="C1455" s="5"/>
    </row>
    <row r="1456" spans="1:3" x14ac:dyDescent="0.25">
      <c r="A1456" s="21"/>
      <c r="B1456" s="21"/>
      <c r="C1456" s="5"/>
    </row>
    <row r="1457" spans="1:3" x14ac:dyDescent="0.25">
      <c r="A1457" s="21"/>
      <c r="B1457" s="21"/>
      <c r="C1457" s="5"/>
    </row>
    <row r="1458" spans="1:3" x14ac:dyDescent="0.25">
      <c r="A1458" s="21"/>
      <c r="B1458" s="21"/>
      <c r="C1458" s="5"/>
    </row>
    <row r="1459" spans="1:3" x14ac:dyDescent="0.25">
      <c r="A1459" s="21"/>
      <c r="B1459" s="21"/>
      <c r="C1459" s="5"/>
    </row>
    <row r="1460" spans="1:3" x14ac:dyDescent="0.25">
      <c r="A1460" s="21"/>
      <c r="B1460" s="21"/>
      <c r="C1460" s="5"/>
    </row>
    <row r="1461" spans="1:3" x14ac:dyDescent="0.25">
      <c r="A1461" s="21"/>
      <c r="B1461" s="21"/>
      <c r="C1461" s="5"/>
    </row>
    <row r="1462" spans="1:3" x14ac:dyDescent="0.25">
      <c r="A1462" s="21"/>
      <c r="B1462" s="21"/>
      <c r="C1462" s="5"/>
    </row>
    <row r="1463" spans="1:3" x14ac:dyDescent="0.25">
      <c r="A1463" s="21"/>
      <c r="B1463" s="21"/>
      <c r="C1463" s="5"/>
    </row>
    <row r="1464" spans="1:3" x14ac:dyDescent="0.25">
      <c r="A1464" s="21"/>
      <c r="B1464" s="21"/>
      <c r="C1464" s="5"/>
    </row>
    <row r="1465" spans="1:3" x14ac:dyDescent="0.25">
      <c r="A1465" s="21"/>
      <c r="B1465" s="21"/>
      <c r="C1465" s="5"/>
    </row>
    <row r="1466" spans="1:3" x14ac:dyDescent="0.25">
      <c r="A1466" s="21"/>
      <c r="B1466" s="21"/>
      <c r="C1466" s="5"/>
    </row>
    <row r="1467" spans="1:3" x14ac:dyDescent="0.25">
      <c r="A1467" s="21"/>
      <c r="B1467" s="21"/>
      <c r="C1467" s="5"/>
    </row>
    <row r="1468" spans="1:3" x14ac:dyDescent="0.25">
      <c r="A1468" s="21"/>
      <c r="B1468" s="21"/>
      <c r="C1468" s="5"/>
    </row>
    <row r="1469" spans="1:3" x14ac:dyDescent="0.25">
      <c r="A1469" s="21"/>
      <c r="B1469" s="21"/>
      <c r="C1469" s="5"/>
    </row>
    <row r="1470" spans="1:3" x14ac:dyDescent="0.25">
      <c r="A1470" s="21"/>
      <c r="B1470" s="21"/>
      <c r="C1470" s="5"/>
    </row>
    <row r="1471" spans="1:3" x14ac:dyDescent="0.25">
      <c r="A1471" s="21"/>
      <c r="B1471" s="21"/>
      <c r="C1471" s="5"/>
    </row>
    <row r="1472" spans="1:3" x14ac:dyDescent="0.25">
      <c r="A1472" s="21"/>
      <c r="B1472" s="21"/>
      <c r="C1472" s="5"/>
    </row>
    <row r="1473" spans="1:3" x14ac:dyDescent="0.25">
      <c r="A1473" s="21"/>
      <c r="B1473" s="21"/>
      <c r="C1473" s="5"/>
    </row>
    <row r="1474" spans="1:3" x14ac:dyDescent="0.25">
      <c r="A1474" s="21"/>
      <c r="B1474" s="21"/>
      <c r="C1474" s="5"/>
    </row>
    <row r="1475" spans="1:3" x14ac:dyDescent="0.25">
      <c r="A1475" s="21"/>
      <c r="B1475" s="21"/>
      <c r="C1475" s="5"/>
    </row>
    <row r="1476" spans="1:3" x14ac:dyDescent="0.25">
      <c r="A1476" s="21"/>
      <c r="B1476" s="21"/>
      <c r="C1476" s="5"/>
    </row>
    <row r="1477" spans="1:3" x14ac:dyDescent="0.25">
      <c r="A1477" s="21"/>
      <c r="B1477" s="21"/>
      <c r="C1477" s="5"/>
    </row>
    <row r="1478" spans="1:3" x14ac:dyDescent="0.25">
      <c r="A1478" s="21"/>
      <c r="B1478" s="21"/>
      <c r="C1478" s="5"/>
    </row>
    <row r="1479" spans="1:3" x14ac:dyDescent="0.25">
      <c r="A1479" s="21"/>
      <c r="B1479" s="21"/>
      <c r="C1479" s="5"/>
    </row>
    <row r="1480" spans="1:3" x14ac:dyDescent="0.25">
      <c r="A1480" s="21"/>
      <c r="B1480" s="21"/>
      <c r="C1480" s="5"/>
    </row>
    <row r="1481" spans="1:3" x14ac:dyDescent="0.25">
      <c r="A1481" s="21"/>
      <c r="B1481" s="21"/>
      <c r="C1481" s="5"/>
    </row>
    <row r="1482" spans="1:3" x14ac:dyDescent="0.25">
      <c r="A1482" s="21"/>
      <c r="B1482" s="21"/>
      <c r="C1482" s="5"/>
    </row>
    <row r="1483" spans="1:3" x14ac:dyDescent="0.25">
      <c r="A1483" s="21"/>
      <c r="B1483" s="21"/>
      <c r="C1483" s="5"/>
    </row>
    <row r="1484" spans="1:3" x14ac:dyDescent="0.25">
      <c r="A1484" s="21"/>
      <c r="B1484" s="21"/>
      <c r="C1484" s="5"/>
    </row>
    <row r="1485" spans="1:3" x14ac:dyDescent="0.25">
      <c r="A1485" s="21"/>
      <c r="B1485" s="21"/>
      <c r="C1485" s="5"/>
    </row>
    <row r="1486" spans="1:3" x14ac:dyDescent="0.25">
      <c r="A1486" s="21"/>
      <c r="B1486" s="21"/>
      <c r="C1486" s="5"/>
    </row>
    <row r="1487" spans="1:3" x14ac:dyDescent="0.25">
      <c r="A1487" s="21"/>
      <c r="B1487" s="21"/>
      <c r="C1487" s="5"/>
    </row>
    <row r="1488" spans="1:3" x14ac:dyDescent="0.25">
      <c r="A1488" s="21"/>
      <c r="B1488" s="5"/>
      <c r="C1488" s="5"/>
    </row>
    <row r="1489" spans="1:3" x14ac:dyDescent="0.25">
      <c r="A1489" s="21"/>
      <c r="B1489" s="5"/>
      <c r="C1489" s="5"/>
    </row>
    <row r="1490" spans="1:3" x14ac:dyDescent="0.25">
      <c r="A1490" s="21"/>
      <c r="B1490" s="5"/>
      <c r="C1490" s="5"/>
    </row>
    <row r="1491" spans="1:3" x14ac:dyDescent="0.25">
      <c r="A1491" s="21"/>
      <c r="B1491" s="5"/>
      <c r="C1491" s="5"/>
    </row>
    <row r="1492" spans="1:3" x14ac:dyDescent="0.25">
      <c r="A1492" s="21"/>
      <c r="B1492" s="5"/>
      <c r="C1492" s="5"/>
    </row>
    <row r="1493" spans="1:3" x14ac:dyDescent="0.25">
      <c r="A1493" s="21"/>
      <c r="B1493" s="5"/>
      <c r="C1493" s="5"/>
    </row>
    <row r="1494" spans="1:3" x14ac:dyDescent="0.25">
      <c r="A1494" s="21"/>
      <c r="B1494" s="5"/>
      <c r="C1494" s="5"/>
    </row>
    <row r="1495" spans="1:3" x14ac:dyDescent="0.25">
      <c r="A1495" s="21"/>
      <c r="B1495" s="5"/>
      <c r="C1495" s="5"/>
    </row>
    <row r="1496" spans="1:3" x14ac:dyDescent="0.25">
      <c r="A1496" s="21"/>
      <c r="B1496" s="5"/>
      <c r="C1496" s="5"/>
    </row>
    <row r="1497" spans="1:3" x14ac:dyDescent="0.25">
      <c r="A1497" s="21"/>
      <c r="B1497" s="5"/>
      <c r="C1497" s="5"/>
    </row>
    <row r="1498" spans="1:3" x14ac:dyDescent="0.25">
      <c r="A1498" s="21"/>
      <c r="B1498" s="5"/>
      <c r="C1498" s="5"/>
    </row>
    <row r="1499" spans="1:3" x14ac:dyDescent="0.25">
      <c r="A1499" s="21"/>
      <c r="B1499" s="5"/>
      <c r="C1499" s="5"/>
    </row>
    <row r="1500" spans="1:3" x14ac:dyDescent="0.25">
      <c r="A1500" s="21"/>
      <c r="B1500" s="5"/>
      <c r="C1500" s="5"/>
    </row>
    <row r="1501" spans="1:3" x14ac:dyDescent="0.25">
      <c r="A1501" s="21"/>
      <c r="B1501" s="5"/>
      <c r="C1501" s="5"/>
    </row>
    <row r="1502" spans="1:3" x14ac:dyDescent="0.25">
      <c r="A1502" s="21"/>
      <c r="B1502" s="5"/>
      <c r="C1502" s="5"/>
    </row>
    <row r="1503" spans="1:3" x14ac:dyDescent="0.25">
      <c r="A1503" s="21"/>
      <c r="B1503" s="5"/>
      <c r="C1503" s="5"/>
    </row>
    <row r="1504" spans="1:3" x14ac:dyDescent="0.25">
      <c r="A1504" s="21"/>
      <c r="B1504" s="5"/>
      <c r="C1504" s="5"/>
    </row>
    <row r="1505" spans="1:3" x14ac:dyDescent="0.25">
      <c r="A1505" s="21"/>
      <c r="B1505" s="5"/>
      <c r="C1505" s="5"/>
    </row>
    <row r="1506" spans="1:3" x14ac:dyDescent="0.25">
      <c r="A1506" s="21"/>
      <c r="B1506" s="5"/>
      <c r="C1506" s="5"/>
    </row>
    <row r="1507" spans="1:3" x14ac:dyDescent="0.25">
      <c r="A1507" s="21"/>
      <c r="B1507" s="5"/>
      <c r="C1507" s="5"/>
    </row>
    <row r="1508" spans="1:3" x14ac:dyDescent="0.25">
      <c r="A1508" s="21"/>
      <c r="B1508" s="5"/>
      <c r="C1508" s="5"/>
    </row>
    <row r="1509" spans="1:3" x14ac:dyDescent="0.25">
      <c r="A1509" s="21"/>
      <c r="B1509" s="5"/>
      <c r="C1509" s="5"/>
    </row>
    <row r="1510" spans="1:3" x14ac:dyDescent="0.25">
      <c r="A1510" s="21"/>
      <c r="B1510" s="5"/>
      <c r="C1510" s="5"/>
    </row>
    <row r="1511" spans="1:3" x14ac:dyDescent="0.25">
      <c r="A1511" s="21"/>
      <c r="B1511" s="5"/>
      <c r="C1511" s="5"/>
    </row>
    <row r="1512" spans="1:3" x14ac:dyDescent="0.25">
      <c r="A1512" s="21"/>
      <c r="B1512" s="5"/>
      <c r="C1512" s="5"/>
    </row>
    <row r="1513" spans="1:3" x14ac:dyDescent="0.25">
      <c r="A1513" s="21"/>
      <c r="B1513" s="5"/>
      <c r="C1513" s="5"/>
    </row>
    <row r="1514" spans="1:3" x14ac:dyDescent="0.25">
      <c r="A1514" s="21"/>
      <c r="B1514" s="5"/>
      <c r="C1514" s="5"/>
    </row>
    <row r="1515" spans="1:3" x14ac:dyDescent="0.25">
      <c r="A1515" s="21"/>
      <c r="B1515" s="5"/>
      <c r="C1515" s="5"/>
    </row>
    <row r="1516" spans="1:3" x14ac:dyDescent="0.25">
      <c r="A1516" s="21"/>
      <c r="B1516" s="5"/>
      <c r="C1516" s="5"/>
    </row>
    <row r="1517" spans="1:3" x14ac:dyDescent="0.25">
      <c r="A1517" s="21"/>
      <c r="B1517" s="5"/>
      <c r="C1517" s="5"/>
    </row>
    <row r="1518" spans="1:3" x14ac:dyDescent="0.25">
      <c r="A1518" s="21"/>
      <c r="B1518" s="5"/>
      <c r="C1518" s="5"/>
    </row>
    <row r="1519" spans="1:3" x14ac:dyDescent="0.25">
      <c r="A1519" s="21"/>
      <c r="B1519" s="5"/>
      <c r="C1519" s="5"/>
    </row>
    <row r="1520" spans="1:3" x14ac:dyDescent="0.25">
      <c r="A1520" s="21"/>
      <c r="B1520" s="5"/>
      <c r="C1520" s="5"/>
    </row>
    <row r="1521" spans="1:3" x14ac:dyDescent="0.25">
      <c r="A1521" s="21"/>
      <c r="B1521" s="5"/>
      <c r="C1521" s="5"/>
    </row>
    <row r="1522" spans="1:3" x14ac:dyDescent="0.25">
      <c r="A1522" s="21"/>
      <c r="B1522" s="5"/>
      <c r="C1522" s="5"/>
    </row>
    <row r="1523" spans="1:3" x14ac:dyDescent="0.25">
      <c r="A1523" s="21"/>
      <c r="B1523" s="5"/>
      <c r="C1523" s="5"/>
    </row>
    <row r="1524" spans="1:3" x14ac:dyDescent="0.25">
      <c r="A1524" s="21"/>
      <c r="B1524" s="5"/>
      <c r="C1524" s="5"/>
    </row>
    <row r="1525" spans="1:3" x14ac:dyDescent="0.25">
      <c r="A1525" s="21"/>
      <c r="B1525" s="5"/>
      <c r="C1525" s="5"/>
    </row>
    <row r="1526" spans="1:3" x14ac:dyDescent="0.25">
      <c r="A1526" s="21"/>
      <c r="B1526" s="5"/>
      <c r="C1526" s="5"/>
    </row>
    <row r="1527" spans="1:3" x14ac:dyDescent="0.25">
      <c r="A1527" s="21"/>
      <c r="B1527" s="5"/>
      <c r="C1527" s="5"/>
    </row>
    <row r="1528" spans="1:3" x14ac:dyDescent="0.25">
      <c r="A1528" s="21"/>
      <c r="B1528" s="5"/>
      <c r="C1528" s="5"/>
    </row>
    <row r="1529" spans="1:3" x14ac:dyDescent="0.25">
      <c r="A1529" s="21"/>
      <c r="B1529" s="5"/>
      <c r="C1529" s="5"/>
    </row>
    <row r="1530" spans="1:3" x14ac:dyDescent="0.25">
      <c r="A1530" s="21"/>
      <c r="B1530" s="5"/>
      <c r="C1530" s="5"/>
    </row>
    <row r="1531" spans="1:3" x14ac:dyDescent="0.25">
      <c r="A1531" s="21"/>
      <c r="B1531" s="5"/>
      <c r="C1531" s="5"/>
    </row>
    <row r="1532" spans="1:3" x14ac:dyDescent="0.25">
      <c r="A1532" s="21"/>
      <c r="B1532" s="5"/>
      <c r="C1532" s="5"/>
    </row>
    <row r="1533" spans="1:3" x14ac:dyDescent="0.25">
      <c r="A1533" s="21"/>
      <c r="B1533" s="5"/>
      <c r="C1533" s="5"/>
    </row>
    <row r="1534" spans="1:3" x14ac:dyDescent="0.25">
      <c r="A1534" s="21"/>
      <c r="B1534" s="5"/>
      <c r="C1534" s="5"/>
    </row>
    <row r="1535" spans="1:3" x14ac:dyDescent="0.25">
      <c r="A1535" s="21"/>
      <c r="B1535" s="5"/>
      <c r="C1535" s="5"/>
    </row>
    <row r="1536" spans="1:3" x14ac:dyDescent="0.25">
      <c r="A1536" s="21"/>
      <c r="B1536" s="5"/>
      <c r="C1536" s="5"/>
    </row>
    <row r="1537" spans="1:3" x14ac:dyDescent="0.25">
      <c r="A1537" s="21"/>
      <c r="B1537" s="5"/>
      <c r="C1537" s="5"/>
    </row>
    <row r="1538" spans="1:3" x14ac:dyDescent="0.25">
      <c r="A1538" s="21"/>
      <c r="B1538" s="5"/>
      <c r="C1538" s="5"/>
    </row>
    <row r="1539" spans="1:3" x14ac:dyDescent="0.25">
      <c r="A1539" s="21"/>
      <c r="B1539" s="5"/>
      <c r="C1539" s="5"/>
    </row>
    <row r="1540" spans="1:3" x14ac:dyDescent="0.25">
      <c r="A1540" s="21"/>
      <c r="B1540" s="5"/>
      <c r="C1540" s="5"/>
    </row>
    <row r="1541" spans="1:3" x14ac:dyDescent="0.25">
      <c r="A1541" s="21"/>
      <c r="B1541" s="5"/>
      <c r="C1541" s="5"/>
    </row>
    <row r="1542" spans="1:3" x14ac:dyDescent="0.25">
      <c r="A1542" s="21"/>
      <c r="B1542" s="5"/>
      <c r="C1542" s="5"/>
    </row>
    <row r="1543" spans="1:3" x14ac:dyDescent="0.25">
      <c r="A1543" s="21"/>
      <c r="B1543" s="5"/>
      <c r="C1543" s="5"/>
    </row>
    <row r="1544" spans="1:3" x14ac:dyDescent="0.25">
      <c r="A1544" s="21"/>
      <c r="B1544" s="5"/>
      <c r="C1544" s="5"/>
    </row>
    <row r="1545" spans="1:3" x14ac:dyDescent="0.25">
      <c r="A1545" s="21"/>
      <c r="B1545" s="5"/>
      <c r="C1545" s="5"/>
    </row>
    <row r="1546" spans="1:3" x14ac:dyDescent="0.25">
      <c r="A1546" s="21"/>
      <c r="B1546" s="5"/>
      <c r="C1546" s="5"/>
    </row>
    <row r="1547" spans="1:3" x14ac:dyDescent="0.25">
      <c r="A1547" s="21"/>
      <c r="B1547" s="5"/>
      <c r="C1547" s="5"/>
    </row>
    <row r="1548" spans="1:3" x14ac:dyDescent="0.25">
      <c r="A1548" s="21"/>
      <c r="B1548" s="5"/>
      <c r="C1548" s="5"/>
    </row>
    <row r="1549" spans="1:3" x14ac:dyDescent="0.25">
      <c r="A1549" s="21"/>
      <c r="B1549" s="5"/>
      <c r="C1549" s="5"/>
    </row>
    <row r="1550" spans="1:3" x14ac:dyDescent="0.25">
      <c r="A1550" s="21"/>
      <c r="B1550" s="5"/>
      <c r="C1550" s="5"/>
    </row>
    <row r="1551" spans="1:3" x14ac:dyDescent="0.25">
      <c r="A1551" s="21"/>
      <c r="B1551" s="5"/>
      <c r="C1551" s="5"/>
    </row>
    <row r="1552" spans="1:3" x14ac:dyDescent="0.25">
      <c r="A1552" s="21"/>
      <c r="B1552" s="5"/>
      <c r="C1552" s="5"/>
    </row>
    <row r="1553" spans="1:3" x14ac:dyDescent="0.25">
      <c r="A1553" s="21"/>
      <c r="B1553" s="5"/>
      <c r="C1553" s="5"/>
    </row>
    <row r="1554" spans="1:3" x14ac:dyDescent="0.25">
      <c r="A1554" s="21"/>
      <c r="B1554" s="5"/>
      <c r="C1554" s="5"/>
    </row>
    <row r="1555" spans="1:3" x14ac:dyDescent="0.25">
      <c r="A1555" s="21"/>
      <c r="B1555" s="5"/>
      <c r="C1555" s="5"/>
    </row>
    <row r="1556" spans="1:3" x14ac:dyDescent="0.25">
      <c r="A1556" s="21"/>
      <c r="B1556" s="5"/>
      <c r="C1556" s="5"/>
    </row>
    <row r="1557" spans="1:3" x14ac:dyDescent="0.25">
      <c r="A1557" s="21"/>
      <c r="B1557" s="5"/>
      <c r="C1557" s="5"/>
    </row>
    <row r="1558" spans="1:3" x14ac:dyDescent="0.25">
      <c r="A1558" s="21"/>
      <c r="B1558" s="5"/>
      <c r="C1558" s="5"/>
    </row>
    <row r="1559" spans="1:3" x14ac:dyDescent="0.25">
      <c r="A1559" s="21"/>
      <c r="B1559" s="5"/>
      <c r="C1559" s="5"/>
    </row>
    <row r="1560" spans="1:3" x14ac:dyDescent="0.25">
      <c r="A1560" s="21"/>
      <c r="B1560" s="5"/>
      <c r="C1560" s="5"/>
    </row>
    <row r="1561" spans="1:3" x14ac:dyDescent="0.25">
      <c r="A1561" s="21"/>
      <c r="B1561" s="5"/>
      <c r="C1561" s="5"/>
    </row>
    <row r="1562" spans="1:3" x14ac:dyDescent="0.25">
      <c r="A1562" s="21"/>
      <c r="B1562" s="5"/>
      <c r="C1562" s="5"/>
    </row>
    <row r="1563" spans="1:3" x14ac:dyDescent="0.25">
      <c r="A1563" s="21"/>
      <c r="B1563" s="5"/>
      <c r="C1563" s="5"/>
    </row>
    <row r="1564" spans="1:3" x14ac:dyDescent="0.25">
      <c r="A1564" s="21"/>
      <c r="B1564" s="5"/>
      <c r="C1564" s="5"/>
    </row>
    <row r="1565" spans="1:3" x14ac:dyDescent="0.25">
      <c r="A1565" s="21"/>
      <c r="B1565" s="5"/>
      <c r="C1565" s="5"/>
    </row>
    <row r="1566" spans="1:3" x14ac:dyDescent="0.25">
      <c r="A1566" s="21"/>
      <c r="B1566" s="5"/>
      <c r="C1566" s="5"/>
    </row>
    <row r="1567" spans="1:3" x14ac:dyDescent="0.25">
      <c r="A1567" s="21"/>
      <c r="B1567" s="5"/>
      <c r="C1567" s="5"/>
    </row>
    <row r="1568" spans="1:3" x14ac:dyDescent="0.25">
      <c r="A1568" s="21"/>
      <c r="B1568" s="5"/>
      <c r="C1568" s="5"/>
    </row>
    <row r="1569" spans="1:3" x14ac:dyDescent="0.25">
      <c r="A1569" s="21"/>
      <c r="B1569" s="5"/>
      <c r="C1569" s="5"/>
    </row>
    <row r="1570" spans="1:3" x14ac:dyDescent="0.25">
      <c r="A1570" s="21"/>
      <c r="B1570" s="5"/>
      <c r="C1570" s="5"/>
    </row>
    <row r="1571" spans="1:3" x14ac:dyDescent="0.25">
      <c r="A1571" s="21"/>
      <c r="B1571" s="5"/>
      <c r="C1571" s="5"/>
    </row>
    <row r="1572" spans="1:3" x14ac:dyDescent="0.25">
      <c r="A1572" s="21"/>
      <c r="B1572" s="5"/>
      <c r="C1572" s="5"/>
    </row>
    <row r="1573" spans="1:3" x14ac:dyDescent="0.25">
      <c r="A1573" s="21"/>
      <c r="B1573" s="5"/>
      <c r="C1573" s="5"/>
    </row>
    <row r="1574" spans="1:3" x14ac:dyDescent="0.25">
      <c r="A1574" s="21"/>
      <c r="B1574" s="5"/>
      <c r="C1574" s="5"/>
    </row>
    <row r="1575" spans="1:3" x14ac:dyDescent="0.25">
      <c r="A1575" s="21"/>
      <c r="B1575" s="5"/>
      <c r="C1575" s="5"/>
    </row>
    <row r="1576" spans="1:3" x14ac:dyDescent="0.25">
      <c r="A1576" s="21"/>
      <c r="B1576" s="5"/>
      <c r="C1576" s="5"/>
    </row>
    <row r="1577" spans="1:3" x14ac:dyDescent="0.25">
      <c r="A1577" s="21"/>
      <c r="B1577" s="5"/>
      <c r="C1577" s="5"/>
    </row>
    <row r="1578" spans="1:3" x14ac:dyDescent="0.25">
      <c r="A1578" s="21"/>
      <c r="B1578" s="5"/>
      <c r="C1578" s="5"/>
    </row>
    <row r="1579" spans="1:3" x14ac:dyDescent="0.25">
      <c r="A1579" s="21"/>
      <c r="B1579" s="5"/>
      <c r="C1579" s="5"/>
    </row>
    <row r="1580" spans="1:3" x14ac:dyDescent="0.25">
      <c r="A1580" s="21"/>
      <c r="B1580" s="5"/>
      <c r="C1580" s="5"/>
    </row>
    <row r="1581" spans="1:3" x14ac:dyDescent="0.25">
      <c r="A1581" s="21"/>
      <c r="B1581" s="5"/>
      <c r="C1581" s="5"/>
    </row>
    <row r="1582" spans="1:3" x14ac:dyDescent="0.25">
      <c r="A1582" s="21"/>
      <c r="B1582" s="5"/>
      <c r="C1582" s="5"/>
    </row>
    <row r="1583" spans="1:3" x14ac:dyDescent="0.25">
      <c r="A1583" s="21"/>
      <c r="B1583" s="5"/>
      <c r="C1583" s="5"/>
    </row>
    <row r="1584" spans="1:3" x14ac:dyDescent="0.25">
      <c r="A1584" s="21"/>
      <c r="B1584" s="5"/>
      <c r="C1584" s="5"/>
    </row>
    <row r="1585" spans="1:3" x14ac:dyDescent="0.25">
      <c r="A1585" s="21"/>
      <c r="B1585" s="5"/>
      <c r="C1585" s="5"/>
    </row>
    <row r="1586" spans="1:3" x14ac:dyDescent="0.25">
      <c r="A1586" s="21"/>
      <c r="B1586" s="5"/>
      <c r="C1586" s="5"/>
    </row>
    <row r="1587" spans="1:3" x14ac:dyDescent="0.25">
      <c r="A1587" s="21"/>
      <c r="B1587" s="5"/>
      <c r="C1587" s="5"/>
    </row>
    <row r="1588" spans="1:3" x14ac:dyDescent="0.25">
      <c r="A1588" s="21"/>
      <c r="B1588" s="5"/>
      <c r="C1588" s="5"/>
    </row>
    <row r="1589" spans="1:3" x14ac:dyDescent="0.25">
      <c r="A1589" s="21"/>
      <c r="B1589" s="5"/>
      <c r="C1589" s="5"/>
    </row>
    <row r="1590" spans="1:3" x14ac:dyDescent="0.25">
      <c r="A1590" s="21"/>
      <c r="B1590" s="5"/>
      <c r="C1590" s="5"/>
    </row>
    <row r="1591" spans="1:3" x14ac:dyDescent="0.25">
      <c r="A1591" s="21"/>
      <c r="B1591" s="5"/>
      <c r="C1591" s="5"/>
    </row>
    <row r="1592" spans="1:3" x14ac:dyDescent="0.25">
      <c r="A1592" s="21"/>
      <c r="B1592" s="5"/>
      <c r="C1592" s="5"/>
    </row>
    <row r="1593" spans="1:3" x14ac:dyDescent="0.25">
      <c r="A1593" s="21"/>
      <c r="B1593" s="5"/>
      <c r="C1593" s="5"/>
    </row>
    <row r="1594" spans="1:3" x14ac:dyDescent="0.25">
      <c r="A1594" s="21"/>
      <c r="B1594" s="5"/>
      <c r="C1594" s="5"/>
    </row>
    <row r="1595" spans="1:3" x14ac:dyDescent="0.25">
      <c r="A1595" s="21"/>
      <c r="B1595" s="5"/>
      <c r="C1595" s="5"/>
    </row>
    <row r="1596" spans="1:3" x14ac:dyDescent="0.25">
      <c r="A1596" s="21"/>
      <c r="B1596" s="5"/>
      <c r="C1596" s="5"/>
    </row>
    <row r="1597" spans="1:3" x14ac:dyDescent="0.25">
      <c r="A1597" s="21"/>
      <c r="B1597" s="5"/>
      <c r="C1597" s="5"/>
    </row>
    <row r="1598" spans="1:3" x14ac:dyDescent="0.25">
      <c r="A1598" s="21"/>
      <c r="B1598" s="5"/>
      <c r="C1598" s="5"/>
    </row>
    <row r="1599" spans="1:3" x14ac:dyDescent="0.25">
      <c r="A1599" s="21"/>
      <c r="B1599" s="5"/>
      <c r="C1599" s="5"/>
    </row>
    <row r="1600" spans="1:3" x14ac:dyDescent="0.25">
      <c r="A1600" s="21"/>
      <c r="B1600" s="5"/>
      <c r="C1600" s="5"/>
    </row>
    <row r="1601" spans="1:3" x14ac:dyDescent="0.25">
      <c r="A1601" s="21"/>
      <c r="B1601" s="5"/>
      <c r="C1601" s="5"/>
    </row>
    <row r="1602" spans="1:3" x14ac:dyDescent="0.25">
      <c r="A1602" s="21"/>
      <c r="B1602" s="5"/>
      <c r="C1602" s="5"/>
    </row>
    <row r="1603" spans="1:3" x14ac:dyDescent="0.25">
      <c r="A1603" s="21"/>
      <c r="B1603" s="5"/>
      <c r="C1603" s="5"/>
    </row>
    <row r="1604" spans="1:3" x14ac:dyDescent="0.25">
      <c r="A1604" s="21"/>
      <c r="B1604" s="5"/>
      <c r="C1604" s="5"/>
    </row>
    <row r="1605" spans="1:3" x14ac:dyDescent="0.25">
      <c r="A1605" s="21"/>
      <c r="B1605" s="5"/>
      <c r="C1605" s="5"/>
    </row>
    <row r="1606" spans="1:3" x14ac:dyDescent="0.25">
      <c r="A1606" s="21"/>
      <c r="B1606" s="5"/>
      <c r="C1606" s="5"/>
    </row>
    <row r="1607" spans="1:3" x14ac:dyDescent="0.25">
      <c r="A1607" s="21"/>
      <c r="B1607" s="5"/>
      <c r="C1607" s="5"/>
    </row>
    <row r="1608" spans="1:3" x14ac:dyDescent="0.25">
      <c r="A1608" s="21"/>
      <c r="B1608" s="5"/>
      <c r="C1608" s="5"/>
    </row>
    <row r="1609" spans="1:3" x14ac:dyDescent="0.25">
      <c r="A1609" s="21"/>
      <c r="B1609" s="5"/>
      <c r="C1609" s="5"/>
    </row>
    <row r="1610" spans="1:3" x14ac:dyDescent="0.25">
      <c r="A1610" s="21"/>
      <c r="B1610" s="5"/>
      <c r="C1610" s="5"/>
    </row>
    <row r="1611" spans="1:3" x14ac:dyDescent="0.25">
      <c r="A1611" s="21"/>
      <c r="B1611" s="5"/>
      <c r="C1611" s="5"/>
    </row>
    <row r="1612" spans="1:3" x14ac:dyDescent="0.25">
      <c r="A1612" s="21"/>
      <c r="B1612" s="5"/>
      <c r="C1612" s="5"/>
    </row>
    <row r="1613" spans="1:3" x14ac:dyDescent="0.25">
      <c r="A1613" s="21"/>
      <c r="B1613" s="5"/>
      <c r="C1613" s="5"/>
    </row>
    <row r="1614" spans="1:3" x14ac:dyDescent="0.25">
      <c r="A1614" s="21"/>
      <c r="B1614" s="5"/>
      <c r="C1614" s="5"/>
    </row>
    <row r="1615" spans="1:3" x14ac:dyDescent="0.25">
      <c r="A1615" s="21"/>
      <c r="B1615" s="5"/>
      <c r="C1615" s="5"/>
    </row>
    <row r="1616" spans="1:3" x14ac:dyDescent="0.25">
      <c r="A1616" s="21"/>
      <c r="B1616" s="5"/>
      <c r="C1616" s="5"/>
    </row>
    <row r="1617" spans="1:3" x14ac:dyDescent="0.25">
      <c r="A1617" s="21"/>
      <c r="B1617" s="5"/>
      <c r="C1617" s="5"/>
    </row>
    <row r="1618" spans="1:3" x14ac:dyDescent="0.25">
      <c r="A1618" s="21"/>
      <c r="B1618" s="5"/>
      <c r="C1618" s="5"/>
    </row>
    <row r="1619" spans="1:3" x14ac:dyDescent="0.25">
      <c r="A1619" s="21"/>
      <c r="B1619" s="5"/>
      <c r="C1619" s="5"/>
    </row>
    <row r="1620" spans="1:3" x14ac:dyDescent="0.25">
      <c r="A1620" s="21"/>
      <c r="B1620" s="5"/>
      <c r="C1620" s="5"/>
    </row>
    <row r="1621" spans="1:3" x14ac:dyDescent="0.25">
      <c r="A1621" s="21"/>
      <c r="B1621" s="5"/>
      <c r="C1621" s="5"/>
    </row>
    <row r="1622" spans="1:3" x14ac:dyDescent="0.25">
      <c r="A1622" s="21"/>
      <c r="B1622" s="5"/>
      <c r="C1622" s="5"/>
    </row>
    <row r="1623" spans="1:3" x14ac:dyDescent="0.25">
      <c r="A1623" s="21"/>
      <c r="B1623" s="5"/>
      <c r="C1623" s="5"/>
    </row>
    <row r="1624" spans="1:3" x14ac:dyDescent="0.25">
      <c r="A1624" s="21"/>
      <c r="B1624" s="5"/>
      <c r="C1624" s="5"/>
    </row>
    <row r="1625" spans="1:3" x14ac:dyDescent="0.25">
      <c r="A1625" s="21"/>
      <c r="B1625" s="5"/>
      <c r="C1625" s="5"/>
    </row>
    <row r="1626" spans="1:3" x14ac:dyDescent="0.25">
      <c r="A1626" s="21"/>
      <c r="B1626" s="5"/>
      <c r="C1626" s="5"/>
    </row>
    <row r="1627" spans="1:3" x14ac:dyDescent="0.25">
      <c r="A1627" s="21"/>
      <c r="B1627" s="5"/>
      <c r="C1627" s="5"/>
    </row>
    <row r="1628" spans="1:3" x14ac:dyDescent="0.25">
      <c r="A1628" s="21"/>
      <c r="B1628" s="5"/>
      <c r="C1628" s="5"/>
    </row>
    <row r="1629" spans="1:3" x14ac:dyDescent="0.25">
      <c r="A1629" s="21"/>
      <c r="B1629" s="5"/>
      <c r="C1629" s="5"/>
    </row>
    <row r="1630" spans="1:3" x14ac:dyDescent="0.25">
      <c r="A1630" s="21"/>
      <c r="B1630" s="5"/>
      <c r="C1630" s="5"/>
    </row>
    <row r="1631" spans="1:3" x14ac:dyDescent="0.25">
      <c r="A1631" s="21"/>
      <c r="B1631" s="5"/>
      <c r="C1631" s="5"/>
    </row>
    <row r="1632" spans="1:3" x14ac:dyDescent="0.25">
      <c r="A1632" s="21"/>
      <c r="B1632" s="5"/>
      <c r="C1632" s="5"/>
    </row>
    <row r="1633" spans="1:3" x14ac:dyDescent="0.25">
      <c r="A1633" s="21"/>
      <c r="B1633" s="5"/>
      <c r="C1633" s="5"/>
    </row>
    <row r="1634" spans="1:3" x14ac:dyDescent="0.25">
      <c r="A1634" s="21"/>
      <c r="B1634" s="5"/>
      <c r="C1634" s="5"/>
    </row>
    <row r="1635" spans="1:3" x14ac:dyDescent="0.25">
      <c r="A1635" s="21"/>
      <c r="B1635" s="5"/>
      <c r="C1635" s="5"/>
    </row>
    <row r="1636" spans="1:3" x14ac:dyDescent="0.25">
      <c r="A1636" s="21"/>
      <c r="B1636" s="5"/>
      <c r="C1636" s="5"/>
    </row>
    <row r="1637" spans="1:3" x14ac:dyDescent="0.25">
      <c r="A1637" s="21"/>
      <c r="B1637" s="5"/>
      <c r="C1637" s="5"/>
    </row>
    <row r="1638" spans="1:3" x14ac:dyDescent="0.25">
      <c r="A1638" s="21"/>
      <c r="B1638" s="5"/>
      <c r="C1638" s="5"/>
    </row>
    <row r="1639" spans="1:3" x14ac:dyDescent="0.25">
      <c r="A1639" s="21"/>
      <c r="B1639" s="5"/>
      <c r="C1639" s="5"/>
    </row>
    <row r="1640" spans="1:3" x14ac:dyDescent="0.25">
      <c r="A1640" s="21"/>
      <c r="B1640" s="5"/>
      <c r="C1640" s="5"/>
    </row>
    <row r="1641" spans="1:3" x14ac:dyDescent="0.25">
      <c r="A1641" s="21"/>
      <c r="B1641" s="5"/>
      <c r="C1641" s="5"/>
    </row>
    <row r="1642" spans="1:3" x14ac:dyDescent="0.25">
      <c r="A1642" s="21"/>
      <c r="B1642" s="5"/>
      <c r="C1642" s="5"/>
    </row>
    <row r="1643" spans="1:3" x14ac:dyDescent="0.25">
      <c r="A1643" s="21"/>
      <c r="B1643" s="5"/>
      <c r="C1643" s="5"/>
    </row>
    <row r="1644" spans="1:3" x14ac:dyDescent="0.25">
      <c r="A1644" s="21"/>
      <c r="B1644" s="5"/>
      <c r="C1644" s="5"/>
    </row>
    <row r="1645" spans="1:3" x14ac:dyDescent="0.25">
      <c r="A1645" s="21"/>
      <c r="B1645" s="5"/>
      <c r="C1645" s="5"/>
    </row>
    <row r="1646" spans="1:3" x14ac:dyDescent="0.25">
      <c r="A1646" s="21"/>
      <c r="B1646" s="5"/>
      <c r="C1646" s="5"/>
    </row>
    <row r="1647" spans="1:3" x14ac:dyDescent="0.25">
      <c r="A1647" s="21"/>
      <c r="B1647" s="5"/>
      <c r="C1647" s="5"/>
    </row>
    <row r="1648" spans="1:3" x14ac:dyDescent="0.25">
      <c r="A1648" s="21"/>
      <c r="B1648" s="5"/>
      <c r="C1648" s="5"/>
    </row>
    <row r="1649" spans="1:3" x14ac:dyDescent="0.25">
      <c r="A1649" s="21"/>
      <c r="B1649" s="5"/>
      <c r="C1649" s="5"/>
    </row>
    <row r="1650" spans="1:3" x14ac:dyDescent="0.25">
      <c r="A1650" s="21"/>
      <c r="B1650" s="5"/>
      <c r="C1650" s="5"/>
    </row>
    <row r="1651" spans="1:3" x14ac:dyDescent="0.25">
      <c r="A1651" s="21"/>
      <c r="B1651" s="5"/>
      <c r="C1651" s="5"/>
    </row>
    <row r="1652" spans="1:3" x14ac:dyDescent="0.25">
      <c r="A1652" s="21"/>
      <c r="B1652" s="5"/>
      <c r="C1652" s="5"/>
    </row>
    <row r="1653" spans="1:3" x14ac:dyDescent="0.25">
      <c r="A1653" s="21"/>
      <c r="B1653" s="5"/>
      <c r="C1653" s="5"/>
    </row>
    <row r="1654" spans="1:3" x14ac:dyDescent="0.25">
      <c r="A1654" s="21"/>
      <c r="B1654" s="5"/>
      <c r="C1654" s="5"/>
    </row>
    <row r="1655" spans="1:3" x14ac:dyDescent="0.25">
      <c r="A1655" s="21"/>
      <c r="B1655" s="5"/>
      <c r="C1655" s="5"/>
    </row>
    <row r="1656" spans="1:3" x14ac:dyDescent="0.25">
      <c r="A1656" s="21"/>
      <c r="B1656" s="5"/>
      <c r="C1656" s="5"/>
    </row>
    <row r="1657" spans="1:3" x14ac:dyDescent="0.25">
      <c r="A1657" s="21"/>
      <c r="B1657" s="5"/>
      <c r="C1657" s="5"/>
    </row>
    <row r="1658" spans="1:3" x14ac:dyDescent="0.25">
      <c r="A1658" s="21"/>
      <c r="B1658" s="5"/>
      <c r="C1658" s="5"/>
    </row>
    <row r="1659" spans="1:3" x14ac:dyDescent="0.25">
      <c r="A1659" s="21"/>
      <c r="B1659" s="5"/>
      <c r="C1659" s="5"/>
    </row>
    <row r="1660" spans="1:3" x14ac:dyDescent="0.25">
      <c r="A1660" s="21"/>
      <c r="B1660" s="5"/>
      <c r="C1660" s="5"/>
    </row>
    <row r="1661" spans="1:3" x14ac:dyDescent="0.25">
      <c r="A1661" s="21"/>
      <c r="B1661" s="5"/>
      <c r="C1661" s="5"/>
    </row>
    <row r="1662" spans="1:3" x14ac:dyDescent="0.25">
      <c r="A1662" s="21"/>
      <c r="B1662" s="5"/>
      <c r="C1662" s="5"/>
    </row>
    <row r="1663" spans="1:3" x14ac:dyDescent="0.25">
      <c r="A1663" s="21"/>
      <c r="B1663" s="5"/>
      <c r="C1663" s="5"/>
    </row>
    <row r="1664" spans="1:3" x14ac:dyDescent="0.25">
      <c r="A1664" s="21"/>
      <c r="B1664" s="5"/>
      <c r="C1664" s="5"/>
    </row>
    <row r="1665" spans="1:3" x14ac:dyDescent="0.25">
      <c r="A1665" s="21"/>
      <c r="B1665" s="5"/>
      <c r="C1665" s="5"/>
    </row>
    <row r="1666" spans="1:3" x14ac:dyDescent="0.25">
      <c r="A1666" s="21"/>
      <c r="B1666" s="5"/>
      <c r="C1666" s="5"/>
    </row>
    <row r="1667" spans="1:3" x14ac:dyDescent="0.25">
      <c r="A1667" s="21"/>
      <c r="B1667" s="5"/>
      <c r="C1667" s="5"/>
    </row>
    <row r="1668" spans="1:3" x14ac:dyDescent="0.25">
      <c r="A1668" s="21"/>
      <c r="B1668" s="5"/>
      <c r="C1668" s="5"/>
    </row>
    <row r="1669" spans="1:3" x14ac:dyDescent="0.25">
      <c r="A1669" s="21"/>
      <c r="B1669" s="5"/>
      <c r="C1669" s="5"/>
    </row>
    <row r="1670" spans="1:3" x14ac:dyDescent="0.25">
      <c r="A1670" s="21"/>
      <c r="B1670" s="5"/>
      <c r="C1670" s="5"/>
    </row>
    <row r="1671" spans="1:3" x14ac:dyDescent="0.25">
      <c r="A1671" s="21"/>
      <c r="B1671" s="5"/>
      <c r="C1671" s="5"/>
    </row>
    <row r="1672" spans="1:3" x14ac:dyDescent="0.25">
      <c r="A1672" s="21"/>
      <c r="B1672" s="5"/>
      <c r="C1672" s="5"/>
    </row>
    <row r="1673" spans="1:3" x14ac:dyDescent="0.25">
      <c r="A1673" s="21"/>
      <c r="B1673" s="5"/>
      <c r="C1673" s="5"/>
    </row>
    <row r="1674" spans="1:3" x14ac:dyDescent="0.25">
      <c r="A1674" s="21"/>
      <c r="B1674" s="5"/>
      <c r="C1674" s="5"/>
    </row>
    <row r="1675" spans="1:3" x14ac:dyDescent="0.25">
      <c r="A1675" s="21"/>
      <c r="B1675" s="5"/>
      <c r="C1675" s="5"/>
    </row>
    <row r="1676" spans="1:3" x14ac:dyDescent="0.25">
      <c r="A1676" s="21"/>
      <c r="B1676" s="5"/>
      <c r="C1676" s="5"/>
    </row>
    <row r="1677" spans="1:3" x14ac:dyDescent="0.25">
      <c r="A1677" s="21"/>
      <c r="B1677" s="5"/>
      <c r="C1677" s="5"/>
    </row>
    <row r="1678" spans="1:3" x14ac:dyDescent="0.25">
      <c r="A1678" s="21"/>
      <c r="B1678" s="5"/>
      <c r="C1678" s="5"/>
    </row>
    <row r="1679" spans="1:3" x14ac:dyDescent="0.25">
      <c r="A1679" s="21"/>
      <c r="B1679" s="5"/>
      <c r="C1679" s="5"/>
    </row>
    <row r="1680" spans="1:3" x14ac:dyDescent="0.25">
      <c r="A1680" s="21"/>
      <c r="B1680" s="5"/>
      <c r="C1680" s="5"/>
    </row>
    <row r="1681" spans="1:3" x14ac:dyDescent="0.25">
      <c r="A1681" s="21"/>
      <c r="B1681" s="5"/>
      <c r="C1681" s="5"/>
    </row>
    <row r="1682" spans="1:3" x14ac:dyDescent="0.25">
      <c r="A1682" s="21"/>
      <c r="B1682" s="5"/>
      <c r="C1682" s="5"/>
    </row>
    <row r="1683" spans="1:3" x14ac:dyDescent="0.25">
      <c r="A1683" s="21"/>
      <c r="B1683" s="5"/>
      <c r="C1683" s="5"/>
    </row>
    <row r="1684" spans="1:3" x14ac:dyDescent="0.25">
      <c r="A1684" s="21"/>
      <c r="B1684" s="5"/>
      <c r="C1684" s="5"/>
    </row>
    <row r="1685" spans="1:3" x14ac:dyDescent="0.25">
      <c r="A1685" s="21"/>
      <c r="B1685" s="5"/>
      <c r="C1685" s="5"/>
    </row>
    <row r="1686" spans="1:3" x14ac:dyDescent="0.25">
      <c r="A1686" s="21"/>
      <c r="B1686" s="5"/>
      <c r="C1686" s="5"/>
    </row>
    <row r="1687" spans="1:3" x14ac:dyDescent="0.25">
      <c r="A1687" s="21"/>
      <c r="B1687" s="5"/>
      <c r="C1687" s="5"/>
    </row>
    <row r="1688" spans="1:3" x14ac:dyDescent="0.25">
      <c r="A1688" s="21"/>
      <c r="B1688" s="5"/>
      <c r="C1688" s="5"/>
    </row>
    <row r="1689" spans="1:3" x14ac:dyDescent="0.25">
      <c r="A1689" s="21"/>
      <c r="B1689" s="5"/>
      <c r="C1689" s="5"/>
    </row>
    <row r="1690" spans="1:3" x14ac:dyDescent="0.25">
      <c r="A1690" s="21"/>
      <c r="B1690" s="5"/>
      <c r="C1690" s="5"/>
    </row>
    <row r="1691" spans="1:3" x14ac:dyDescent="0.25">
      <c r="A1691" s="21"/>
      <c r="B1691" s="5"/>
      <c r="C1691" s="5"/>
    </row>
    <row r="1692" spans="1:3" x14ac:dyDescent="0.25">
      <c r="A1692" s="21"/>
      <c r="B1692" s="5"/>
      <c r="C1692" s="5"/>
    </row>
    <row r="1693" spans="1:3" x14ac:dyDescent="0.25">
      <c r="A1693" s="21"/>
      <c r="B1693" s="5"/>
      <c r="C1693" s="5"/>
    </row>
    <row r="1694" spans="1:3" x14ac:dyDescent="0.25">
      <c r="A1694" s="21"/>
      <c r="B1694" s="5"/>
      <c r="C1694" s="5"/>
    </row>
    <row r="1695" spans="1:3" x14ac:dyDescent="0.25">
      <c r="A1695" s="21"/>
      <c r="B1695" s="5"/>
      <c r="C1695" s="5"/>
    </row>
    <row r="1696" spans="1:3" x14ac:dyDescent="0.25">
      <c r="A1696" s="21"/>
      <c r="B1696" s="5"/>
      <c r="C1696" s="5"/>
    </row>
    <row r="1697" spans="1:3" x14ac:dyDescent="0.25">
      <c r="A1697" s="21"/>
      <c r="B1697" s="5"/>
      <c r="C1697" s="5"/>
    </row>
    <row r="1698" spans="1:3" x14ac:dyDescent="0.25">
      <c r="A1698" s="21"/>
      <c r="B1698" s="5"/>
      <c r="C1698" s="5"/>
    </row>
    <row r="1699" spans="1:3" x14ac:dyDescent="0.25">
      <c r="A1699" s="21"/>
      <c r="B1699" s="5"/>
      <c r="C1699" s="5"/>
    </row>
    <row r="1700" spans="1:3" x14ac:dyDescent="0.25">
      <c r="A1700" s="21"/>
      <c r="B1700" s="5"/>
      <c r="C1700" s="5"/>
    </row>
    <row r="1701" spans="1:3" x14ac:dyDescent="0.25">
      <c r="A1701" s="21"/>
      <c r="B1701" s="5"/>
      <c r="C1701" s="5"/>
    </row>
    <row r="1702" spans="1:3" x14ac:dyDescent="0.25">
      <c r="A1702" s="21"/>
      <c r="B1702" s="5"/>
      <c r="C1702" s="5"/>
    </row>
    <row r="1703" spans="1:3" x14ac:dyDescent="0.25">
      <c r="A1703" s="21"/>
      <c r="B1703" s="5"/>
      <c r="C1703" s="5"/>
    </row>
    <row r="1704" spans="1:3" x14ac:dyDescent="0.25">
      <c r="A1704" s="21"/>
      <c r="B1704" s="5"/>
      <c r="C1704" s="5"/>
    </row>
    <row r="1705" spans="1:3" x14ac:dyDescent="0.25">
      <c r="A1705" s="21"/>
      <c r="B1705" s="5"/>
      <c r="C1705" s="5"/>
    </row>
    <row r="1706" spans="1:3" x14ac:dyDescent="0.25">
      <c r="A1706" s="21"/>
      <c r="B1706" s="5"/>
      <c r="C1706" s="5"/>
    </row>
    <row r="1707" spans="1:3" x14ac:dyDescent="0.25">
      <c r="A1707" s="21"/>
      <c r="B1707" s="5"/>
      <c r="C1707" s="5"/>
    </row>
    <row r="1708" spans="1:3" x14ac:dyDescent="0.25">
      <c r="A1708" s="21"/>
      <c r="B1708" s="5"/>
      <c r="C1708" s="5"/>
    </row>
    <row r="1709" spans="1:3" x14ac:dyDescent="0.25">
      <c r="A1709" s="21"/>
      <c r="B1709" s="5"/>
      <c r="C1709" s="5"/>
    </row>
    <row r="1710" spans="1:3" x14ac:dyDescent="0.25">
      <c r="A1710" s="21"/>
      <c r="B1710" s="5"/>
      <c r="C1710" s="5"/>
    </row>
    <row r="1711" spans="1:3" x14ac:dyDescent="0.25">
      <c r="A1711" s="21"/>
      <c r="B1711" s="5"/>
      <c r="C1711" s="5"/>
    </row>
    <row r="1712" spans="1:3" x14ac:dyDescent="0.25">
      <c r="A1712" s="21"/>
      <c r="B1712" s="5"/>
      <c r="C1712" s="5"/>
    </row>
    <row r="1713" spans="1:3" x14ac:dyDescent="0.25">
      <c r="A1713" s="21"/>
      <c r="B1713" s="5"/>
      <c r="C1713" s="5"/>
    </row>
    <row r="1714" spans="1:3" x14ac:dyDescent="0.25">
      <c r="A1714" s="21"/>
      <c r="B1714" s="5"/>
      <c r="C1714" s="5"/>
    </row>
    <row r="1715" spans="1:3" x14ac:dyDescent="0.25">
      <c r="A1715" s="21"/>
      <c r="B1715" s="5"/>
      <c r="C1715" s="5"/>
    </row>
    <row r="1716" spans="1:3" x14ac:dyDescent="0.25">
      <c r="A1716" s="21"/>
      <c r="B1716" s="5"/>
      <c r="C1716" s="5"/>
    </row>
    <row r="1717" spans="1:3" x14ac:dyDescent="0.25">
      <c r="A1717" s="21"/>
      <c r="B1717" s="5"/>
      <c r="C1717" s="5"/>
    </row>
    <row r="1718" spans="1:3" x14ac:dyDescent="0.25">
      <c r="A1718" s="21"/>
      <c r="B1718" s="5"/>
      <c r="C1718" s="5"/>
    </row>
    <row r="1719" spans="1:3" x14ac:dyDescent="0.25">
      <c r="A1719" s="21"/>
      <c r="B1719" s="5"/>
      <c r="C1719" s="5"/>
    </row>
    <row r="1720" spans="1:3" x14ac:dyDescent="0.25">
      <c r="A1720" s="21"/>
      <c r="B1720" s="5"/>
      <c r="C1720" s="5"/>
    </row>
    <row r="1721" spans="1:3" x14ac:dyDescent="0.25">
      <c r="A1721" s="21"/>
      <c r="B1721" s="5"/>
      <c r="C1721" s="5"/>
    </row>
    <row r="1722" spans="1:3" x14ac:dyDescent="0.25">
      <c r="A1722" s="21"/>
      <c r="B1722" s="5"/>
      <c r="C1722" s="5"/>
    </row>
    <row r="1723" spans="1:3" x14ac:dyDescent="0.25">
      <c r="A1723" s="21"/>
      <c r="B1723" s="5"/>
      <c r="C1723" s="5"/>
    </row>
    <row r="1724" spans="1:3" x14ac:dyDescent="0.25">
      <c r="A1724" s="21"/>
      <c r="B1724" s="5"/>
      <c r="C1724" s="5"/>
    </row>
    <row r="1725" spans="1:3" x14ac:dyDescent="0.25">
      <c r="A1725" s="21"/>
      <c r="B1725" s="5"/>
      <c r="C1725" s="5"/>
    </row>
    <row r="1726" spans="1:3" x14ac:dyDescent="0.25">
      <c r="A1726" s="21"/>
      <c r="B1726" s="5"/>
      <c r="C1726" s="5"/>
    </row>
    <row r="1727" spans="1:3" x14ac:dyDescent="0.25">
      <c r="A1727" s="21"/>
      <c r="B1727" s="5"/>
      <c r="C1727" s="5"/>
    </row>
    <row r="1728" spans="1:3" x14ac:dyDescent="0.25">
      <c r="A1728" s="21"/>
      <c r="B1728" s="5"/>
      <c r="C1728" s="5"/>
    </row>
    <row r="1729" spans="1:3" x14ac:dyDescent="0.25">
      <c r="A1729" s="21"/>
      <c r="B1729" s="5"/>
      <c r="C1729" s="5"/>
    </row>
    <row r="1730" spans="1:3" x14ac:dyDescent="0.25">
      <c r="A1730" s="21"/>
      <c r="B1730" s="5"/>
      <c r="C1730" s="5"/>
    </row>
    <row r="1731" spans="1:3" x14ac:dyDescent="0.25">
      <c r="A1731" s="21"/>
      <c r="B1731" s="5"/>
      <c r="C1731" s="5"/>
    </row>
    <row r="1732" spans="1:3" x14ac:dyDescent="0.25">
      <c r="A1732" s="21"/>
      <c r="B1732" s="5"/>
      <c r="C1732" s="5"/>
    </row>
    <row r="1733" spans="1:3" x14ac:dyDescent="0.25">
      <c r="A1733" s="21"/>
      <c r="B1733" s="5"/>
      <c r="C1733" s="5"/>
    </row>
    <row r="1734" spans="1:3" x14ac:dyDescent="0.25">
      <c r="A1734" s="21"/>
      <c r="B1734" s="5"/>
      <c r="C1734" s="5"/>
    </row>
    <row r="1735" spans="1:3" x14ac:dyDescent="0.25">
      <c r="A1735" s="21"/>
      <c r="B1735" s="5"/>
      <c r="C1735" s="5"/>
    </row>
    <row r="1736" spans="1:3" x14ac:dyDescent="0.25">
      <c r="A1736" s="21"/>
      <c r="B1736" s="5"/>
      <c r="C1736" s="5"/>
    </row>
    <row r="1737" spans="1:3" x14ac:dyDescent="0.25">
      <c r="A1737" s="21"/>
      <c r="B1737" s="5"/>
      <c r="C1737" s="5"/>
    </row>
    <row r="1738" spans="1:3" x14ac:dyDescent="0.25">
      <c r="A1738" s="21"/>
      <c r="B1738" s="5"/>
      <c r="C1738" s="5"/>
    </row>
    <row r="1739" spans="1:3" x14ac:dyDescent="0.25">
      <c r="A1739" s="21"/>
      <c r="B1739" s="5"/>
      <c r="C1739" s="5"/>
    </row>
    <row r="1740" spans="1:3" x14ac:dyDescent="0.25">
      <c r="A1740" s="21"/>
      <c r="B1740" s="5"/>
      <c r="C1740" s="5"/>
    </row>
    <row r="1741" spans="1:3" x14ac:dyDescent="0.25">
      <c r="A1741" s="21"/>
      <c r="B1741" s="5"/>
      <c r="C1741" s="5"/>
    </row>
    <row r="1742" spans="1:3" x14ac:dyDescent="0.25">
      <c r="A1742" s="21"/>
      <c r="B1742" s="5"/>
      <c r="C1742" s="5"/>
    </row>
    <row r="1743" spans="1:3" x14ac:dyDescent="0.25">
      <c r="A1743" s="21"/>
      <c r="B1743" s="5"/>
      <c r="C1743" s="5"/>
    </row>
    <row r="1744" spans="1:3" x14ac:dyDescent="0.25">
      <c r="A1744" s="21"/>
      <c r="B1744" s="5"/>
      <c r="C1744" s="5"/>
    </row>
    <row r="1745" spans="1:3" x14ac:dyDescent="0.25">
      <c r="A1745" s="21"/>
      <c r="B1745" s="5"/>
      <c r="C1745" s="5"/>
    </row>
    <row r="1746" spans="1:3" x14ac:dyDescent="0.25">
      <c r="A1746" s="21"/>
      <c r="B1746" s="5"/>
      <c r="C1746" s="5"/>
    </row>
    <row r="1747" spans="1:3" x14ac:dyDescent="0.25">
      <c r="A1747" s="21"/>
      <c r="B1747" s="5"/>
      <c r="C1747" s="5"/>
    </row>
    <row r="1748" spans="1:3" x14ac:dyDescent="0.25">
      <c r="A1748" s="21"/>
      <c r="B1748" s="5"/>
      <c r="C1748" s="5"/>
    </row>
    <row r="1749" spans="1:3" x14ac:dyDescent="0.25">
      <c r="A1749" s="21"/>
      <c r="B1749" s="5"/>
      <c r="C1749" s="5"/>
    </row>
    <row r="1750" spans="1:3" x14ac:dyDescent="0.25">
      <c r="A1750" s="21"/>
      <c r="B1750" s="5"/>
      <c r="C1750" s="5"/>
    </row>
    <row r="1751" spans="1:3" x14ac:dyDescent="0.25">
      <c r="A1751" s="21"/>
      <c r="B1751" s="5"/>
      <c r="C1751" s="5"/>
    </row>
    <row r="1752" spans="1:3" x14ac:dyDescent="0.25">
      <c r="A1752" s="21"/>
      <c r="B1752" s="5"/>
      <c r="C1752" s="5"/>
    </row>
    <row r="1753" spans="1:3" x14ac:dyDescent="0.25">
      <c r="A1753" s="21"/>
      <c r="B1753" s="5"/>
      <c r="C1753" s="5"/>
    </row>
    <row r="1754" spans="1:3" x14ac:dyDescent="0.25">
      <c r="A1754" s="21"/>
      <c r="B1754" s="5"/>
      <c r="C1754" s="5"/>
    </row>
    <row r="1755" spans="1:3" x14ac:dyDescent="0.25">
      <c r="A1755" s="21"/>
      <c r="B1755" s="5"/>
      <c r="C1755" s="5"/>
    </row>
    <row r="1756" spans="1:3" x14ac:dyDescent="0.25">
      <c r="A1756" s="21"/>
      <c r="B1756" s="5"/>
      <c r="C1756" s="5"/>
    </row>
    <row r="1757" spans="1:3" x14ac:dyDescent="0.25">
      <c r="A1757" s="21"/>
      <c r="B1757" s="5"/>
      <c r="C1757" s="5"/>
    </row>
    <row r="1758" spans="1:3" x14ac:dyDescent="0.25">
      <c r="A1758" s="21"/>
      <c r="B1758" s="5"/>
      <c r="C1758" s="5"/>
    </row>
    <row r="1759" spans="1:3" x14ac:dyDescent="0.25">
      <c r="A1759" s="21"/>
      <c r="B1759" s="5"/>
      <c r="C1759" s="5"/>
    </row>
    <row r="1760" spans="1:3" x14ac:dyDescent="0.25">
      <c r="A1760" s="21"/>
      <c r="B1760" s="5"/>
      <c r="C1760" s="5"/>
    </row>
    <row r="1761" spans="1:3" x14ac:dyDescent="0.25">
      <c r="A1761" s="21"/>
      <c r="B1761" s="5"/>
      <c r="C1761" s="5"/>
    </row>
    <row r="1762" spans="1:3" x14ac:dyDescent="0.25">
      <c r="A1762" s="21"/>
      <c r="B1762" s="5"/>
      <c r="C1762" s="5"/>
    </row>
    <row r="1763" spans="1:3" x14ac:dyDescent="0.25">
      <c r="A1763" s="21"/>
      <c r="B1763" s="5"/>
      <c r="C1763" s="5"/>
    </row>
    <row r="1764" spans="1:3" x14ac:dyDescent="0.25">
      <c r="A1764" s="21"/>
      <c r="B1764" s="5"/>
      <c r="C1764" s="5"/>
    </row>
    <row r="1765" spans="1:3" x14ac:dyDescent="0.25">
      <c r="A1765" s="21"/>
      <c r="B1765" s="5"/>
      <c r="C1765" s="5"/>
    </row>
    <row r="1766" spans="1:3" x14ac:dyDescent="0.25">
      <c r="A1766" s="21"/>
      <c r="B1766" s="5"/>
      <c r="C1766" s="5"/>
    </row>
    <row r="1767" spans="1:3" x14ac:dyDescent="0.25">
      <c r="A1767" s="21"/>
      <c r="B1767" s="5"/>
      <c r="C1767" s="5"/>
    </row>
    <row r="1768" spans="1:3" x14ac:dyDescent="0.25">
      <c r="A1768" s="21"/>
      <c r="B1768" s="5"/>
      <c r="C1768" s="5"/>
    </row>
    <row r="1769" spans="1:3" x14ac:dyDescent="0.25">
      <c r="A1769" s="21"/>
      <c r="B1769" s="5"/>
      <c r="C1769" s="5"/>
    </row>
    <row r="1770" spans="1:3" x14ac:dyDescent="0.25">
      <c r="A1770" s="21"/>
      <c r="B1770" s="5"/>
      <c r="C1770" s="5"/>
    </row>
    <row r="1771" spans="1:3" x14ac:dyDescent="0.25">
      <c r="A1771" s="21"/>
      <c r="B1771" s="5"/>
      <c r="C1771" s="5"/>
    </row>
    <row r="1772" spans="1:3" x14ac:dyDescent="0.25">
      <c r="A1772" s="21"/>
      <c r="B1772" s="5"/>
      <c r="C1772" s="5"/>
    </row>
    <row r="1773" spans="1:3" x14ac:dyDescent="0.25">
      <c r="A1773" s="21"/>
      <c r="B1773" s="5"/>
      <c r="C1773" s="5"/>
    </row>
    <row r="1774" spans="1:3" x14ac:dyDescent="0.25">
      <c r="A1774" s="21"/>
      <c r="B1774" s="5"/>
      <c r="C1774" s="5"/>
    </row>
    <row r="1775" spans="1:3" x14ac:dyDescent="0.25">
      <c r="A1775" s="21"/>
      <c r="B1775" s="5"/>
      <c r="C1775" s="5"/>
    </row>
    <row r="1776" spans="1:3" x14ac:dyDescent="0.25">
      <c r="A1776" s="21"/>
      <c r="B1776" s="5"/>
      <c r="C1776" s="5"/>
    </row>
    <row r="1777" spans="1:3" x14ac:dyDescent="0.25">
      <c r="A1777" s="21"/>
      <c r="B1777" s="5"/>
      <c r="C1777" s="5"/>
    </row>
    <row r="1778" spans="1:3" x14ac:dyDescent="0.25">
      <c r="A1778" s="21"/>
      <c r="B1778" s="5"/>
      <c r="C1778" s="5"/>
    </row>
    <row r="1779" spans="1:3" x14ac:dyDescent="0.25">
      <c r="A1779" s="21"/>
      <c r="B1779" s="5"/>
      <c r="C1779" s="5"/>
    </row>
    <row r="1780" spans="1:3" x14ac:dyDescent="0.25">
      <c r="A1780" s="21"/>
      <c r="B1780" s="5"/>
      <c r="C1780" s="5"/>
    </row>
    <row r="1781" spans="1:3" x14ac:dyDescent="0.25">
      <c r="A1781" s="21"/>
      <c r="B1781" s="5"/>
      <c r="C1781" s="5"/>
    </row>
    <row r="1782" spans="1:3" x14ac:dyDescent="0.25">
      <c r="A1782" s="21"/>
      <c r="B1782" s="5"/>
      <c r="C1782" s="5"/>
    </row>
    <row r="1783" spans="1:3" x14ac:dyDescent="0.25">
      <c r="A1783" s="21"/>
      <c r="B1783" s="5"/>
      <c r="C1783" s="5"/>
    </row>
    <row r="1784" spans="1:3" x14ac:dyDescent="0.25">
      <c r="A1784" s="21"/>
      <c r="B1784" s="5"/>
      <c r="C1784" s="5"/>
    </row>
    <row r="1785" spans="1:3" x14ac:dyDescent="0.25">
      <c r="A1785" s="21"/>
      <c r="B1785" s="5"/>
      <c r="C1785" s="5"/>
    </row>
    <row r="1786" spans="1:3" x14ac:dyDescent="0.25">
      <c r="A1786" s="21"/>
      <c r="B1786" s="5"/>
      <c r="C1786" s="5"/>
    </row>
    <row r="1787" spans="1:3" x14ac:dyDescent="0.25">
      <c r="A1787" s="21"/>
      <c r="B1787" s="5"/>
      <c r="C1787" s="5"/>
    </row>
    <row r="1788" spans="1:3" x14ac:dyDescent="0.25">
      <c r="A1788" s="21"/>
      <c r="B1788" s="5"/>
      <c r="C1788" s="5"/>
    </row>
    <row r="1789" spans="1:3" x14ac:dyDescent="0.25">
      <c r="A1789" s="21"/>
      <c r="B1789" s="5"/>
      <c r="C1789" s="5"/>
    </row>
    <row r="1790" spans="1:3" x14ac:dyDescent="0.25">
      <c r="A1790" s="21"/>
      <c r="B1790" s="5"/>
      <c r="C1790" s="5"/>
    </row>
    <row r="1791" spans="1:3" x14ac:dyDescent="0.25">
      <c r="A1791" s="21"/>
      <c r="B1791" s="5"/>
      <c r="C1791" s="5"/>
    </row>
    <row r="1792" spans="1:3" x14ac:dyDescent="0.25">
      <c r="A1792" s="21"/>
      <c r="B1792" s="5"/>
      <c r="C1792" s="5"/>
    </row>
    <row r="1793" spans="1:3" x14ac:dyDescent="0.25">
      <c r="A1793" s="21"/>
      <c r="B1793" s="5"/>
      <c r="C1793" s="5"/>
    </row>
    <row r="1794" spans="1:3" x14ac:dyDescent="0.25">
      <c r="A1794" s="21"/>
      <c r="B1794" s="5"/>
      <c r="C1794" s="5"/>
    </row>
    <row r="1795" spans="1:3" x14ac:dyDescent="0.25">
      <c r="A1795" s="21"/>
      <c r="B1795" s="5"/>
      <c r="C1795" s="5"/>
    </row>
    <row r="1796" spans="1:3" x14ac:dyDescent="0.25">
      <c r="A1796" s="21"/>
      <c r="B1796" s="5"/>
      <c r="C1796" s="5"/>
    </row>
    <row r="1797" spans="1:3" x14ac:dyDescent="0.25">
      <c r="A1797" s="21"/>
      <c r="B1797" s="5"/>
      <c r="C1797" s="5"/>
    </row>
    <row r="1798" spans="1:3" x14ac:dyDescent="0.25">
      <c r="A1798" s="21"/>
      <c r="B1798" s="5"/>
      <c r="C1798" s="5"/>
    </row>
    <row r="1799" spans="1:3" x14ac:dyDescent="0.25">
      <c r="A1799" s="21"/>
      <c r="B1799" s="5"/>
      <c r="C1799" s="5"/>
    </row>
    <row r="1800" spans="1:3" x14ac:dyDescent="0.25">
      <c r="A1800" s="21"/>
      <c r="B1800" s="5"/>
      <c r="C1800" s="5"/>
    </row>
    <row r="1801" spans="1:3" x14ac:dyDescent="0.25">
      <c r="A1801" s="21"/>
      <c r="B1801" s="5"/>
      <c r="C1801" s="5"/>
    </row>
    <row r="1802" spans="1:3" x14ac:dyDescent="0.25">
      <c r="A1802" s="21"/>
      <c r="B1802" s="5"/>
      <c r="C1802" s="5"/>
    </row>
    <row r="1803" spans="1:3" x14ac:dyDescent="0.25">
      <c r="A1803" s="21"/>
      <c r="B1803" s="5"/>
      <c r="C1803" s="5"/>
    </row>
    <row r="1804" spans="1:3" x14ac:dyDescent="0.25">
      <c r="A1804" s="21"/>
      <c r="B1804" s="5"/>
      <c r="C1804" s="5"/>
    </row>
    <row r="1805" spans="1:3" x14ac:dyDescent="0.25">
      <c r="A1805" s="21"/>
      <c r="B1805" s="5"/>
      <c r="C1805" s="5"/>
    </row>
    <row r="1806" spans="1:3" x14ac:dyDescent="0.25">
      <c r="A1806" s="21"/>
      <c r="B1806" s="5"/>
      <c r="C1806" s="5"/>
    </row>
    <row r="1807" spans="1:3" x14ac:dyDescent="0.25">
      <c r="A1807" s="21"/>
      <c r="B1807" s="5"/>
      <c r="C1807" s="5"/>
    </row>
    <row r="1808" spans="1:3" x14ac:dyDescent="0.25">
      <c r="A1808" s="21"/>
      <c r="B1808" s="5"/>
      <c r="C1808" s="5"/>
    </row>
    <row r="1809" spans="1:3" x14ac:dyDescent="0.25">
      <c r="A1809" s="21"/>
      <c r="B1809" s="5"/>
      <c r="C1809" s="5"/>
    </row>
    <row r="1810" spans="1:3" x14ac:dyDescent="0.25">
      <c r="A1810" s="21"/>
      <c r="B1810" s="5"/>
      <c r="C1810" s="5"/>
    </row>
    <row r="1811" spans="1:3" x14ac:dyDescent="0.25">
      <c r="A1811" s="21"/>
      <c r="B1811" s="5"/>
      <c r="C1811" s="5"/>
    </row>
    <row r="1812" spans="1:3" x14ac:dyDescent="0.25">
      <c r="A1812" s="21"/>
      <c r="B1812" s="5"/>
      <c r="C1812" s="5"/>
    </row>
    <row r="1813" spans="1:3" x14ac:dyDescent="0.25">
      <c r="A1813" s="21"/>
      <c r="B1813" s="5"/>
      <c r="C1813" s="5"/>
    </row>
    <row r="1814" spans="1:3" x14ac:dyDescent="0.25">
      <c r="A1814" s="21"/>
      <c r="B1814" s="5"/>
      <c r="C1814" s="5"/>
    </row>
    <row r="1815" spans="1:3" x14ac:dyDescent="0.25">
      <c r="A1815" s="21"/>
      <c r="B1815" s="5"/>
      <c r="C1815" s="5"/>
    </row>
    <row r="1816" spans="1:3" x14ac:dyDescent="0.25">
      <c r="A1816" s="21"/>
      <c r="B1816" s="5"/>
      <c r="C1816" s="5"/>
    </row>
    <row r="1817" spans="1:3" x14ac:dyDescent="0.25">
      <c r="A1817" s="21"/>
      <c r="B1817" s="5"/>
      <c r="C1817" s="5"/>
    </row>
    <row r="1818" spans="1:3" x14ac:dyDescent="0.25">
      <c r="A1818" s="21"/>
      <c r="B1818" s="5"/>
      <c r="C1818" s="5"/>
    </row>
    <row r="1819" spans="1:3" x14ac:dyDescent="0.25">
      <c r="A1819" s="21"/>
      <c r="B1819" s="5"/>
      <c r="C1819" s="5"/>
    </row>
    <row r="1820" spans="1:3" x14ac:dyDescent="0.25">
      <c r="A1820" s="21"/>
      <c r="B1820" s="5"/>
      <c r="C1820" s="5"/>
    </row>
    <row r="1821" spans="1:3" x14ac:dyDescent="0.25">
      <c r="A1821" s="21"/>
      <c r="B1821" s="5"/>
      <c r="C1821" s="5"/>
    </row>
    <row r="1822" spans="1:3" x14ac:dyDescent="0.25">
      <c r="A1822" s="21"/>
      <c r="B1822" s="5"/>
      <c r="C1822" s="5"/>
    </row>
    <row r="1823" spans="1:3" x14ac:dyDescent="0.25">
      <c r="A1823" s="21"/>
      <c r="B1823" s="5"/>
      <c r="C1823" s="5"/>
    </row>
    <row r="1824" spans="1:3" x14ac:dyDescent="0.25">
      <c r="A1824" s="21"/>
      <c r="B1824" s="5"/>
      <c r="C1824" s="5"/>
    </row>
    <row r="1825" spans="1:3" x14ac:dyDescent="0.25">
      <c r="A1825" s="21"/>
      <c r="B1825" s="5"/>
      <c r="C1825" s="5"/>
    </row>
    <row r="1826" spans="1:3" x14ac:dyDescent="0.25">
      <c r="A1826" s="21"/>
      <c r="B1826" s="5"/>
      <c r="C1826" s="5"/>
    </row>
    <row r="1827" spans="1:3" x14ac:dyDescent="0.25">
      <c r="A1827" s="21"/>
      <c r="B1827" s="5"/>
      <c r="C1827" s="5"/>
    </row>
    <row r="1828" spans="1:3" x14ac:dyDescent="0.25">
      <c r="A1828" s="21"/>
      <c r="B1828" s="5"/>
      <c r="C1828" s="5"/>
    </row>
    <row r="1829" spans="1:3" x14ac:dyDescent="0.25">
      <c r="A1829" s="21"/>
      <c r="B1829" s="5"/>
      <c r="C1829" s="5"/>
    </row>
    <row r="1830" spans="1:3" x14ac:dyDescent="0.25">
      <c r="A1830" s="21"/>
      <c r="B1830" s="5"/>
      <c r="C1830" s="5"/>
    </row>
    <row r="1831" spans="1:3" x14ac:dyDescent="0.25">
      <c r="A1831" s="21"/>
      <c r="B1831" s="5"/>
      <c r="C1831" s="5"/>
    </row>
    <row r="1832" spans="1:3" x14ac:dyDescent="0.25">
      <c r="A1832" s="21"/>
      <c r="B1832" s="5"/>
      <c r="C1832" s="5"/>
    </row>
    <row r="1833" spans="1:3" x14ac:dyDescent="0.25">
      <c r="A1833" s="21"/>
      <c r="B1833" s="5"/>
      <c r="C1833" s="5"/>
    </row>
    <row r="1834" spans="1:3" x14ac:dyDescent="0.25">
      <c r="A1834" s="21"/>
      <c r="B1834" s="5"/>
      <c r="C1834" s="5"/>
    </row>
    <row r="1835" spans="1:3" x14ac:dyDescent="0.25">
      <c r="A1835" s="21"/>
      <c r="B1835" s="5"/>
      <c r="C1835" s="5"/>
    </row>
    <row r="1836" spans="1:3" x14ac:dyDescent="0.25">
      <c r="A1836" s="21"/>
      <c r="B1836" s="5"/>
      <c r="C1836" s="5"/>
    </row>
    <row r="1837" spans="1:3" x14ac:dyDescent="0.25">
      <c r="A1837" s="21"/>
      <c r="B1837" s="5"/>
      <c r="C1837" s="5"/>
    </row>
    <row r="1838" spans="1:3" x14ac:dyDescent="0.25">
      <c r="A1838" s="21"/>
      <c r="B1838" s="5"/>
      <c r="C1838" s="5"/>
    </row>
    <row r="1839" spans="1:3" x14ac:dyDescent="0.25">
      <c r="A1839" s="21"/>
      <c r="B1839" s="5"/>
      <c r="C1839" s="5"/>
    </row>
    <row r="1840" spans="1:3" x14ac:dyDescent="0.25">
      <c r="A1840" s="21"/>
      <c r="B1840" s="5"/>
      <c r="C1840" s="5"/>
    </row>
    <row r="1841" spans="1:3" x14ac:dyDescent="0.25">
      <c r="A1841" s="21"/>
      <c r="B1841" s="5"/>
      <c r="C1841" s="5"/>
    </row>
    <row r="1842" spans="1:3" x14ac:dyDescent="0.25">
      <c r="A1842" s="21"/>
      <c r="B1842" s="5"/>
      <c r="C1842" s="5"/>
    </row>
    <row r="1843" spans="1:3" x14ac:dyDescent="0.25">
      <c r="A1843" s="21"/>
      <c r="B1843" s="5"/>
      <c r="C1843" s="5"/>
    </row>
    <row r="1844" spans="1:3" x14ac:dyDescent="0.25">
      <c r="A1844" s="21"/>
      <c r="B1844" s="5"/>
      <c r="C1844" s="5"/>
    </row>
    <row r="1845" spans="1:3" x14ac:dyDescent="0.25">
      <c r="A1845" s="21"/>
      <c r="B1845" s="5"/>
      <c r="C1845" s="5"/>
    </row>
    <row r="1846" spans="1:3" x14ac:dyDescent="0.25">
      <c r="A1846" s="21"/>
      <c r="B1846" s="5"/>
      <c r="C1846" s="5"/>
    </row>
    <row r="1847" spans="1:3" x14ac:dyDescent="0.25">
      <c r="A1847" s="21"/>
      <c r="B1847" s="5"/>
      <c r="C1847" s="5"/>
    </row>
    <row r="1848" spans="1:3" x14ac:dyDescent="0.25">
      <c r="A1848" s="21"/>
      <c r="B1848" s="5"/>
      <c r="C1848" s="5"/>
    </row>
    <row r="1849" spans="1:3" x14ac:dyDescent="0.25">
      <c r="A1849" s="21"/>
      <c r="B1849" s="5"/>
      <c r="C1849" s="5"/>
    </row>
    <row r="1850" spans="1:3" x14ac:dyDescent="0.25">
      <c r="A1850" s="21"/>
      <c r="B1850" s="5"/>
      <c r="C1850" s="5"/>
    </row>
    <row r="1851" spans="1:3" x14ac:dyDescent="0.25">
      <c r="A1851" s="21"/>
      <c r="B1851" s="5"/>
      <c r="C1851" s="5"/>
    </row>
    <row r="1852" spans="1:3" x14ac:dyDescent="0.25">
      <c r="A1852" s="21"/>
      <c r="B1852" s="5"/>
      <c r="C1852" s="5"/>
    </row>
    <row r="1853" spans="1:3" x14ac:dyDescent="0.25">
      <c r="A1853" s="21"/>
      <c r="B1853" s="5"/>
      <c r="C1853" s="5"/>
    </row>
    <row r="1854" spans="1:3" x14ac:dyDescent="0.25">
      <c r="A1854" s="21"/>
      <c r="B1854" s="5"/>
      <c r="C1854" s="5"/>
    </row>
    <row r="1855" spans="1:3" x14ac:dyDescent="0.25">
      <c r="A1855" s="21"/>
      <c r="B1855" s="5"/>
      <c r="C1855" s="5"/>
    </row>
    <row r="1856" spans="1:3" x14ac:dyDescent="0.25">
      <c r="A1856" s="21"/>
      <c r="B1856" s="5"/>
      <c r="C1856" s="5"/>
    </row>
    <row r="1857" spans="1:3" x14ac:dyDescent="0.25">
      <c r="A1857" s="21"/>
      <c r="B1857" s="5"/>
      <c r="C1857" s="5"/>
    </row>
    <row r="1858" spans="1:3" x14ac:dyDescent="0.25">
      <c r="A1858" s="21"/>
      <c r="B1858" s="5"/>
      <c r="C1858" s="5"/>
    </row>
    <row r="1859" spans="1:3" x14ac:dyDescent="0.25">
      <c r="A1859" s="21"/>
      <c r="B1859" s="5"/>
      <c r="C1859" s="5"/>
    </row>
    <row r="1860" spans="1:3" x14ac:dyDescent="0.25">
      <c r="A1860" s="21"/>
      <c r="B1860" s="5"/>
      <c r="C1860" s="5"/>
    </row>
    <row r="1861" spans="1:3" x14ac:dyDescent="0.25">
      <c r="A1861" s="21"/>
      <c r="B1861" s="5"/>
      <c r="C1861" s="5"/>
    </row>
    <row r="1862" spans="1:3" x14ac:dyDescent="0.25">
      <c r="A1862" s="21"/>
      <c r="B1862" s="5"/>
      <c r="C1862" s="5"/>
    </row>
    <row r="1863" spans="1:3" x14ac:dyDescent="0.25">
      <c r="A1863" s="21"/>
      <c r="B1863" s="5"/>
      <c r="C1863" s="5"/>
    </row>
    <row r="1864" spans="1:3" x14ac:dyDescent="0.25">
      <c r="A1864" s="21"/>
      <c r="B1864" s="5"/>
      <c r="C1864" s="5"/>
    </row>
    <row r="1865" spans="1:3" x14ac:dyDescent="0.25">
      <c r="A1865" s="21"/>
      <c r="B1865" s="5"/>
      <c r="C1865" s="5"/>
    </row>
    <row r="1866" spans="1:3" x14ac:dyDescent="0.25">
      <c r="A1866" s="21"/>
      <c r="B1866" s="5"/>
      <c r="C1866" s="5"/>
    </row>
    <row r="1867" spans="1:3" x14ac:dyDescent="0.25">
      <c r="A1867" s="21"/>
      <c r="B1867" s="5"/>
      <c r="C1867" s="5"/>
    </row>
    <row r="1868" spans="1:3" x14ac:dyDescent="0.25">
      <c r="A1868" s="21"/>
      <c r="B1868" s="5"/>
      <c r="C1868" s="5"/>
    </row>
    <row r="1869" spans="1:3" x14ac:dyDescent="0.25">
      <c r="A1869" s="21"/>
      <c r="B1869" s="5"/>
      <c r="C1869" s="5"/>
    </row>
    <row r="1870" spans="1:3" x14ac:dyDescent="0.25">
      <c r="A1870" s="21"/>
      <c r="B1870" s="5"/>
      <c r="C1870" s="5"/>
    </row>
    <row r="1871" spans="1:3" x14ac:dyDescent="0.25">
      <c r="A1871" s="21"/>
      <c r="B1871" s="5"/>
      <c r="C1871" s="5"/>
    </row>
    <row r="1872" spans="1:3" x14ac:dyDescent="0.25">
      <c r="A1872" s="21"/>
      <c r="B1872" s="5"/>
      <c r="C1872" s="5"/>
    </row>
    <row r="1873" spans="1:3" x14ac:dyDescent="0.25">
      <c r="A1873" s="21"/>
      <c r="B1873" s="5"/>
      <c r="C1873" s="5"/>
    </row>
    <row r="1874" spans="1:3" x14ac:dyDescent="0.25">
      <c r="A1874" s="21"/>
      <c r="B1874" s="5"/>
      <c r="C1874" s="5"/>
    </row>
    <row r="1875" spans="1:3" x14ac:dyDescent="0.25">
      <c r="A1875" s="21"/>
      <c r="B1875" s="5"/>
      <c r="C1875" s="5"/>
    </row>
    <row r="1876" spans="1:3" x14ac:dyDescent="0.25">
      <c r="A1876" s="21"/>
      <c r="B1876" s="5"/>
      <c r="C1876" s="5"/>
    </row>
    <row r="1877" spans="1:3" x14ac:dyDescent="0.25">
      <c r="A1877" s="21"/>
      <c r="B1877" s="5"/>
      <c r="C1877" s="5"/>
    </row>
    <row r="1878" spans="1:3" x14ac:dyDescent="0.25">
      <c r="A1878" s="21"/>
      <c r="B1878" s="5"/>
      <c r="C1878" s="5"/>
    </row>
    <row r="1879" spans="1:3" x14ac:dyDescent="0.25">
      <c r="A1879" s="21"/>
      <c r="B1879" s="5"/>
      <c r="C1879" s="5"/>
    </row>
    <row r="1880" spans="1:3" x14ac:dyDescent="0.25">
      <c r="A1880" s="21"/>
      <c r="B1880" s="5"/>
      <c r="C1880" s="5"/>
    </row>
    <row r="1881" spans="1:3" x14ac:dyDescent="0.25">
      <c r="A1881" s="21"/>
      <c r="B1881" s="5"/>
      <c r="C1881" s="5"/>
    </row>
    <row r="1882" spans="1:3" x14ac:dyDescent="0.25">
      <c r="A1882" s="21"/>
      <c r="B1882" s="5"/>
      <c r="C1882" s="5"/>
    </row>
    <row r="1883" spans="1:3" x14ac:dyDescent="0.25">
      <c r="A1883" s="21"/>
      <c r="B1883" s="5"/>
      <c r="C1883" s="5"/>
    </row>
    <row r="1884" spans="1:3" x14ac:dyDescent="0.25">
      <c r="A1884" s="21"/>
      <c r="B1884" s="5"/>
      <c r="C1884" s="5"/>
    </row>
    <row r="1885" spans="1:3" x14ac:dyDescent="0.25">
      <c r="A1885" s="21"/>
      <c r="B1885" s="5"/>
      <c r="C1885" s="5"/>
    </row>
    <row r="1886" spans="1:3" x14ac:dyDescent="0.25">
      <c r="A1886" s="21"/>
      <c r="B1886" s="5"/>
      <c r="C1886" s="5"/>
    </row>
    <row r="1887" spans="1:3" x14ac:dyDescent="0.25">
      <c r="A1887" s="21"/>
      <c r="B1887" s="5"/>
      <c r="C1887" s="5"/>
    </row>
    <row r="1888" spans="1:3" x14ac:dyDescent="0.25">
      <c r="A1888" s="21"/>
      <c r="B1888" s="5"/>
      <c r="C1888" s="5"/>
    </row>
    <row r="1889" spans="1:3" x14ac:dyDescent="0.25">
      <c r="A1889" s="21"/>
      <c r="B1889" s="5"/>
      <c r="C1889" s="5"/>
    </row>
    <row r="1890" spans="1:3" x14ac:dyDescent="0.25">
      <c r="A1890" s="21"/>
      <c r="B1890" s="5"/>
      <c r="C1890" s="5"/>
    </row>
    <row r="1891" spans="1:3" x14ac:dyDescent="0.25">
      <c r="A1891" s="21"/>
      <c r="B1891" s="5"/>
      <c r="C1891" s="5"/>
    </row>
    <row r="1892" spans="1:3" x14ac:dyDescent="0.25">
      <c r="A1892" s="21"/>
      <c r="B1892" s="5"/>
      <c r="C1892" s="5"/>
    </row>
    <row r="1893" spans="1:3" x14ac:dyDescent="0.25">
      <c r="A1893" s="21"/>
      <c r="B1893" s="5"/>
      <c r="C1893" s="5"/>
    </row>
    <row r="1894" spans="1:3" x14ac:dyDescent="0.25">
      <c r="A1894" s="21"/>
      <c r="B1894" s="5"/>
      <c r="C1894" s="5"/>
    </row>
    <row r="1895" spans="1:3" x14ac:dyDescent="0.25">
      <c r="A1895" s="21"/>
      <c r="B1895" s="5"/>
      <c r="C1895" s="5"/>
    </row>
    <row r="1896" spans="1:3" x14ac:dyDescent="0.25">
      <c r="A1896" s="21"/>
      <c r="B1896" s="5"/>
      <c r="C1896" s="5"/>
    </row>
    <row r="1897" spans="1:3" x14ac:dyDescent="0.25">
      <c r="A1897" s="21"/>
      <c r="B1897" s="5"/>
      <c r="C1897" s="5"/>
    </row>
    <row r="1898" spans="1:3" x14ac:dyDescent="0.25">
      <c r="A1898" s="21"/>
      <c r="B1898" s="5"/>
      <c r="C1898" s="5"/>
    </row>
    <row r="1899" spans="1:3" x14ac:dyDescent="0.25">
      <c r="A1899" s="21"/>
      <c r="B1899" s="5"/>
      <c r="C1899" s="5"/>
    </row>
    <row r="1900" spans="1:3" x14ac:dyDescent="0.25">
      <c r="A1900" s="21"/>
      <c r="B1900" s="5"/>
      <c r="C1900" s="5"/>
    </row>
    <row r="1901" spans="1:3" x14ac:dyDescent="0.25">
      <c r="A1901" s="21"/>
      <c r="B1901" s="5"/>
      <c r="C1901" s="5"/>
    </row>
    <row r="1902" spans="1:3" x14ac:dyDescent="0.25">
      <c r="A1902" s="21"/>
      <c r="B1902" s="5"/>
      <c r="C1902" s="5"/>
    </row>
    <row r="1903" spans="1:3" x14ac:dyDescent="0.25">
      <c r="A1903" s="21"/>
      <c r="B1903" s="5"/>
      <c r="C1903" s="5"/>
    </row>
    <row r="1904" spans="1:3" x14ac:dyDescent="0.25">
      <c r="A1904" s="21"/>
      <c r="B1904" s="5"/>
      <c r="C1904" s="5"/>
    </row>
    <row r="1905" spans="1:3" x14ac:dyDescent="0.25">
      <c r="A1905" s="21"/>
      <c r="B1905" s="5"/>
      <c r="C1905" s="5"/>
    </row>
    <row r="1906" spans="1:3" x14ac:dyDescent="0.25">
      <c r="A1906" s="21"/>
      <c r="B1906" s="5"/>
      <c r="C1906" s="5"/>
    </row>
    <row r="1907" spans="1:3" x14ac:dyDescent="0.25">
      <c r="A1907" s="21"/>
      <c r="B1907" s="5"/>
      <c r="C1907" s="5"/>
    </row>
    <row r="1908" spans="1:3" x14ac:dyDescent="0.25">
      <c r="A1908" s="21"/>
      <c r="B1908" s="5"/>
      <c r="C1908" s="5"/>
    </row>
    <row r="1909" spans="1:3" x14ac:dyDescent="0.25">
      <c r="A1909" s="21"/>
      <c r="B1909" s="5"/>
      <c r="C1909" s="5"/>
    </row>
    <row r="1910" spans="1:3" x14ac:dyDescent="0.25">
      <c r="A1910" s="21"/>
      <c r="B1910" s="5"/>
      <c r="C1910" s="5"/>
    </row>
    <row r="1911" spans="1:3" x14ac:dyDescent="0.25">
      <c r="A1911" s="21"/>
      <c r="B1911" s="5"/>
      <c r="C1911" s="5"/>
    </row>
    <row r="1912" spans="1:3" x14ac:dyDescent="0.25">
      <c r="A1912" s="21"/>
      <c r="B1912" s="5"/>
      <c r="C1912" s="5"/>
    </row>
    <row r="1913" spans="1:3" x14ac:dyDescent="0.25">
      <c r="A1913" s="21"/>
      <c r="B1913" s="5"/>
      <c r="C1913" s="5"/>
    </row>
    <row r="1914" spans="1:3" x14ac:dyDescent="0.25">
      <c r="A1914" s="21"/>
      <c r="B1914" s="5"/>
      <c r="C1914" s="5"/>
    </row>
    <row r="1915" spans="1:3" x14ac:dyDescent="0.25">
      <c r="A1915" s="21"/>
      <c r="B1915" s="5"/>
      <c r="C1915" s="5"/>
    </row>
    <row r="1916" spans="1:3" x14ac:dyDescent="0.25">
      <c r="A1916" s="21"/>
      <c r="B1916" s="5"/>
      <c r="C1916" s="5"/>
    </row>
    <row r="1917" spans="1:3" x14ac:dyDescent="0.25">
      <c r="A1917" s="21"/>
      <c r="B1917" s="5"/>
      <c r="C1917" s="5"/>
    </row>
    <row r="1918" spans="1:3" x14ac:dyDescent="0.25">
      <c r="A1918" s="21"/>
      <c r="B1918" s="5"/>
      <c r="C1918" s="5"/>
    </row>
    <row r="1919" spans="1:3" x14ac:dyDescent="0.25">
      <c r="A1919" s="21"/>
      <c r="B1919" s="5"/>
      <c r="C1919" s="5"/>
    </row>
    <row r="1920" spans="1:3" x14ac:dyDescent="0.25">
      <c r="A1920" s="21"/>
      <c r="B1920" s="5"/>
      <c r="C1920" s="5"/>
    </row>
    <row r="1921" spans="1:3" x14ac:dyDescent="0.25">
      <c r="A1921" s="21"/>
      <c r="B1921" s="5"/>
      <c r="C1921" s="5"/>
    </row>
    <row r="1922" spans="1:3" x14ac:dyDescent="0.25">
      <c r="A1922" s="21"/>
      <c r="B1922" s="5"/>
      <c r="C1922" s="5"/>
    </row>
    <row r="1923" spans="1:3" x14ac:dyDescent="0.25">
      <c r="A1923" s="21"/>
      <c r="B1923" s="5"/>
      <c r="C1923" s="5"/>
    </row>
    <row r="1924" spans="1:3" x14ac:dyDescent="0.25">
      <c r="A1924" s="21"/>
      <c r="B1924" s="5"/>
      <c r="C1924" s="5"/>
    </row>
    <row r="1925" spans="1:3" x14ac:dyDescent="0.25">
      <c r="A1925" s="21"/>
      <c r="B1925" s="5"/>
      <c r="C1925" s="5"/>
    </row>
    <row r="1926" spans="1:3" x14ac:dyDescent="0.25">
      <c r="A1926" s="21"/>
      <c r="B1926" s="5"/>
      <c r="C1926" s="5"/>
    </row>
    <row r="1927" spans="1:3" x14ac:dyDescent="0.25">
      <c r="A1927" s="21"/>
      <c r="B1927" s="5"/>
      <c r="C1927" s="5"/>
    </row>
    <row r="1928" spans="1:3" x14ac:dyDescent="0.25">
      <c r="A1928" s="21"/>
      <c r="B1928" s="5"/>
      <c r="C1928" s="5"/>
    </row>
    <row r="1929" spans="1:3" x14ac:dyDescent="0.25">
      <c r="A1929" s="21"/>
      <c r="B1929" s="5"/>
      <c r="C1929" s="5"/>
    </row>
    <row r="1930" spans="1:3" x14ac:dyDescent="0.25">
      <c r="A1930" s="21"/>
      <c r="B1930" s="5"/>
      <c r="C1930" s="5"/>
    </row>
    <row r="1931" spans="1:3" x14ac:dyDescent="0.25">
      <c r="A1931" s="21"/>
      <c r="B1931" s="5"/>
      <c r="C1931" s="5"/>
    </row>
    <row r="1932" spans="1:3" x14ac:dyDescent="0.25">
      <c r="A1932" s="21"/>
      <c r="B1932" s="5"/>
      <c r="C1932" s="5"/>
    </row>
    <row r="1933" spans="1:3" x14ac:dyDescent="0.25">
      <c r="A1933" s="21"/>
      <c r="B1933" s="5"/>
      <c r="C1933" s="5"/>
    </row>
    <row r="1934" spans="1:3" x14ac:dyDescent="0.25">
      <c r="A1934" s="21"/>
      <c r="B1934" s="5"/>
      <c r="C1934" s="5"/>
    </row>
    <row r="1935" spans="1:3" x14ac:dyDescent="0.25">
      <c r="A1935" s="21"/>
      <c r="B1935" s="5"/>
      <c r="C1935" s="5"/>
    </row>
    <row r="1936" spans="1:3" x14ac:dyDescent="0.25">
      <c r="A1936" s="21"/>
      <c r="B1936" s="5"/>
      <c r="C1936" s="5"/>
    </row>
    <row r="1937" spans="1:3" x14ac:dyDescent="0.25">
      <c r="A1937" s="21"/>
      <c r="B1937" s="5"/>
      <c r="C1937" s="5"/>
    </row>
    <row r="1938" spans="1:3" x14ac:dyDescent="0.25">
      <c r="A1938" s="21"/>
      <c r="B1938" s="5"/>
      <c r="C1938" s="5"/>
    </row>
    <row r="1939" spans="1:3" x14ac:dyDescent="0.25">
      <c r="A1939" s="21"/>
      <c r="B1939" s="5"/>
      <c r="C1939" s="5"/>
    </row>
    <row r="1940" spans="1:3" x14ac:dyDescent="0.25">
      <c r="A1940" s="21"/>
      <c r="B1940" s="5"/>
      <c r="C1940" s="5"/>
    </row>
    <row r="1941" spans="1:3" x14ac:dyDescent="0.25">
      <c r="A1941" s="21"/>
      <c r="B1941" s="5"/>
      <c r="C1941" s="5"/>
    </row>
    <row r="1942" spans="1:3" x14ac:dyDescent="0.25">
      <c r="A1942" s="21"/>
      <c r="B1942" s="5"/>
      <c r="C1942" s="5"/>
    </row>
    <row r="1943" spans="1:3" x14ac:dyDescent="0.25">
      <c r="A1943" s="21"/>
      <c r="B1943" s="5"/>
      <c r="C1943" s="5"/>
    </row>
    <row r="1944" spans="1:3" x14ac:dyDescent="0.25">
      <c r="A1944" s="21"/>
      <c r="B1944" s="5"/>
      <c r="C1944" s="5"/>
    </row>
    <row r="1945" spans="1:3" x14ac:dyDescent="0.25">
      <c r="A1945" s="21"/>
      <c r="B1945" s="5"/>
      <c r="C1945" s="5"/>
    </row>
    <row r="1946" spans="1:3" x14ac:dyDescent="0.25">
      <c r="A1946" s="21"/>
      <c r="B1946" s="5"/>
      <c r="C1946" s="5"/>
    </row>
    <row r="1947" spans="1:3" x14ac:dyDescent="0.25">
      <c r="A1947" s="21"/>
      <c r="B1947" s="5"/>
      <c r="C1947" s="5"/>
    </row>
    <row r="1948" spans="1:3" x14ac:dyDescent="0.25">
      <c r="A1948" s="21"/>
      <c r="B1948" s="5"/>
      <c r="C1948" s="5"/>
    </row>
    <row r="1949" spans="1:3" x14ac:dyDescent="0.25">
      <c r="A1949" s="21"/>
      <c r="B1949" s="5"/>
      <c r="C1949" s="5"/>
    </row>
    <row r="1950" spans="1:3" x14ac:dyDescent="0.25">
      <c r="A1950" s="21"/>
      <c r="B1950" s="5"/>
      <c r="C1950" s="5"/>
    </row>
    <row r="1951" spans="1:3" x14ac:dyDescent="0.25">
      <c r="A1951" s="21"/>
      <c r="B1951" s="5"/>
      <c r="C1951" s="5"/>
    </row>
    <row r="1952" spans="1:3" x14ac:dyDescent="0.25">
      <c r="A1952" s="21"/>
      <c r="B1952" s="5"/>
      <c r="C1952" s="5"/>
    </row>
    <row r="1953" spans="1:3" x14ac:dyDescent="0.25">
      <c r="A1953" s="21"/>
      <c r="B1953" s="5"/>
      <c r="C1953" s="5"/>
    </row>
    <row r="1954" spans="1:3" x14ac:dyDescent="0.25">
      <c r="A1954" s="21"/>
      <c r="B1954" s="5"/>
      <c r="C1954" s="5"/>
    </row>
    <row r="1955" spans="1:3" x14ac:dyDescent="0.25">
      <c r="A1955" s="21"/>
      <c r="B1955" s="5"/>
      <c r="C1955" s="5"/>
    </row>
    <row r="1956" spans="1:3" x14ac:dyDescent="0.25">
      <c r="A1956" s="21"/>
      <c r="B1956" s="5"/>
      <c r="C1956" s="5"/>
    </row>
    <row r="1957" spans="1:3" x14ac:dyDescent="0.25">
      <c r="A1957" s="21"/>
      <c r="B1957" s="5"/>
      <c r="C1957" s="5"/>
    </row>
    <row r="1958" spans="1:3" x14ac:dyDescent="0.25">
      <c r="A1958" s="21"/>
      <c r="B1958" s="5"/>
      <c r="C1958" s="5"/>
    </row>
    <row r="1959" spans="1:3" x14ac:dyDescent="0.25">
      <c r="A1959" s="21"/>
      <c r="B1959" s="5"/>
      <c r="C1959" s="5"/>
    </row>
    <row r="1960" spans="1:3" x14ac:dyDescent="0.25">
      <c r="A1960" s="21"/>
      <c r="B1960" s="5"/>
      <c r="C1960" s="5"/>
    </row>
    <row r="1961" spans="1:3" x14ac:dyDescent="0.25">
      <c r="A1961" s="21"/>
      <c r="B1961" s="5"/>
      <c r="C1961" s="5"/>
    </row>
    <row r="1962" spans="1:3" x14ac:dyDescent="0.25">
      <c r="A1962" s="21"/>
      <c r="B1962" s="5"/>
      <c r="C1962" s="5"/>
    </row>
    <row r="1963" spans="1:3" x14ac:dyDescent="0.25">
      <c r="A1963" s="21"/>
      <c r="B1963" s="5"/>
      <c r="C1963" s="5"/>
    </row>
    <row r="1964" spans="1:3" x14ac:dyDescent="0.25">
      <c r="A1964" s="21"/>
      <c r="B1964" s="5"/>
      <c r="C1964" s="5"/>
    </row>
    <row r="1965" spans="1:3" x14ac:dyDescent="0.25">
      <c r="A1965" s="21"/>
      <c r="B1965" s="5"/>
      <c r="C1965" s="5"/>
    </row>
    <row r="1966" spans="1:3" x14ac:dyDescent="0.25">
      <c r="A1966" s="21"/>
      <c r="B1966" s="5"/>
      <c r="C1966" s="5"/>
    </row>
    <row r="1967" spans="1:3" x14ac:dyDescent="0.25">
      <c r="A1967" s="21"/>
      <c r="B1967" s="5"/>
      <c r="C1967" s="5"/>
    </row>
    <row r="1968" spans="1:3" x14ac:dyDescent="0.25">
      <c r="A1968" s="21"/>
      <c r="B1968" s="5"/>
      <c r="C1968" s="5"/>
    </row>
    <row r="1969" spans="1:3" x14ac:dyDescent="0.25">
      <c r="A1969" s="21"/>
      <c r="B1969" s="5"/>
      <c r="C1969" s="5"/>
    </row>
    <row r="1970" spans="1:3" x14ac:dyDescent="0.25">
      <c r="A1970" s="21"/>
      <c r="B1970" s="5"/>
      <c r="C1970" s="5"/>
    </row>
    <row r="1971" spans="1:3" x14ac:dyDescent="0.25">
      <c r="A1971" s="21"/>
      <c r="B1971" s="5"/>
      <c r="C1971" s="5"/>
    </row>
    <row r="1972" spans="1:3" x14ac:dyDescent="0.25">
      <c r="A1972" s="21"/>
      <c r="B1972" s="5"/>
      <c r="C1972" s="5"/>
    </row>
    <row r="1973" spans="1:3" x14ac:dyDescent="0.25">
      <c r="A1973" s="21"/>
      <c r="B1973" s="5"/>
      <c r="C1973" s="5"/>
    </row>
    <row r="1974" spans="1:3" x14ac:dyDescent="0.25">
      <c r="A1974" s="21"/>
      <c r="B1974" s="5"/>
      <c r="C1974" s="5"/>
    </row>
    <row r="1975" spans="1:3" x14ac:dyDescent="0.25">
      <c r="A1975" s="21"/>
      <c r="B1975" s="5"/>
      <c r="C1975" s="5"/>
    </row>
    <row r="1976" spans="1:3" x14ac:dyDescent="0.25">
      <c r="A1976" s="21"/>
      <c r="B1976" s="5"/>
      <c r="C1976" s="5"/>
    </row>
    <row r="1977" spans="1:3" x14ac:dyDescent="0.25">
      <c r="A1977" s="21"/>
      <c r="B1977" s="5"/>
      <c r="C1977" s="5"/>
    </row>
    <row r="1978" spans="1:3" x14ac:dyDescent="0.25">
      <c r="A1978" s="21"/>
      <c r="B1978" s="5"/>
      <c r="C1978" s="5"/>
    </row>
    <row r="1979" spans="1:3" x14ac:dyDescent="0.25">
      <c r="A1979" s="21"/>
      <c r="B1979" s="5"/>
      <c r="C1979" s="5"/>
    </row>
    <row r="1980" spans="1:3" x14ac:dyDescent="0.25">
      <c r="A1980" s="21"/>
      <c r="B1980" s="5"/>
      <c r="C1980" s="5"/>
    </row>
    <row r="1981" spans="1:3" x14ac:dyDescent="0.25">
      <c r="A1981" s="21"/>
      <c r="B1981" s="5"/>
      <c r="C1981" s="5"/>
    </row>
    <row r="1982" spans="1:3" x14ac:dyDescent="0.25">
      <c r="A1982" s="21"/>
      <c r="B1982" s="5"/>
      <c r="C1982" s="5"/>
    </row>
    <row r="1983" spans="1:3" x14ac:dyDescent="0.25">
      <c r="A1983" s="21"/>
      <c r="B1983" s="5"/>
      <c r="C1983" s="5"/>
    </row>
    <row r="1984" spans="1:3" x14ac:dyDescent="0.25">
      <c r="A1984" s="21"/>
      <c r="B1984" s="5"/>
      <c r="C1984" s="5"/>
    </row>
    <row r="1985" spans="1:3" x14ac:dyDescent="0.25">
      <c r="A1985" s="21"/>
      <c r="B1985" s="5"/>
      <c r="C1985" s="5"/>
    </row>
    <row r="1986" spans="1:3" x14ac:dyDescent="0.25">
      <c r="A1986" s="21"/>
      <c r="B1986" s="5"/>
      <c r="C1986" s="5"/>
    </row>
    <row r="1987" spans="1:3" x14ac:dyDescent="0.25">
      <c r="A1987" s="21"/>
      <c r="B1987" s="5"/>
      <c r="C1987" s="5"/>
    </row>
    <row r="1988" spans="1:3" x14ac:dyDescent="0.25">
      <c r="A1988" s="21"/>
      <c r="B1988" s="5"/>
      <c r="C1988" s="5"/>
    </row>
    <row r="1989" spans="1:3" x14ac:dyDescent="0.25">
      <c r="A1989" s="21"/>
      <c r="B1989" s="5"/>
      <c r="C1989" s="5"/>
    </row>
    <row r="1990" spans="1:3" x14ac:dyDescent="0.25">
      <c r="A1990" s="21"/>
      <c r="B1990" s="5"/>
      <c r="C1990" s="5"/>
    </row>
    <row r="1991" spans="1:3" x14ac:dyDescent="0.25">
      <c r="A1991" s="21"/>
      <c r="B1991" s="5"/>
      <c r="C1991" s="5"/>
    </row>
    <row r="1992" spans="1:3" x14ac:dyDescent="0.25">
      <c r="A1992" s="21"/>
      <c r="B1992" s="5"/>
      <c r="C1992" s="5"/>
    </row>
    <row r="1993" spans="1:3" x14ac:dyDescent="0.25">
      <c r="A1993" s="21"/>
      <c r="B1993" s="5"/>
      <c r="C1993" s="5"/>
    </row>
    <row r="1994" spans="1:3" x14ac:dyDescent="0.25">
      <c r="A1994" s="21"/>
      <c r="B1994" s="5"/>
      <c r="C1994" s="5"/>
    </row>
    <row r="1995" spans="1:3" x14ac:dyDescent="0.25">
      <c r="A1995" s="21"/>
      <c r="B1995" s="5"/>
      <c r="C1995" s="5"/>
    </row>
    <row r="1996" spans="1:3" x14ac:dyDescent="0.25">
      <c r="A1996" s="21"/>
      <c r="B1996" s="5"/>
      <c r="C1996" s="5"/>
    </row>
    <row r="1997" spans="1:3" x14ac:dyDescent="0.25">
      <c r="A1997" s="21"/>
      <c r="B1997" s="5"/>
      <c r="C1997" s="5"/>
    </row>
    <row r="1998" spans="1:3" x14ac:dyDescent="0.25">
      <c r="A1998" s="21"/>
      <c r="B1998" s="5"/>
      <c r="C1998" s="5"/>
    </row>
    <row r="1999" spans="1:3" x14ac:dyDescent="0.25">
      <c r="A1999" s="21"/>
      <c r="B1999" s="5"/>
      <c r="C1999" s="5"/>
    </row>
    <row r="2000" spans="1:3" x14ac:dyDescent="0.25">
      <c r="A2000" s="21"/>
      <c r="B2000" s="5"/>
      <c r="C2000" s="5"/>
    </row>
    <row r="2001" spans="1:3" x14ac:dyDescent="0.25">
      <c r="A2001" s="21"/>
      <c r="B2001" s="5"/>
      <c r="C2001" s="5"/>
    </row>
    <row r="2002" spans="1:3" x14ac:dyDescent="0.25">
      <c r="A2002" s="21"/>
      <c r="B2002" s="5"/>
      <c r="C2002" s="5"/>
    </row>
    <row r="2003" spans="1:3" x14ac:dyDescent="0.25">
      <c r="A2003" s="21"/>
      <c r="B2003" s="5"/>
      <c r="C2003" s="5"/>
    </row>
    <row r="2004" spans="1:3" x14ac:dyDescent="0.25">
      <c r="A2004" s="21"/>
      <c r="B2004" s="5"/>
      <c r="C2004" s="5"/>
    </row>
    <row r="2005" spans="1:3" x14ac:dyDescent="0.25">
      <c r="A2005" s="21"/>
      <c r="B2005" s="5"/>
      <c r="C2005" s="5"/>
    </row>
    <row r="2006" spans="1:3" x14ac:dyDescent="0.25">
      <c r="A2006" s="21"/>
      <c r="B2006" s="5"/>
      <c r="C2006" s="5"/>
    </row>
    <row r="2007" spans="1:3" x14ac:dyDescent="0.25">
      <c r="A2007" s="21"/>
      <c r="B2007" s="5"/>
      <c r="C2007" s="5"/>
    </row>
    <row r="2008" spans="1:3" x14ac:dyDescent="0.25">
      <c r="A2008" s="21"/>
      <c r="B2008" s="5"/>
      <c r="C2008" s="5"/>
    </row>
    <row r="2009" spans="1:3" x14ac:dyDescent="0.25">
      <c r="A2009" s="21"/>
      <c r="B2009" s="5"/>
      <c r="C2009" s="5"/>
    </row>
    <row r="2010" spans="1:3" x14ac:dyDescent="0.25">
      <c r="A2010" s="21"/>
      <c r="B2010" s="5"/>
      <c r="C2010" s="5"/>
    </row>
    <row r="2011" spans="1:3" x14ac:dyDescent="0.25">
      <c r="A2011" s="21"/>
      <c r="B2011" s="5"/>
      <c r="C2011" s="5"/>
    </row>
    <row r="2012" spans="1:3" x14ac:dyDescent="0.25">
      <c r="A2012" s="21"/>
      <c r="B2012" s="5"/>
      <c r="C2012" s="5"/>
    </row>
    <row r="2013" spans="1:3" x14ac:dyDescent="0.25">
      <c r="A2013" s="21"/>
      <c r="B2013" s="5"/>
      <c r="C2013" s="5"/>
    </row>
    <row r="2014" spans="1:3" x14ac:dyDescent="0.25">
      <c r="A2014" s="21"/>
      <c r="B2014" s="5"/>
      <c r="C2014" s="5"/>
    </row>
    <row r="2015" spans="1:3" x14ac:dyDescent="0.25">
      <c r="A2015" s="21"/>
      <c r="B2015" s="5"/>
      <c r="C2015" s="5"/>
    </row>
    <row r="2016" spans="1:3" x14ac:dyDescent="0.25">
      <c r="A2016" s="21"/>
      <c r="B2016" s="5"/>
      <c r="C2016" s="5"/>
    </row>
    <row r="2017" spans="1:3" x14ac:dyDescent="0.25">
      <c r="A2017" s="21"/>
      <c r="B2017" s="5"/>
      <c r="C2017" s="5"/>
    </row>
    <row r="2018" spans="1:3" x14ac:dyDescent="0.25">
      <c r="A2018" s="21"/>
      <c r="B2018" s="5"/>
      <c r="C2018" s="5"/>
    </row>
    <row r="2019" spans="1:3" x14ac:dyDescent="0.25">
      <c r="A2019" s="21"/>
      <c r="B2019" s="5"/>
      <c r="C2019" s="5"/>
    </row>
    <row r="2020" spans="1:3" x14ac:dyDescent="0.25">
      <c r="A2020" s="21"/>
      <c r="B2020" s="5"/>
      <c r="C2020" s="5"/>
    </row>
    <row r="2021" spans="1:3" x14ac:dyDescent="0.25">
      <c r="A2021" s="21"/>
      <c r="B2021" s="5"/>
      <c r="C2021" s="5"/>
    </row>
    <row r="2022" spans="1:3" x14ac:dyDescent="0.25">
      <c r="A2022" s="21"/>
      <c r="B2022" s="5"/>
      <c r="C2022" s="5"/>
    </row>
    <row r="2023" spans="1:3" x14ac:dyDescent="0.25">
      <c r="A2023" s="21"/>
      <c r="B2023" s="5"/>
      <c r="C2023" s="5"/>
    </row>
    <row r="2024" spans="1:3" x14ac:dyDescent="0.25">
      <c r="A2024" s="21"/>
      <c r="B2024" s="5"/>
      <c r="C2024" s="5"/>
    </row>
    <row r="2025" spans="1:3" x14ac:dyDescent="0.25">
      <c r="A2025" s="21"/>
      <c r="B2025" s="5"/>
      <c r="C2025" s="5"/>
    </row>
    <row r="2026" spans="1:3" x14ac:dyDescent="0.25">
      <c r="A2026" s="21"/>
      <c r="B2026" s="5"/>
      <c r="C2026" s="5"/>
    </row>
    <row r="2027" spans="1:3" x14ac:dyDescent="0.25">
      <c r="A2027" s="21"/>
      <c r="B2027" s="5"/>
      <c r="C2027" s="5"/>
    </row>
    <row r="2028" spans="1:3" x14ac:dyDescent="0.25">
      <c r="A2028" s="21"/>
      <c r="B2028" s="5"/>
      <c r="C2028" s="5"/>
    </row>
    <row r="2029" spans="1:3" x14ac:dyDescent="0.25">
      <c r="A2029" s="21"/>
      <c r="B2029" s="5"/>
      <c r="C2029" s="5"/>
    </row>
    <row r="2030" spans="1:3" x14ac:dyDescent="0.25">
      <c r="A2030" s="21"/>
      <c r="B2030" s="5"/>
      <c r="C2030" s="5"/>
    </row>
    <row r="2031" spans="1:3" x14ac:dyDescent="0.25">
      <c r="A2031" s="21"/>
      <c r="B2031" s="5"/>
      <c r="C2031" s="5"/>
    </row>
    <row r="2032" spans="1:3" x14ac:dyDescent="0.25">
      <c r="A2032" s="21"/>
      <c r="B2032" s="5"/>
      <c r="C2032" s="5"/>
    </row>
    <row r="2033" spans="1:3" x14ac:dyDescent="0.25">
      <c r="A2033" s="21"/>
      <c r="B2033" s="5"/>
      <c r="C2033" s="5"/>
    </row>
    <row r="2034" spans="1:3" x14ac:dyDescent="0.25">
      <c r="A2034" s="21"/>
      <c r="B2034" s="5"/>
      <c r="C2034" s="5"/>
    </row>
    <row r="2035" spans="1:3" x14ac:dyDescent="0.25">
      <c r="A2035" s="21"/>
      <c r="B2035" s="5"/>
      <c r="C2035" s="5"/>
    </row>
    <row r="2036" spans="1:3" x14ac:dyDescent="0.25">
      <c r="A2036" s="21"/>
      <c r="B2036" s="5"/>
      <c r="C2036" s="5"/>
    </row>
    <row r="2037" spans="1:3" x14ac:dyDescent="0.25">
      <c r="A2037" s="21"/>
      <c r="B2037" s="5"/>
      <c r="C2037" s="5"/>
    </row>
    <row r="2038" spans="1:3" x14ac:dyDescent="0.25">
      <c r="A2038" s="21"/>
      <c r="B2038" s="5"/>
      <c r="C2038" s="5"/>
    </row>
    <row r="2039" spans="1:3" x14ac:dyDescent="0.25">
      <c r="A2039" s="21"/>
      <c r="B2039" s="5"/>
      <c r="C2039" s="5"/>
    </row>
    <row r="2040" spans="1:3" x14ac:dyDescent="0.25">
      <c r="A2040" s="21"/>
      <c r="B2040" s="5"/>
      <c r="C2040" s="5"/>
    </row>
    <row r="2041" spans="1:3" x14ac:dyDescent="0.25">
      <c r="A2041" s="21"/>
      <c r="B2041" s="5"/>
      <c r="C2041" s="5"/>
    </row>
    <row r="2042" spans="1:3" x14ac:dyDescent="0.25">
      <c r="A2042" s="21"/>
      <c r="B2042" s="5"/>
      <c r="C2042" s="5"/>
    </row>
    <row r="2043" spans="1:3" x14ac:dyDescent="0.25">
      <c r="A2043" s="21"/>
      <c r="B2043" s="5"/>
      <c r="C2043" s="5"/>
    </row>
    <row r="2044" spans="1:3" x14ac:dyDescent="0.25">
      <c r="A2044" s="21"/>
      <c r="B2044" s="5"/>
      <c r="C2044" s="5"/>
    </row>
    <row r="2045" spans="1:3" x14ac:dyDescent="0.25">
      <c r="A2045" s="21"/>
      <c r="B2045" s="5"/>
      <c r="C2045" s="5"/>
    </row>
    <row r="2046" spans="1:3" x14ac:dyDescent="0.25">
      <c r="A2046" s="21"/>
      <c r="B2046" s="5"/>
      <c r="C2046" s="5"/>
    </row>
    <row r="2047" spans="1:3" x14ac:dyDescent="0.25">
      <c r="A2047" s="21"/>
      <c r="B2047" s="5"/>
      <c r="C2047" s="5"/>
    </row>
    <row r="2048" spans="1:3" x14ac:dyDescent="0.25">
      <c r="A2048" s="21"/>
      <c r="B2048" s="5"/>
      <c r="C2048" s="5"/>
    </row>
    <row r="2049" spans="1:3" x14ac:dyDescent="0.25">
      <c r="A2049" s="21"/>
      <c r="B2049" s="5"/>
      <c r="C2049" s="5"/>
    </row>
    <row r="2050" spans="1:3" x14ac:dyDescent="0.25">
      <c r="A2050" s="21"/>
      <c r="B2050" s="5"/>
      <c r="C2050" s="5"/>
    </row>
    <row r="2051" spans="1:3" x14ac:dyDescent="0.25">
      <c r="A2051" s="21"/>
      <c r="B2051" s="5"/>
      <c r="C2051" s="5"/>
    </row>
    <row r="2052" spans="1:3" x14ac:dyDescent="0.25">
      <c r="A2052" s="21"/>
      <c r="B2052" s="5"/>
      <c r="C2052" s="5"/>
    </row>
    <row r="2053" spans="1:3" x14ac:dyDescent="0.25">
      <c r="A2053" s="21"/>
      <c r="B2053" s="5"/>
      <c r="C2053" s="5"/>
    </row>
    <row r="2054" spans="1:3" x14ac:dyDescent="0.25">
      <c r="A2054" s="21"/>
      <c r="B2054" s="5"/>
      <c r="C2054" s="5"/>
    </row>
    <row r="2055" spans="1:3" x14ac:dyDescent="0.25">
      <c r="A2055" s="21"/>
      <c r="B2055" s="5"/>
      <c r="C2055" s="5"/>
    </row>
    <row r="2056" spans="1:3" x14ac:dyDescent="0.25">
      <c r="A2056" s="21"/>
      <c r="B2056" s="5"/>
      <c r="C2056" s="5"/>
    </row>
    <row r="2057" spans="1:3" x14ac:dyDescent="0.25">
      <c r="A2057" s="21"/>
      <c r="B2057" s="5"/>
      <c r="C2057" s="5"/>
    </row>
    <row r="2058" spans="1:3" x14ac:dyDescent="0.25">
      <c r="A2058" s="21"/>
      <c r="B2058" s="5"/>
      <c r="C2058" s="5"/>
    </row>
    <row r="2059" spans="1:3" x14ac:dyDescent="0.25">
      <c r="A2059" s="21"/>
      <c r="B2059" s="5"/>
      <c r="C2059" s="5"/>
    </row>
    <row r="2060" spans="1:3" x14ac:dyDescent="0.25">
      <c r="A2060" s="21"/>
      <c r="B2060" s="5"/>
      <c r="C2060" s="5"/>
    </row>
    <row r="2061" spans="1:3" x14ac:dyDescent="0.25">
      <c r="A2061" s="21"/>
      <c r="B2061" s="5"/>
      <c r="C2061" s="5"/>
    </row>
    <row r="2062" spans="1:3" x14ac:dyDescent="0.25">
      <c r="A2062" s="21"/>
      <c r="B2062" s="5"/>
      <c r="C2062" s="5"/>
    </row>
    <row r="2063" spans="1:3" x14ac:dyDescent="0.25">
      <c r="A2063" s="21"/>
      <c r="B2063" s="5"/>
      <c r="C2063" s="5"/>
    </row>
    <row r="2064" spans="1:3" x14ac:dyDescent="0.25">
      <c r="A2064" s="21"/>
      <c r="B2064" s="5"/>
      <c r="C2064" s="5"/>
    </row>
    <row r="2065" spans="1:3" x14ac:dyDescent="0.25">
      <c r="A2065" s="21"/>
      <c r="B2065" s="5"/>
      <c r="C2065" s="5"/>
    </row>
    <row r="2066" spans="1:3" x14ac:dyDescent="0.25">
      <c r="A2066" s="21"/>
      <c r="B2066" s="5"/>
      <c r="C2066" s="5"/>
    </row>
    <row r="2067" spans="1:3" x14ac:dyDescent="0.25">
      <c r="A2067" s="21"/>
      <c r="B2067" s="5"/>
      <c r="C2067" s="5"/>
    </row>
    <row r="2068" spans="1:3" x14ac:dyDescent="0.25">
      <c r="A2068" s="21"/>
      <c r="B2068" s="5"/>
      <c r="C2068" s="5"/>
    </row>
    <row r="2069" spans="1:3" x14ac:dyDescent="0.25">
      <c r="A2069" s="21"/>
      <c r="B2069" s="5"/>
      <c r="C2069" s="5"/>
    </row>
    <row r="2070" spans="1:3" x14ac:dyDescent="0.25">
      <c r="A2070" s="21"/>
      <c r="B2070" s="5"/>
      <c r="C2070" s="5"/>
    </row>
    <row r="2071" spans="1:3" x14ac:dyDescent="0.25">
      <c r="A2071" s="21"/>
      <c r="B2071" s="5"/>
      <c r="C2071" s="5"/>
    </row>
    <row r="2072" spans="1:3" x14ac:dyDescent="0.25">
      <c r="A2072" s="21"/>
      <c r="B2072" s="5"/>
      <c r="C2072" s="5"/>
    </row>
    <row r="2073" spans="1:3" x14ac:dyDescent="0.25">
      <c r="A2073" s="21"/>
      <c r="B2073" s="5"/>
      <c r="C2073" s="5"/>
    </row>
    <row r="2074" spans="1:3" x14ac:dyDescent="0.25">
      <c r="A2074" s="21"/>
      <c r="B2074" s="5"/>
      <c r="C2074" s="5"/>
    </row>
    <row r="2075" spans="1:3" x14ac:dyDescent="0.25">
      <c r="A2075" s="21"/>
      <c r="B2075" s="5"/>
      <c r="C2075" s="5"/>
    </row>
    <row r="2076" spans="1:3" x14ac:dyDescent="0.25">
      <c r="A2076" s="21"/>
      <c r="B2076" s="5"/>
      <c r="C2076" s="5"/>
    </row>
    <row r="2077" spans="1:3" x14ac:dyDescent="0.25">
      <c r="A2077" s="21"/>
      <c r="B2077" s="5"/>
      <c r="C2077" s="5"/>
    </row>
    <row r="2078" spans="1:3" x14ac:dyDescent="0.25">
      <c r="A2078" s="21"/>
      <c r="B2078" s="5"/>
      <c r="C2078" s="5"/>
    </row>
    <row r="2079" spans="1:3" x14ac:dyDescent="0.25">
      <c r="A2079" s="21"/>
      <c r="B2079" s="5"/>
      <c r="C2079" s="5"/>
    </row>
    <row r="2080" spans="1:3" x14ac:dyDescent="0.25">
      <c r="A2080" s="21"/>
      <c r="B2080" s="5"/>
      <c r="C2080" s="5"/>
    </row>
    <row r="2081" spans="1:3" x14ac:dyDescent="0.25">
      <c r="A2081" s="21"/>
      <c r="B2081" s="5"/>
      <c r="C2081" s="5"/>
    </row>
    <row r="2082" spans="1:3" x14ac:dyDescent="0.25">
      <c r="A2082" s="21"/>
      <c r="B2082" s="5"/>
      <c r="C2082" s="5"/>
    </row>
    <row r="2083" spans="1:3" x14ac:dyDescent="0.25">
      <c r="A2083" s="21"/>
      <c r="B2083" s="5"/>
      <c r="C2083" s="5"/>
    </row>
    <row r="2084" spans="1:3" x14ac:dyDescent="0.25">
      <c r="A2084" s="21"/>
      <c r="B2084" s="5"/>
      <c r="C2084" s="5"/>
    </row>
    <row r="2085" spans="1:3" x14ac:dyDescent="0.25">
      <c r="A2085" s="21"/>
      <c r="B2085" s="5"/>
      <c r="C2085" s="5"/>
    </row>
    <row r="2086" spans="1:3" x14ac:dyDescent="0.25">
      <c r="A2086" s="21"/>
      <c r="B2086" s="5"/>
      <c r="C2086" s="5"/>
    </row>
    <row r="2087" spans="1:3" x14ac:dyDescent="0.25">
      <c r="A2087" s="21"/>
      <c r="B2087" s="5"/>
      <c r="C2087" s="5"/>
    </row>
    <row r="2088" spans="1:3" x14ac:dyDescent="0.25">
      <c r="A2088" s="21"/>
      <c r="B2088" s="5"/>
      <c r="C2088" s="5"/>
    </row>
    <row r="2089" spans="1:3" x14ac:dyDescent="0.25">
      <c r="A2089" s="21"/>
      <c r="B2089" s="5"/>
      <c r="C2089" s="5"/>
    </row>
    <row r="2090" spans="1:3" x14ac:dyDescent="0.25">
      <c r="A2090" s="21"/>
      <c r="B2090" s="5"/>
      <c r="C2090" s="5"/>
    </row>
    <row r="2091" spans="1:3" x14ac:dyDescent="0.25">
      <c r="A2091" s="21"/>
      <c r="B2091" s="5"/>
      <c r="C2091" s="5"/>
    </row>
    <row r="2092" spans="1:3" x14ac:dyDescent="0.25">
      <c r="A2092" s="21"/>
      <c r="B2092" s="5"/>
      <c r="C2092" s="5"/>
    </row>
    <row r="2093" spans="1:3" x14ac:dyDescent="0.25">
      <c r="A2093" s="21"/>
      <c r="B2093" s="5"/>
      <c r="C2093" s="5"/>
    </row>
    <row r="2094" spans="1:3" x14ac:dyDescent="0.25">
      <c r="A2094" s="21"/>
      <c r="B2094" s="5"/>
      <c r="C2094" s="5"/>
    </row>
    <row r="2095" spans="1:3" x14ac:dyDescent="0.25">
      <c r="A2095" s="21"/>
      <c r="B2095" s="5"/>
      <c r="C2095" s="5"/>
    </row>
    <row r="2096" spans="1:3" x14ac:dyDescent="0.25">
      <c r="A2096" s="21"/>
      <c r="B2096" s="5"/>
      <c r="C2096" s="5"/>
    </row>
    <row r="2097" spans="1:3" x14ac:dyDescent="0.25">
      <c r="A2097" s="21"/>
      <c r="B2097" s="5"/>
      <c r="C2097" s="5"/>
    </row>
    <row r="2098" spans="1:3" x14ac:dyDescent="0.25">
      <c r="A2098" s="21"/>
      <c r="B2098" s="5"/>
      <c r="C2098" s="5"/>
    </row>
    <row r="2099" spans="1:3" x14ac:dyDescent="0.25">
      <c r="A2099" s="21"/>
      <c r="B2099" s="5"/>
      <c r="C2099" s="5"/>
    </row>
    <row r="2100" spans="1:3" x14ac:dyDescent="0.25">
      <c r="A2100" s="21"/>
      <c r="B2100" s="5"/>
      <c r="C2100" s="5"/>
    </row>
    <row r="2101" spans="1:3" x14ac:dyDescent="0.25">
      <c r="A2101" s="21"/>
      <c r="B2101" s="5"/>
      <c r="C2101" s="5"/>
    </row>
    <row r="2102" spans="1:3" x14ac:dyDescent="0.25">
      <c r="A2102" s="21"/>
      <c r="B2102" s="5"/>
      <c r="C2102" s="5"/>
    </row>
    <row r="2103" spans="1:3" x14ac:dyDescent="0.25">
      <c r="A2103" s="21"/>
      <c r="B2103" s="5"/>
      <c r="C2103" s="5"/>
    </row>
    <row r="2104" spans="1:3" x14ac:dyDescent="0.25">
      <c r="A2104" s="21"/>
      <c r="B2104" s="5"/>
      <c r="C2104" s="5"/>
    </row>
    <row r="2105" spans="1:3" x14ac:dyDescent="0.25">
      <c r="A2105" s="21"/>
      <c r="B2105" s="5"/>
      <c r="C2105" s="5"/>
    </row>
    <row r="2106" spans="1:3" x14ac:dyDescent="0.25">
      <c r="A2106" s="21"/>
      <c r="B2106" s="5"/>
      <c r="C2106" s="5"/>
    </row>
    <row r="2107" spans="1:3" x14ac:dyDescent="0.25">
      <c r="A2107" s="21"/>
      <c r="B2107" s="5"/>
      <c r="C2107" s="5"/>
    </row>
    <row r="2108" spans="1:3" x14ac:dyDescent="0.25">
      <c r="A2108" s="21"/>
      <c r="B2108" s="5"/>
      <c r="C2108" s="5"/>
    </row>
    <row r="2109" spans="1:3" x14ac:dyDescent="0.25">
      <c r="A2109" s="21"/>
      <c r="B2109" s="5"/>
      <c r="C2109" s="5"/>
    </row>
    <row r="2110" spans="1:3" x14ac:dyDescent="0.25">
      <c r="A2110" s="21"/>
      <c r="B2110" s="5"/>
      <c r="C2110" s="5"/>
    </row>
    <row r="2111" spans="1:3" x14ac:dyDescent="0.25">
      <c r="A2111" s="21"/>
      <c r="B2111" s="5"/>
      <c r="C2111" s="5"/>
    </row>
    <row r="2112" spans="1:3" x14ac:dyDescent="0.25">
      <c r="A2112" s="21"/>
      <c r="B2112" s="5"/>
      <c r="C2112" s="5"/>
    </row>
    <row r="2113" spans="1:3" x14ac:dyDescent="0.25">
      <c r="A2113" s="21"/>
      <c r="B2113" s="5"/>
      <c r="C2113" s="5"/>
    </row>
    <row r="2114" spans="1:3" x14ac:dyDescent="0.25">
      <c r="A2114" s="21"/>
      <c r="B2114" s="5"/>
      <c r="C2114" s="5"/>
    </row>
    <row r="2115" spans="1:3" x14ac:dyDescent="0.25">
      <c r="A2115" s="21"/>
      <c r="B2115" s="5"/>
      <c r="C2115" s="5"/>
    </row>
    <row r="2116" spans="1:3" x14ac:dyDescent="0.25">
      <c r="A2116" s="21"/>
      <c r="B2116" s="5"/>
      <c r="C2116" s="5"/>
    </row>
    <row r="2117" spans="1:3" x14ac:dyDescent="0.25">
      <c r="A2117" s="21"/>
      <c r="B2117" s="5"/>
      <c r="C2117" s="5"/>
    </row>
    <row r="2118" spans="1:3" x14ac:dyDescent="0.25">
      <c r="A2118" s="21"/>
      <c r="B2118" s="5"/>
      <c r="C2118" s="5"/>
    </row>
    <row r="2119" spans="1:3" x14ac:dyDescent="0.25">
      <c r="A2119" s="21"/>
      <c r="B2119" s="5"/>
      <c r="C2119" s="5"/>
    </row>
    <row r="2120" spans="1:3" x14ac:dyDescent="0.25">
      <c r="A2120" s="21"/>
      <c r="B2120" s="5"/>
      <c r="C2120" s="5"/>
    </row>
    <row r="2121" spans="1:3" x14ac:dyDescent="0.25">
      <c r="A2121" s="21"/>
      <c r="B2121" s="5"/>
      <c r="C2121" s="5"/>
    </row>
    <row r="2122" spans="1:3" x14ac:dyDescent="0.25">
      <c r="A2122" s="21"/>
      <c r="B2122" s="5"/>
      <c r="C2122" s="5"/>
    </row>
    <row r="2123" spans="1:3" x14ac:dyDescent="0.25">
      <c r="A2123" s="21"/>
      <c r="B2123" s="5"/>
      <c r="C2123" s="5"/>
    </row>
    <row r="2124" spans="1:3" x14ac:dyDescent="0.25">
      <c r="A2124" s="21"/>
      <c r="B2124" s="5"/>
      <c r="C2124" s="5"/>
    </row>
    <row r="2125" spans="1:3" x14ac:dyDescent="0.25">
      <c r="A2125" s="21"/>
      <c r="B2125" s="5"/>
      <c r="C2125" s="5"/>
    </row>
    <row r="2126" spans="1:3" x14ac:dyDescent="0.25">
      <c r="A2126" s="21"/>
      <c r="B2126" s="5"/>
      <c r="C2126" s="5"/>
    </row>
    <row r="2127" spans="1:3" x14ac:dyDescent="0.25">
      <c r="A2127" s="21"/>
      <c r="B2127" s="5"/>
      <c r="C2127" s="5"/>
    </row>
    <row r="2128" spans="1:3" x14ac:dyDescent="0.25">
      <c r="A2128" s="21"/>
      <c r="B2128" s="5"/>
      <c r="C2128" s="5"/>
    </row>
    <row r="2129" spans="1:3" x14ac:dyDescent="0.25">
      <c r="A2129" s="21"/>
      <c r="B2129" s="5"/>
      <c r="C2129" s="5"/>
    </row>
    <row r="2130" spans="1:3" x14ac:dyDescent="0.25">
      <c r="A2130" s="21"/>
      <c r="B2130" s="5"/>
      <c r="C2130" s="5"/>
    </row>
    <row r="2131" spans="1:3" x14ac:dyDescent="0.25">
      <c r="A2131" s="21"/>
      <c r="B2131" s="5"/>
      <c r="C2131" s="5"/>
    </row>
    <row r="2132" spans="1:3" x14ac:dyDescent="0.25">
      <c r="A2132" s="21"/>
      <c r="B2132" s="5"/>
      <c r="C2132" s="5"/>
    </row>
    <row r="2133" spans="1:3" x14ac:dyDescent="0.25">
      <c r="A2133" s="21"/>
      <c r="B2133" s="5"/>
      <c r="C2133" s="5"/>
    </row>
    <row r="2134" spans="1:3" x14ac:dyDescent="0.25">
      <c r="A2134" s="21"/>
      <c r="B2134" s="5"/>
      <c r="C2134" s="5"/>
    </row>
    <row r="2135" spans="1:3" x14ac:dyDescent="0.25">
      <c r="A2135" s="21"/>
      <c r="B2135" s="5"/>
      <c r="C2135" s="5"/>
    </row>
    <row r="2136" spans="1:3" x14ac:dyDescent="0.25">
      <c r="A2136" s="21"/>
      <c r="B2136" s="5"/>
      <c r="C2136" s="5"/>
    </row>
    <row r="2137" spans="1:3" x14ac:dyDescent="0.25">
      <c r="A2137" s="21"/>
      <c r="B2137" s="5"/>
      <c r="C2137" s="5"/>
    </row>
    <row r="2138" spans="1:3" x14ac:dyDescent="0.25">
      <c r="A2138" s="21"/>
      <c r="B2138" s="5"/>
      <c r="C2138" s="5"/>
    </row>
    <row r="2139" spans="1:3" x14ac:dyDescent="0.25">
      <c r="A2139" s="21"/>
      <c r="B2139" s="5"/>
      <c r="C2139" s="5"/>
    </row>
    <row r="2140" spans="1:3" x14ac:dyDescent="0.25">
      <c r="A2140" s="21"/>
      <c r="B2140" s="5"/>
      <c r="C2140" s="5"/>
    </row>
    <row r="2141" spans="1:3" x14ac:dyDescent="0.25">
      <c r="A2141" s="22"/>
      <c r="B2141" s="23"/>
      <c r="C2141" s="23"/>
    </row>
    <row r="2142" spans="1:3" x14ac:dyDescent="0.25">
      <c r="A2142" s="21"/>
      <c r="B2142" s="5"/>
      <c r="C2142" s="5"/>
    </row>
    <row r="2143" spans="1:3" x14ac:dyDescent="0.25">
      <c r="A2143" s="21"/>
      <c r="B2143" s="5"/>
      <c r="C2143" s="5"/>
    </row>
    <row r="2144" spans="1:3" x14ac:dyDescent="0.25">
      <c r="A2144" s="21"/>
      <c r="B2144" s="5"/>
      <c r="C2144" s="5"/>
    </row>
    <row r="2145" spans="1:3" x14ac:dyDescent="0.25">
      <c r="A2145" s="21"/>
      <c r="B2145" s="5"/>
      <c r="C2145" s="5"/>
    </row>
    <row r="2146" spans="1:3" x14ac:dyDescent="0.25">
      <c r="A2146" s="21"/>
      <c r="B2146" s="5"/>
      <c r="C2146" s="5"/>
    </row>
    <row r="2147" spans="1:3" x14ac:dyDescent="0.25">
      <c r="A2147" s="21"/>
      <c r="B2147" s="5"/>
      <c r="C2147" s="5"/>
    </row>
    <row r="2148" spans="1:3" x14ac:dyDescent="0.25">
      <c r="A2148" s="21"/>
      <c r="B2148" s="5"/>
      <c r="C2148" s="5"/>
    </row>
    <row r="2149" spans="1:3" x14ac:dyDescent="0.25">
      <c r="A2149" s="21"/>
      <c r="B2149" s="5"/>
      <c r="C2149" s="5"/>
    </row>
    <row r="2150" spans="1:3" x14ac:dyDescent="0.25">
      <c r="A2150" s="21"/>
      <c r="B2150" s="5"/>
      <c r="C2150" s="5"/>
    </row>
    <row r="2151" spans="1:3" x14ac:dyDescent="0.25">
      <c r="A2151" s="21"/>
      <c r="B2151" s="5"/>
      <c r="C2151" s="5"/>
    </row>
    <row r="2152" spans="1:3" x14ac:dyDescent="0.25">
      <c r="A2152" s="21"/>
      <c r="B2152" s="5"/>
      <c r="C2152" s="5"/>
    </row>
    <row r="2153" spans="1:3" x14ac:dyDescent="0.25">
      <c r="A2153" s="21"/>
      <c r="B2153" s="5"/>
      <c r="C2153" s="5"/>
    </row>
    <row r="2154" spans="1:3" x14ac:dyDescent="0.25">
      <c r="A2154" s="21"/>
      <c r="B2154" s="5"/>
      <c r="C2154" s="5"/>
    </row>
    <row r="2155" spans="1:3" x14ac:dyDescent="0.25">
      <c r="A2155" s="21"/>
      <c r="B2155" s="5"/>
      <c r="C2155" s="5"/>
    </row>
    <row r="2156" spans="1:3" x14ac:dyDescent="0.25">
      <c r="A2156" s="21"/>
      <c r="B2156" s="5"/>
      <c r="C2156" s="5"/>
    </row>
    <row r="2157" spans="1:3" x14ac:dyDescent="0.25">
      <c r="A2157" s="21"/>
      <c r="B2157" s="5"/>
      <c r="C2157" s="5"/>
    </row>
    <row r="2158" spans="1:3" x14ac:dyDescent="0.25">
      <c r="A2158" s="21"/>
      <c r="B2158" s="5"/>
      <c r="C2158" s="5"/>
    </row>
    <row r="2159" spans="1:3" x14ac:dyDescent="0.25">
      <c r="A2159" s="21"/>
      <c r="B2159" s="5"/>
      <c r="C2159" s="5"/>
    </row>
    <row r="2160" spans="1:3" x14ac:dyDescent="0.25">
      <c r="A2160" s="21"/>
      <c r="B2160" s="5"/>
      <c r="C2160" s="5"/>
    </row>
    <row r="2161" spans="1:3" x14ac:dyDescent="0.25">
      <c r="A2161" s="21"/>
      <c r="B2161" s="5"/>
      <c r="C2161" s="5"/>
    </row>
    <row r="2162" spans="1:3" x14ac:dyDescent="0.25">
      <c r="A2162" s="21"/>
      <c r="B2162" s="5"/>
      <c r="C2162" s="5"/>
    </row>
    <row r="2163" spans="1:3" x14ac:dyDescent="0.25">
      <c r="A2163" s="21"/>
      <c r="B2163" s="5"/>
      <c r="C2163" s="5"/>
    </row>
    <row r="2164" spans="1:3" x14ac:dyDescent="0.25">
      <c r="A2164" s="21"/>
      <c r="B2164" s="5"/>
      <c r="C2164" s="5"/>
    </row>
    <row r="2165" spans="1:3" x14ac:dyDescent="0.25">
      <c r="A2165" s="21"/>
      <c r="B2165" s="5"/>
      <c r="C2165" s="5"/>
    </row>
    <row r="2166" spans="1:3" x14ac:dyDescent="0.25">
      <c r="A2166" s="21"/>
      <c r="B2166" s="5"/>
      <c r="C2166" s="5"/>
    </row>
    <row r="2167" spans="1:3" x14ac:dyDescent="0.25">
      <c r="A2167" s="21"/>
      <c r="B2167" s="5"/>
      <c r="C2167" s="5"/>
    </row>
    <row r="2168" spans="1:3" x14ac:dyDescent="0.25">
      <c r="A2168" s="21"/>
      <c r="B2168" s="5"/>
      <c r="C2168" s="5"/>
    </row>
    <row r="2169" spans="1:3" x14ac:dyDescent="0.25">
      <c r="A2169" s="21"/>
      <c r="B2169" s="5"/>
      <c r="C2169" s="5"/>
    </row>
    <row r="2170" spans="1:3" x14ac:dyDescent="0.25">
      <c r="A2170" s="21"/>
      <c r="B2170" s="5"/>
      <c r="C2170" s="5"/>
    </row>
    <row r="2171" spans="1:3" x14ac:dyDescent="0.25">
      <c r="A2171" s="21"/>
      <c r="B2171" s="5"/>
      <c r="C2171" s="5"/>
    </row>
    <row r="2172" spans="1:3" x14ac:dyDescent="0.25">
      <c r="A2172" s="21"/>
      <c r="B2172" s="5"/>
      <c r="C2172" s="5"/>
    </row>
    <row r="2173" spans="1:3" x14ac:dyDescent="0.25">
      <c r="A2173" s="21"/>
      <c r="B2173" s="5"/>
      <c r="C2173" s="5"/>
    </row>
    <row r="2174" spans="1:3" x14ac:dyDescent="0.25">
      <c r="A2174" s="21"/>
      <c r="B2174" s="5"/>
      <c r="C2174" s="5"/>
    </row>
    <row r="2175" spans="1:3" x14ac:dyDescent="0.25">
      <c r="A2175" s="21"/>
      <c r="B2175" s="5"/>
      <c r="C2175" s="5"/>
    </row>
    <row r="2176" spans="1:3" x14ac:dyDescent="0.25">
      <c r="A2176" s="21"/>
      <c r="B2176" s="5"/>
      <c r="C2176" s="5"/>
    </row>
    <row r="2177" spans="1:3" x14ac:dyDescent="0.25">
      <c r="A2177" s="21"/>
      <c r="B2177" s="5"/>
      <c r="C2177" s="5"/>
    </row>
    <row r="2178" spans="1:3" x14ac:dyDescent="0.25">
      <c r="A2178" s="21"/>
      <c r="B2178" s="5"/>
      <c r="C2178" s="5"/>
    </row>
    <row r="2179" spans="1:3" x14ac:dyDescent="0.25">
      <c r="A2179" s="21"/>
      <c r="B2179" s="5"/>
      <c r="C2179" s="5"/>
    </row>
    <row r="2180" spans="1:3" x14ac:dyDescent="0.25">
      <c r="A2180" s="21"/>
      <c r="B2180" s="5"/>
      <c r="C2180" s="5"/>
    </row>
    <row r="2181" spans="1:3" x14ac:dyDescent="0.25">
      <c r="A2181" s="21"/>
      <c r="B2181" s="5"/>
      <c r="C2181" s="5"/>
    </row>
    <row r="2182" spans="1:3" x14ac:dyDescent="0.25">
      <c r="A2182" s="21"/>
      <c r="B2182" s="5"/>
      <c r="C2182" s="5"/>
    </row>
    <row r="2183" spans="1:3" x14ac:dyDescent="0.25">
      <c r="A2183" s="21"/>
      <c r="B2183" s="5"/>
      <c r="C2183" s="5"/>
    </row>
    <row r="2184" spans="1:3" x14ac:dyDescent="0.25">
      <c r="A2184" s="21"/>
      <c r="B2184" s="5"/>
      <c r="C2184" s="5"/>
    </row>
    <row r="2185" spans="1:3" x14ac:dyDescent="0.25">
      <c r="A2185" s="21"/>
      <c r="B2185" s="5"/>
      <c r="C2185" s="5"/>
    </row>
    <row r="2186" spans="1:3" x14ac:dyDescent="0.25">
      <c r="A2186" s="21"/>
      <c r="B2186" s="5"/>
      <c r="C2186" s="5"/>
    </row>
    <row r="2187" spans="1:3" x14ac:dyDescent="0.25">
      <c r="A2187" s="21"/>
      <c r="B2187" s="5"/>
      <c r="C2187" s="5"/>
    </row>
    <row r="2188" spans="1:3" x14ac:dyDescent="0.25">
      <c r="A2188" s="21"/>
      <c r="B2188" s="5"/>
      <c r="C2188" s="5"/>
    </row>
    <row r="2189" spans="1:3" x14ac:dyDescent="0.25">
      <c r="A2189" s="21"/>
      <c r="B2189" s="5"/>
      <c r="C2189" s="5"/>
    </row>
    <row r="2190" spans="1:3" x14ac:dyDescent="0.25">
      <c r="A2190" s="21"/>
      <c r="B2190" s="5"/>
      <c r="C2190" s="5"/>
    </row>
    <row r="2191" spans="1:3" x14ac:dyDescent="0.25">
      <c r="A2191" s="21"/>
      <c r="B2191" s="5"/>
      <c r="C2191" s="5"/>
    </row>
    <row r="2192" spans="1:3" x14ac:dyDescent="0.25">
      <c r="A2192" s="21"/>
      <c r="B2192" s="5"/>
      <c r="C2192" s="5"/>
    </row>
    <row r="2193" spans="1:3" x14ac:dyDescent="0.25">
      <c r="A2193" s="21"/>
      <c r="B2193" s="5"/>
      <c r="C2193" s="5"/>
    </row>
    <row r="2194" spans="1:3" x14ac:dyDescent="0.25">
      <c r="A2194" s="21"/>
      <c r="B2194" s="5"/>
      <c r="C2194" s="5"/>
    </row>
    <row r="2195" spans="1:3" x14ac:dyDescent="0.25">
      <c r="A2195" s="21"/>
      <c r="B2195" s="5"/>
      <c r="C2195" s="5"/>
    </row>
    <row r="2196" spans="1:3" x14ac:dyDescent="0.25">
      <c r="A2196" s="21"/>
      <c r="B2196" s="5"/>
      <c r="C2196" s="5"/>
    </row>
    <row r="2197" spans="1:3" x14ac:dyDescent="0.25">
      <c r="A2197" s="21"/>
      <c r="B2197" s="5"/>
      <c r="C2197" s="5"/>
    </row>
    <row r="2198" spans="1:3" x14ac:dyDescent="0.25">
      <c r="A2198" s="21"/>
      <c r="B2198" s="5"/>
      <c r="C2198" s="5"/>
    </row>
    <row r="2199" spans="1:3" x14ac:dyDescent="0.25">
      <c r="A2199" s="21"/>
      <c r="B2199" s="5"/>
      <c r="C2199" s="5"/>
    </row>
    <row r="2200" spans="1:3" x14ac:dyDescent="0.25">
      <c r="A2200" s="21"/>
      <c r="B2200" s="5"/>
      <c r="C2200" s="5"/>
    </row>
    <row r="2201" spans="1:3" x14ac:dyDescent="0.25">
      <c r="A2201" s="21"/>
      <c r="B2201" s="5"/>
      <c r="C2201" s="5"/>
    </row>
    <row r="2202" spans="1:3" x14ac:dyDescent="0.25">
      <c r="A2202" s="21"/>
      <c r="B2202" s="5"/>
      <c r="C2202" s="5"/>
    </row>
    <row r="2203" spans="1:3" x14ac:dyDescent="0.25">
      <c r="A2203" s="21"/>
      <c r="B2203" s="5"/>
      <c r="C2203" s="5"/>
    </row>
    <row r="2204" spans="1:3" x14ac:dyDescent="0.25">
      <c r="A2204" s="21"/>
      <c r="B2204" s="5"/>
      <c r="C2204" s="5"/>
    </row>
    <row r="2205" spans="1:3" x14ac:dyDescent="0.25">
      <c r="A2205" s="21"/>
      <c r="B2205" s="5"/>
      <c r="C2205" s="5"/>
    </row>
    <row r="2206" spans="1:3" x14ac:dyDescent="0.25">
      <c r="A2206" s="21"/>
      <c r="B2206" s="5"/>
      <c r="C2206" s="5"/>
    </row>
    <row r="2207" spans="1:3" x14ac:dyDescent="0.25">
      <c r="A2207" s="21"/>
      <c r="B2207" s="5"/>
      <c r="C2207" s="5"/>
    </row>
    <row r="2208" spans="1:3" x14ac:dyDescent="0.25">
      <c r="A2208" s="21"/>
      <c r="B2208" s="5"/>
      <c r="C2208" s="5"/>
    </row>
    <row r="2209" spans="1:3" x14ac:dyDescent="0.25">
      <c r="A2209" s="21"/>
      <c r="B2209" s="5"/>
      <c r="C2209" s="5"/>
    </row>
    <row r="2210" spans="1:3" x14ac:dyDescent="0.25">
      <c r="A2210" s="21"/>
      <c r="B2210" s="5"/>
      <c r="C2210" s="5"/>
    </row>
    <row r="2211" spans="1:3" x14ac:dyDescent="0.25">
      <c r="A2211" s="21"/>
      <c r="B2211" s="5"/>
      <c r="C2211" s="5"/>
    </row>
    <row r="2212" spans="1:3" x14ac:dyDescent="0.25">
      <c r="A2212" s="21"/>
      <c r="B2212" s="5"/>
      <c r="C2212" s="5"/>
    </row>
    <row r="2213" spans="1:3" x14ac:dyDescent="0.25">
      <c r="A2213" s="21"/>
      <c r="B2213" s="5"/>
      <c r="C2213" s="5"/>
    </row>
    <row r="2214" spans="1:3" x14ac:dyDescent="0.25">
      <c r="A2214" s="21"/>
      <c r="B2214" s="5"/>
      <c r="C2214" s="5"/>
    </row>
    <row r="2215" spans="1:3" x14ac:dyDescent="0.25">
      <c r="A2215" s="21"/>
      <c r="B2215" s="5"/>
      <c r="C2215" s="5"/>
    </row>
    <row r="2216" spans="1:3" x14ac:dyDescent="0.25">
      <c r="A2216" s="21"/>
      <c r="B2216" s="5"/>
      <c r="C2216" s="5"/>
    </row>
    <row r="2217" spans="1:3" x14ac:dyDescent="0.25">
      <c r="A2217" s="21"/>
      <c r="B2217" s="5"/>
      <c r="C2217" s="5"/>
    </row>
    <row r="2218" spans="1:3" x14ac:dyDescent="0.25">
      <c r="A2218" s="21"/>
      <c r="B2218" s="5"/>
      <c r="C2218" s="5"/>
    </row>
    <row r="2219" spans="1:3" x14ac:dyDescent="0.25">
      <c r="A2219" s="21"/>
      <c r="B2219" s="5"/>
      <c r="C2219" s="5"/>
    </row>
    <row r="2220" spans="1:3" x14ac:dyDescent="0.25">
      <c r="A2220" s="21"/>
      <c r="B2220" s="5"/>
      <c r="C2220" s="5"/>
    </row>
    <row r="2221" spans="1:3" x14ac:dyDescent="0.25">
      <c r="A2221" s="21"/>
      <c r="B2221" s="5"/>
      <c r="C2221" s="5"/>
    </row>
    <row r="2222" spans="1:3" x14ac:dyDescent="0.25">
      <c r="A2222" s="21"/>
      <c r="B2222" s="5"/>
      <c r="C2222" s="5"/>
    </row>
    <row r="2223" spans="1:3" x14ac:dyDescent="0.25">
      <c r="A2223" s="21"/>
      <c r="B2223" s="5"/>
      <c r="C2223" s="5"/>
    </row>
    <row r="2224" spans="1:3" x14ac:dyDescent="0.25">
      <c r="A2224" s="21"/>
      <c r="B2224" s="5"/>
      <c r="C2224" s="5"/>
    </row>
    <row r="2225" spans="1:3" x14ac:dyDescent="0.25">
      <c r="A2225" s="21"/>
      <c r="B2225" s="5"/>
      <c r="C2225" s="5"/>
    </row>
    <row r="2226" spans="1:3" x14ac:dyDescent="0.25">
      <c r="A2226" s="21"/>
      <c r="B2226" s="5"/>
      <c r="C2226" s="5"/>
    </row>
    <row r="2227" spans="1:3" x14ac:dyDescent="0.25">
      <c r="A2227" s="21"/>
      <c r="B2227" s="5"/>
      <c r="C2227" s="5"/>
    </row>
    <row r="2228" spans="1:3" x14ac:dyDescent="0.25">
      <c r="A2228" s="21"/>
      <c r="B2228" s="5"/>
      <c r="C2228" s="5"/>
    </row>
    <row r="2229" spans="1:3" x14ac:dyDescent="0.25">
      <c r="A2229" s="21"/>
      <c r="B2229" s="5"/>
      <c r="C2229" s="5"/>
    </row>
    <row r="2230" spans="1:3" x14ac:dyDescent="0.25">
      <c r="A2230" s="21"/>
      <c r="B2230" s="5"/>
      <c r="C2230" s="5"/>
    </row>
    <row r="2231" spans="1:3" x14ac:dyDescent="0.25">
      <c r="A2231" s="21"/>
      <c r="B2231" s="5"/>
      <c r="C2231" s="5"/>
    </row>
    <row r="2232" spans="1:3" x14ac:dyDescent="0.25">
      <c r="A2232" s="21"/>
      <c r="B2232" s="5"/>
      <c r="C2232" s="5"/>
    </row>
    <row r="2233" spans="1:3" x14ac:dyDescent="0.25">
      <c r="A2233" s="21"/>
      <c r="B2233" s="5"/>
      <c r="C2233" s="5"/>
    </row>
    <row r="2234" spans="1:3" x14ac:dyDescent="0.25">
      <c r="A2234" s="21"/>
      <c r="B2234" s="5"/>
      <c r="C2234" s="5"/>
    </row>
    <row r="2235" spans="1:3" x14ac:dyDescent="0.25">
      <c r="A2235" s="21"/>
      <c r="B2235" s="5"/>
      <c r="C2235" s="5"/>
    </row>
    <row r="2236" spans="1:3" x14ac:dyDescent="0.25">
      <c r="A2236" s="21"/>
      <c r="B2236" s="5"/>
      <c r="C2236" s="5"/>
    </row>
    <row r="2237" spans="1:3" x14ac:dyDescent="0.25">
      <c r="A2237" s="21"/>
      <c r="B2237" s="5"/>
      <c r="C2237" s="5"/>
    </row>
    <row r="2238" spans="1:3" x14ac:dyDescent="0.25">
      <c r="A2238" s="21"/>
      <c r="B2238" s="5"/>
      <c r="C2238" s="5"/>
    </row>
    <row r="2239" spans="1:3" x14ac:dyDescent="0.25">
      <c r="A2239" s="21"/>
      <c r="B2239" s="5"/>
      <c r="C2239" s="5"/>
    </row>
    <row r="2240" spans="1:3" x14ac:dyDescent="0.25">
      <c r="A2240" s="21"/>
      <c r="B2240" s="5"/>
      <c r="C2240" s="5"/>
    </row>
    <row r="2241" spans="1:3" x14ac:dyDescent="0.25">
      <c r="A2241" s="21"/>
      <c r="B2241" s="5"/>
      <c r="C2241" s="5"/>
    </row>
    <row r="2242" spans="1:3" x14ac:dyDescent="0.25">
      <c r="A2242" s="21"/>
      <c r="B2242" s="5"/>
      <c r="C2242" s="5"/>
    </row>
    <row r="2243" spans="1:3" x14ac:dyDescent="0.25">
      <c r="A2243" s="21"/>
      <c r="B2243" s="5"/>
      <c r="C2243" s="5"/>
    </row>
    <row r="2244" spans="1:3" x14ac:dyDescent="0.25">
      <c r="A2244" s="21"/>
      <c r="B2244" s="5"/>
      <c r="C2244" s="5"/>
    </row>
    <row r="2245" spans="1:3" x14ac:dyDescent="0.25">
      <c r="A2245" s="21"/>
      <c r="B2245" s="5"/>
      <c r="C2245" s="5"/>
    </row>
    <row r="2246" spans="1:3" x14ac:dyDescent="0.25">
      <c r="A2246" s="21"/>
      <c r="B2246" s="5"/>
      <c r="C2246" s="5"/>
    </row>
    <row r="2247" spans="1:3" x14ac:dyDescent="0.25">
      <c r="A2247" s="21"/>
      <c r="B2247" s="5"/>
      <c r="C2247" s="5"/>
    </row>
    <row r="2248" spans="1:3" x14ac:dyDescent="0.25">
      <c r="A2248" s="21"/>
      <c r="B2248" s="5"/>
      <c r="C2248" s="5"/>
    </row>
    <row r="2249" spans="1:3" x14ac:dyDescent="0.25">
      <c r="A2249" s="21"/>
      <c r="B2249" s="5"/>
      <c r="C2249" s="5"/>
    </row>
    <row r="2250" spans="1:3" x14ac:dyDescent="0.25">
      <c r="A2250" s="21"/>
      <c r="B2250" s="5"/>
      <c r="C2250" s="5"/>
    </row>
    <row r="2251" spans="1:3" x14ac:dyDescent="0.25">
      <c r="A2251" s="21"/>
      <c r="B2251" s="5"/>
      <c r="C2251" s="5"/>
    </row>
    <row r="2252" spans="1:3" x14ac:dyDescent="0.25">
      <c r="A2252" s="21"/>
      <c r="B2252" s="5"/>
      <c r="C2252" s="5"/>
    </row>
    <row r="2253" spans="1:3" x14ac:dyDescent="0.25">
      <c r="A2253" s="21"/>
      <c r="B2253" s="5"/>
      <c r="C2253" s="5"/>
    </row>
    <row r="2254" spans="1:3" x14ac:dyDescent="0.25">
      <c r="A2254" s="21"/>
      <c r="B2254" s="5"/>
      <c r="C2254" s="5"/>
    </row>
    <row r="2255" spans="1:3" x14ac:dyDescent="0.25">
      <c r="A2255" s="21"/>
      <c r="B2255" s="5"/>
      <c r="C2255" s="5"/>
    </row>
    <row r="2256" spans="1:3" x14ac:dyDescent="0.25">
      <c r="A2256" s="21"/>
      <c r="B2256" s="5"/>
      <c r="C2256" s="5"/>
    </row>
    <row r="2257" spans="1:3" x14ac:dyDescent="0.25">
      <c r="A2257" s="21"/>
      <c r="B2257" s="5"/>
      <c r="C2257" s="5"/>
    </row>
    <row r="2258" spans="1:3" x14ac:dyDescent="0.25">
      <c r="A2258" s="21"/>
      <c r="B2258" s="5"/>
      <c r="C2258" s="5"/>
    </row>
    <row r="2259" spans="1:3" x14ac:dyDescent="0.25">
      <c r="A2259" s="21"/>
      <c r="B2259" s="5"/>
      <c r="C2259" s="5"/>
    </row>
    <row r="2260" spans="1:3" x14ac:dyDescent="0.25">
      <c r="A2260" s="21"/>
      <c r="B2260" s="5"/>
      <c r="C2260" s="5"/>
    </row>
    <row r="2261" spans="1:3" x14ac:dyDescent="0.25">
      <c r="A2261" s="21"/>
      <c r="B2261" s="5"/>
      <c r="C2261" s="5"/>
    </row>
    <row r="2262" spans="1:3" x14ac:dyDescent="0.25">
      <c r="A2262" s="21"/>
      <c r="B2262" s="5"/>
      <c r="C2262" s="5"/>
    </row>
    <row r="2263" spans="1:3" x14ac:dyDescent="0.25">
      <c r="A2263" s="21"/>
      <c r="B2263" s="5"/>
      <c r="C2263" s="5"/>
    </row>
    <row r="2264" spans="1:3" x14ac:dyDescent="0.25">
      <c r="A2264" s="21"/>
      <c r="B2264" s="5"/>
      <c r="C2264" s="5"/>
    </row>
    <row r="2265" spans="1:3" x14ac:dyDescent="0.25">
      <c r="A2265" s="21"/>
      <c r="B2265" s="5"/>
      <c r="C2265" s="5"/>
    </row>
    <row r="2266" spans="1:3" x14ac:dyDescent="0.25">
      <c r="A2266" s="21"/>
      <c r="B2266" s="5"/>
      <c r="C2266" s="5"/>
    </row>
    <row r="2267" spans="1:3" x14ac:dyDescent="0.25">
      <c r="A2267" s="21"/>
      <c r="B2267" s="5"/>
      <c r="C2267" s="5"/>
    </row>
    <row r="2268" spans="1:3" x14ac:dyDescent="0.25">
      <c r="A2268" s="21"/>
      <c r="B2268" s="5"/>
      <c r="C2268" s="5"/>
    </row>
    <row r="2269" spans="1:3" x14ac:dyDescent="0.25">
      <c r="A2269" s="21"/>
      <c r="B2269" s="5"/>
      <c r="C2269" s="5"/>
    </row>
    <row r="2270" spans="1:3" x14ac:dyDescent="0.25">
      <c r="A2270" s="21"/>
      <c r="B2270" s="5"/>
      <c r="C2270" s="5"/>
    </row>
    <row r="2271" spans="1:3" x14ac:dyDescent="0.25">
      <c r="A2271" s="21"/>
      <c r="B2271" s="5"/>
      <c r="C2271" s="5"/>
    </row>
    <row r="2272" spans="1:3" x14ac:dyDescent="0.25">
      <c r="A2272" s="21"/>
      <c r="B2272" s="5"/>
      <c r="C2272" s="5"/>
    </row>
    <row r="2273" spans="1:3" x14ac:dyDescent="0.25">
      <c r="A2273" s="21"/>
      <c r="B2273" s="5"/>
      <c r="C2273" s="5"/>
    </row>
    <row r="2274" spans="1:3" x14ac:dyDescent="0.25">
      <c r="A2274" s="21"/>
      <c r="B2274" s="5"/>
      <c r="C2274" s="5"/>
    </row>
    <row r="2275" spans="1:3" x14ac:dyDescent="0.25">
      <c r="A2275" s="21"/>
      <c r="B2275" s="5"/>
      <c r="C2275" s="5"/>
    </row>
    <row r="2276" spans="1:3" x14ac:dyDescent="0.25">
      <c r="A2276" s="21"/>
      <c r="B2276" s="5"/>
      <c r="C2276" s="5"/>
    </row>
    <row r="2277" spans="1:3" x14ac:dyDescent="0.25">
      <c r="A2277" s="21"/>
      <c r="B2277" s="5"/>
      <c r="C2277" s="5"/>
    </row>
    <row r="2278" spans="1:3" x14ac:dyDescent="0.25">
      <c r="A2278" s="21"/>
      <c r="B2278" s="5"/>
      <c r="C2278" s="5"/>
    </row>
    <row r="2279" spans="1:3" x14ac:dyDescent="0.25">
      <c r="A2279" s="21"/>
      <c r="B2279" s="5"/>
      <c r="C2279" s="5"/>
    </row>
    <row r="2280" spans="1:3" x14ac:dyDescent="0.25">
      <c r="A2280" s="21"/>
      <c r="B2280" s="5"/>
      <c r="C2280" s="5"/>
    </row>
    <row r="2281" spans="1:3" x14ac:dyDescent="0.25">
      <c r="A2281" s="21"/>
      <c r="B2281" s="5"/>
      <c r="C2281" s="5"/>
    </row>
    <row r="2282" spans="1:3" x14ac:dyDescent="0.25">
      <c r="A2282" s="21"/>
      <c r="B2282" s="5"/>
      <c r="C2282" s="5"/>
    </row>
    <row r="2283" spans="1:3" x14ac:dyDescent="0.25">
      <c r="A2283" s="21"/>
      <c r="B2283" s="5"/>
      <c r="C2283" s="5"/>
    </row>
    <row r="2284" spans="1:3" x14ac:dyDescent="0.25">
      <c r="A2284" s="21"/>
      <c r="B2284" s="5"/>
      <c r="C2284" s="5"/>
    </row>
    <row r="2285" spans="1:3" x14ac:dyDescent="0.25">
      <c r="A2285" s="21"/>
      <c r="B2285" s="5"/>
      <c r="C2285" s="5"/>
    </row>
    <row r="2286" spans="1:3" x14ac:dyDescent="0.25">
      <c r="A2286" s="21"/>
      <c r="B2286" s="5"/>
      <c r="C2286" s="5"/>
    </row>
    <row r="2287" spans="1:3" x14ac:dyDescent="0.25">
      <c r="A2287" s="21"/>
      <c r="B2287" s="5"/>
      <c r="C2287" s="5"/>
    </row>
    <row r="2288" spans="1:3" x14ac:dyDescent="0.25">
      <c r="A2288" s="21"/>
      <c r="B2288" s="5"/>
      <c r="C2288" s="5"/>
    </row>
    <row r="2289" spans="1:3" x14ac:dyDescent="0.25">
      <c r="A2289" s="21"/>
      <c r="B2289" s="5"/>
      <c r="C2289" s="5"/>
    </row>
    <row r="2290" spans="1:3" x14ac:dyDescent="0.25">
      <c r="A2290" s="21"/>
      <c r="B2290" s="5"/>
      <c r="C2290" s="5"/>
    </row>
    <row r="2291" spans="1:3" x14ac:dyDescent="0.25">
      <c r="A2291" s="21"/>
      <c r="B2291" s="5"/>
      <c r="C2291" s="5"/>
    </row>
    <row r="2292" spans="1:3" x14ac:dyDescent="0.25">
      <c r="A2292" s="21"/>
      <c r="B2292" s="5"/>
      <c r="C2292" s="5"/>
    </row>
    <row r="2293" spans="1:3" x14ac:dyDescent="0.25">
      <c r="A2293" s="21"/>
      <c r="B2293" s="5"/>
      <c r="C2293" s="5"/>
    </row>
    <row r="2294" spans="1:3" x14ac:dyDescent="0.25">
      <c r="A2294" s="21"/>
      <c r="B2294" s="5"/>
      <c r="C2294" s="5"/>
    </row>
    <row r="2295" spans="1:3" x14ac:dyDescent="0.25">
      <c r="A2295" s="21"/>
      <c r="B2295" s="5"/>
      <c r="C2295" s="5"/>
    </row>
    <row r="2296" spans="1:3" x14ac:dyDescent="0.25">
      <c r="A2296" s="21"/>
      <c r="B2296" s="5"/>
      <c r="C2296" s="5"/>
    </row>
    <row r="2297" spans="1:3" x14ac:dyDescent="0.25">
      <c r="A2297" s="21"/>
      <c r="B2297" s="5"/>
      <c r="C2297" s="5"/>
    </row>
    <row r="2298" spans="1:3" x14ac:dyDescent="0.25">
      <c r="A2298" s="21"/>
      <c r="B2298" s="5"/>
      <c r="C2298" s="5"/>
    </row>
    <row r="2299" spans="1:3" x14ac:dyDescent="0.25">
      <c r="A2299" s="21"/>
      <c r="B2299" s="5"/>
      <c r="C2299" s="5"/>
    </row>
    <row r="2300" spans="1:3" x14ac:dyDescent="0.25">
      <c r="A2300" s="21"/>
      <c r="B2300" s="5"/>
      <c r="C2300" s="5"/>
    </row>
    <row r="2301" spans="1:3" x14ac:dyDescent="0.25">
      <c r="A2301" s="21"/>
      <c r="B2301" s="5"/>
      <c r="C2301" s="5"/>
    </row>
    <row r="2302" spans="1:3" x14ac:dyDescent="0.25">
      <c r="A2302" s="21"/>
      <c r="B2302" s="5"/>
      <c r="C2302" s="5"/>
    </row>
    <row r="2303" spans="1:3" x14ac:dyDescent="0.25">
      <c r="A2303" s="21"/>
      <c r="B2303" s="5"/>
      <c r="C2303" s="5"/>
    </row>
    <row r="2304" spans="1:3" x14ac:dyDescent="0.25">
      <c r="A2304" s="21"/>
      <c r="B2304" s="5"/>
      <c r="C2304" s="5"/>
    </row>
    <row r="2305" spans="1:3" x14ac:dyDescent="0.25">
      <c r="A2305" s="21"/>
      <c r="B2305" s="5"/>
      <c r="C2305" s="5"/>
    </row>
    <row r="2306" spans="1:3" x14ac:dyDescent="0.25">
      <c r="A2306" s="21"/>
      <c r="B2306" s="5"/>
      <c r="C2306" s="5"/>
    </row>
    <row r="2307" spans="1:3" x14ac:dyDescent="0.25">
      <c r="A2307" s="21"/>
      <c r="B2307" s="5"/>
      <c r="C2307" s="5"/>
    </row>
    <row r="2308" spans="1:3" x14ac:dyDescent="0.25">
      <c r="A2308" s="21"/>
      <c r="B2308" s="5"/>
      <c r="C2308" s="5"/>
    </row>
    <row r="2309" spans="1:3" x14ac:dyDescent="0.25">
      <c r="A2309" s="21"/>
      <c r="B2309" s="5"/>
      <c r="C2309" s="5"/>
    </row>
    <row r="2310" spans="1:3" x14ac:dyDescent="0.25">
      <c r="A2310" s="21"/>
      <c r="B2310" s="5"/>
      <c r="C2310" s="5"/>
    </row>
    <row r="2311" spans="1:3" x14ac:dyDescent="0.25">
      <c r="A2311" s="21"/>
      <c r="B2311" s="5"/>
      <c r="C2311" s="5"/>
    </row>
    <row r="2312" spans="1:3" x14ac:dyDescent="0.25">
      <c r="A2312" s="21"/>
      <c r="B2312" s="5"/>
      <c r="C2312" s="5"/>
    </row>
    <row r="2313" spans="1:3" x14ac:dyDescent="0.25">
      <c r="A2313" s="21"/>
      <c r="B2313" s="5"/>
      <c r="C2313" s="5"/>
    </row>
    <row r="2314" spans="1:3" x14ac:dyDescent="0.25">
      <c r="A2314" s="21"/>
      <c r="B2314" s="5"/>
      <c r="C2314" s="5"/>
    </row>
    <row r="2315" spans="1:3" x14ac:dyDescent="0.25">
      <c r="A2315" s="21"/>
      <c r="B2315" s="5"/>
      <c r="C2315" s="5"/>
    </row>
    <row r="2316" spans="1:3" x14ac:dyDescent="0.25">
      <c r="A2316" s="21"/>
      <c r="B2316" s="5"/>
      <c r="C2316" s="5"/>
    </row>
    <row r="2317" spans="1:3" x14ac:dyDescent="0.25">
      <c r="A2317" s="21"/>
      <c r="B2317" s="5"/>
      <c r="C2317" s="5"/>
    </row>
    <row r="2318" spans="1:3" x14ac:dyDescent="0.25">
      <c r="A2318" s="21"/>
      <c r="B2318" s="5"/>
      <c r="C2318" s="5"/>
    </row>
    <row r="2319" spans="1:3" x14ac:dyDescent="0.25">
      <c r="A2319" s="21"/>
      <c r="B2319" s="5"/>
      <c r="C2319" s="5"/>
    </row>
    <row r="2320" spans="1:3" x14ac:dyDescent="0.25">
      <c r="A2320" s="21"/>
      <c r="B2320" s="5"/>
      <c r="C2320" s="5"/>
    </row>
    <row r="2321" spans="1:3" x14ac:dyDescent="0.25">
      <c r="A2321" s="21"/>
      <c r="B2321" s="5"/>
      <c r="C2321" s="5"/>
    </row>
    <row r="2322" spans="1:3" x14ac:dyDescent="0.25">
      <c r="A2322" s="21"/>
      <c r="B2322" s="5"/>
      <c r="C2322" s="5"/>
    </row>
    <row r="2323" spans="1:3" x14ac:dyDescent="0.25">
      <c r="A2323" s="21"/>
      <c r="B2323" s="5"/>
      <c r="C2323" s="5"/>
    </row>
    <row r="2324" spans="1:3" x14ac:dyDescent="0.25">
      <c r="A2324" s="21"/>
      <c r="B2324" s="5"/>
      <c r="C2324" s="5"/>
    </row>
    <row r="2325" spans="1:3" x14ac:dyDescent="0.25">
      <c r="A2325" s="21"/>
      <c r="B2325" s="5"/>
      <c r="C2325" s="5"/>
    </row>
    <row r="2326" spans="1:3" x14ac:dyDescent="0.25">
      <c r="A2326" s="21"/>
      <c r="B2326" s="5"/>
      <c r="C2326" s="5"/>
    </row>
    <row r="2327" spans="1:3" x14ac:dyDescent="0.25">
      <c r="A2327" s="21"/>
      <c r="B2327" s="5"/>
      <c r="C2327" s="5"/>
    </row>
    <row r="2328" spans="1:3" x14ac:dyDescent="0.25">
      <c r="A2328" s="21"/>
      <c r="B2328" s="5"/>
      <c r="C2328" s="5"/>
    </row>
    <row r="2329" spans="1:3" x14ac:dyDescent="0.25">
      <c r="A2329" s="21"/>
      <c r="B2329" s="5"/>
      <c r="C2329" s="5"/>
    </row>
    <row r="2330" spans="1:3" x14ac:dyDescent="0.25">
      <c r="A2330" s="21"/>
      <c r="B2330" s="5"/>
      <c r="C2330" s="5"/>
    </row>
    <row r="2331" spans="1:3" x14ac:dyDescent="0.25">
      <c r="A2331" s="21"/>
      <c r="B2331" s="5"/>
      <c r="C2331" s="5"/>
    </row>
    <row r="2332" spans="1:3" x14ac:dyDescent="0.25">
      <c r="A2332" s="21"/>
      <c r="B2332" s="5"/>
      <c r="C2332" s="5"/>
    </row>
    <row r="2333" spans="1:3" x14ac:dyDescent="0.25">
      <c r="A2333" s="21"/>
      <c r="B2333" s="5"/>
      <c r="C2333" s="5"/>
    </row>
    <row r="2334" spans="1:3" x14ac:dyDescent="0.25">
      <c r="A2334" s="21"/>
      <c r="B2334" s="5"/>
      <c r="C2334" s="5"/>
    </row>
    <row r="2335" spans="1:3" x14ac:dyDescent="0.25">
      <c r="A2335" s="21"/>
      <c r="B2335" s="5"/>
      <c r="C2335" s="5"/>
    </row>
    <row r="2336" spans="1:3" x14ac:dyDescent="0.25">
      <c r="A2336" s="21"/>
      <c r="B2336" s="5"/>
      <c r="C2336" s="5"/>
    </row>
    <row r="2337" spans="1:3" x14ac:dyDescent="0.25">
      <c r="A2337" s="21"/>
      <c r="B2337" s="5"/>
      <c r="C2337" s="5"/>
    </row>
    <row r="2338" spans="1:3" x14ac:dyDescent="0.25">
      <c r="A2338" s="21"/>
      <c r="B2338" s="5"/>
      <c r="C2338" s="5"/>
    </row>
    <row r="2339" spans="1:3" x14ac:dyDescent="0.25">
      <c r="A2339" s="21"/>
      <c r="B2339" s="5"/>
      <c r="C2339" s="5"/>
    </row>
    <row r="2340" spans="1:3" x14ac:dyDescent="0.25">
      <c r="A2340" s="21"/>
      <c r="B2340" s="5"/>
      <c r="C2340" s="5"/>
    </row>
    <row r="2341" spans="1:3" x14ac:dyDescent="0.25">
      <c r="A2341" s="21"/>
      <c r="B2341" s="5"/>
      <c r="C2341" s="5"/>
    </row>
    <row r="2342" spans="1:3" x14ac:dyDescent="0.25">
      <c r="A2342" s="21"/>
      <c r="B2342" s="5"/>
      <c r="C2342" s="5"/>
    </row>
    <row r="2343" spans="1:3" x14ac:dyDescent="0.25">
      <c r="A2343" s="21"/>
      <c r="B2343" s="5"/>
      <c r="C2343" s="5"/>
    </row>
    <row r="2344" spans="1:3" x14ac:dyDescent="0.25">
      <c r="A2344" s="21"/>
      <c r="B2344" s="5"/>
      <c r="C2344" s="5"/>
    </row>
    <row r="2345" spans="1:3" x14ac:dyDescent="0.25">
      <c r="A2345" s="21"/>
      <c r="B2345" s="5"/>
      <c r="C2345" s="5"/>
    </row>
    <row r="2346" spans="1:3" x14ac:dyDescent="0.25">
      <c r="A2346" s="21"/>
      <c r="B2346" s="5"/>
      <c r="C2346" s="5"/>
    </row>
    <row r="2347" spans="1:3" x14ac:dyDescent="0.25">
      <c r="A2347" s="21"/>
      <c r="B2347" s="5"/>
      <c r="C2347" s="5"/>
    </row>
    <row r="2348" spans="1:3" x14ac:dyDescent="0.25">
      <c r="A2348" s="21"/>
      <c r="B2348" s="5"/>
      <c r="C2348" s="5"/>
    </row>
    <row r="2349" spans="1:3" x14ac:dyDescent="0.25">
      <c r="A2349" s="21"/>
      <c r="B2349" s="5"/>
      <c r="C2349" s="5"/>
    </row>
    <row r="2350" spans="1:3" x14ac:dyDescent="0.25">
      <c r="A2350" s="21"/>
      <c r="B2350" s="5"/>
      <c r="C2350" s="5"/>
    </row>
    <row r="2351" spans="1:3" x14ac:dyDescent="0.25">
      <c r="A2351" s="21"/>
      <c r="B2351" s="5"/>
      <c r="C2351" s="5"/>
    </row>
    <row r="2352" spans="1:3" x14ac:dyDescent="0.25">
      <c r="A2352" s="21"/>
      <c r="B2352" s="5"/>
      <c r="C2352" s="5"/>
    </row>
    <row r="2353" spans="1:3" x14ac:dyDescent="0.25">
      <c r="A2353" s="21"/>
      <c r="B2353" s="5"/>
      <c r="C2353" s="5"/>
    </row>
    <row r="2354" spans="1:3" x14ac:dyDescent="0.25">
      <c r="A2354" s="21"/>
      <c r="B2354" s="5"/>
      <c r="C2354" s="5"/>
    </row>
    <row r="2355" spans="1:3" x14ac:dyDescent="0.25">
      <c r="A2355" s="21"/>
      <c r="B2355" s="5"/>
      <c r="C2355" s="5"/>
    </row>
    <row r="2356" spans="1:3" x14ac:dyDescent="0.25">
      <c r="A2356" s="21"/>
      <c r="B2356" s="5"/>
      <c r="C2356" s="5"/>
    </row>
    <row r="2357" spans="1:3" x14ac:dyDescent="0.25">
      <c r="A2357" s="21"/>
      <c r="B2357" s="5"/>
      <c r="C2357" s="5"/>
    </row>
    <row r="2358" spans="1:3" x14ac:dyDescent="0.25">
      <c r="A2358" s="21"/>
      <c r="B2358" s="5"/>
      <c r="C2358" s="5"/>
    </row>
    <row r="2359" spans="1:3" x14ac:dyDescent="0.25">
      <c r="A2359" s="21"/>
      <c r="B2359" s="5"/>
      <c r="C2359" s="5"/>
    </row>
    <row r="2360" spans="1:3" x14ac:dyDescent="0.25">
      <c r="A2360" s="21"/>
      <c r="B2360" s="5"/>
      <c r="C2360" s="5"/>
    </row>
    <row r="2361" spans="1:3" x14ac:dyDescent="0.25">
      <c r="A2361" s="21"/>
      <c r="B2361" s="5"/>
      <c r="C2361" s="5"/>
    </row>
    <row r="2362" spans="1:3" x14ac:dyDescent="0.25">
      <c r="A2362" s="21"/>
      <c r="B2362" s="5"/>
      <c r="C2362" s="5"/>
    </row>
    <row r="2363" spans="1:3" x14ac:dyDescent="0.25">
      <c r="A2363" s="21"/>
      <c r="B2363" s="5"/>
      <c r="C2363" s="5"/>
    </row>
    <row r="2364" spans="1:3" x14ac:dyDescent="0.25">
      <c r="A2364" s="21"/>
      <c r="B2364" s="5"/>
      <c r="C2364" s="5"/>
    </row>
    <row r="2365" spans="1:3" x14ac:dyDescent="0.25">
      <c r="A2365" s="21"/>
      <c r="B2365" s="5"/>
      <c r="C2365" s="5"/>
    </row>
    <row r="2366" spans="1:3" x14ac:dyDescent="0.25">
      <c r="A2366" s="21"/>
      <c r="B2366" s="5"/>
      <c r="C2366" s="5"/>
    </row>
    <row r="2367" spans="1:3" x14ac:dyDescent="0.25">
      <c r="A2367" s="21"/>
      <c r="B2367" s="5"/>
      <c r="C2367" s="5"/>
    </row>
    <row r="2368" spans="1:3" x14ac:dyDescent="0.25">
      <c r="A2368" s="21"/>
      <c r="B2368" s="5"/>
      <c r="C2368" s="5"/>
    </row>
    <row r="2369" spans="1:3" x14ac:dyDescent="0.25">
      <c r="A2369" s="21"/>
      <c r="B2369" s="5"/>
      <c r="C2369" s="5"/>
    </row>
    <row r="2370" spans="1:3" x14ac:dyDescent="0.25">
      <c r="A2370" s="21"/>
      <c r="B2370" s="5"/>
      <c r="C2370" s="5"/>
    </row>
    <row r="2371" spans="1:3" x14ac:dyDescent="0.25">
      <c r="A2371" s="21"/>
      <c r="B2371" s="5"/>
      <c r="C2371" s="5"/>
    </row>
    <row r="2372" spans="1:3" x14ac:dyDescent="0.25">
      <c r="A2372" s="21"/>
      <c r="B2372" s="5"/>
      <c r="C2372" s="5"/>
    </row>
    <row r="2373" spans="1:3" x14ac:dyDescent="0.25">
      <c r="A2373" s="21"/>
      <c r="B2373" s="5"/>
      <c r="C2373" s="5"/>
    </row>
    <row r="2374" spans="1:3" x14ac:dyDescent="0.25">
      <c r="A2374" s="21"/>
      <c r="B2374" s="5"/>
      <c r="C2374" s="5"/>
    </row>
    <row r="2375" spans="1:3" x14ac:dyDescent="0.25">
      <c r="A2375" s="21"/>
      <c r="B2375" s="5"/>
      <c r="C2375" s="5"/>
    </row>
    <row r="2376" spans="1:3" x14ac:dyDescent="0.25">
      <c r="A2376" s="21"/>
      <c r="B2376" s="5"/>
      <c r="C2376" s="5"/>
    </row>
    <row r="2377" spans="1:3" x14ac:dyDescent="0.25">
      <c r="A2377" s="21"/>
      <c r="B2377" s="5"/>
      <c r="C2377" s="5"/>
    </row>
    <row r="2378" spans="1:3" x14ac:dyDescent="0.25">
      <c r="A2378" s="21"/>
      <c r="B2378" s="5"/>
      <c r="C2378" s="5"/>
    </row>
    <row r="2379" spans="1:3" x14ac:dyDescent="0.25">
      <c r="A2379" s="21"/>
      <c r="B2379" s="5"/>
      <c r="C2379" s="5"/>
    </row>
    <row r="2380" spans="1:3" x14ac:dyDescent="0.25">
      <c r="A2380" s="21"/>
      <c r="B2380" s="5"/>
      <c r="C2380" s="5"/>
    </row>
    <row r="2381" spans="1:3" x14ac:dyDescent="0.25">
      <c r="A2381" s="21"/>
      <c r="B2381" s="5"/>
      <c r="C2381" s="5"/>
    </row>
    <row r="2382" spans="1:3" x14ac:dyDescent="0.25">
      <c r="A2382" s="21"/>
      <c r="B2382" s="5"/>
      <c r="C2382" s="5"/>
    </row>
    <row r="2383" spans="1:3" x14ac:dyDescent="0.25">
      <c r="A2383" s="21"/>
      <c r="B2383" s="5"/>
      <c r="C2383" s="5"/>
    </row>
    <row r="2384" spans="1:3" x14ac:dyDescent="0.25">
      <c r="A2384" s="21"/>
      <c r="B2384" s="5"/>
      <c r="C2384" s="5"/>
    </row>
    <row r="2385" spans="1:3" x14ac:dyDescent="0.25">
      <c r="A2385" s="21"/>
      <c r="B2385" s="5"/>
      <c r="C2385" s="5"/>
    </row>
    <row r="2386" spans="1:3" x14ac:dyDescent="0.25">
      <c r="A2386" s="21"/>
      <c r="B2386" s="5"/>
      <c r="C2386" s="5"/>
    </row>
    <row r="2387" spans="1:3" x14ac:dyDescent="0.25">
      <c r="A2387" s="21"/>
      <c r="B2387" s="5"/>
      <c r="C2387" s="5"/>
    </row>
    <row r="2388" spans="1:3" x14ac:dyDescent="0.25">
      <c r="A2388" s="21"/>
      <c r="B2388" s="5"/>
      <c r="C2388" s="5"/>
    </row>
    <row r="2389" spans="1:3" x14ac:dyDescent="0.25">
      <c r="A2389" s="21"/>
      <c r="B2389" s="5"/>
      <c r="C2389" s="5"/>
    </row>
    <row r="2390" spans="1:3" x14ac:dyDescent="0.25">
      <c r="A2390" s="21"/>
      <c r="B2390" s="5"/>
      <c r="C2390" s="5"/>
    </row>
    <row r="2391" spans="1:3" x14ac:dyDescent="0.25">
      <c r="A2391" s="21"/>
      <c r="B2391" s="5"/>
      <c r="C2391" s="5"/>
    </row>
    <row r="2392" spans="1:3" x14ac:dyDescent="0.25">
      <c r="A2392" s="21"/>
      <c r="B2392" s="5"/>
      <c r="C2392" s="5"/>
    </row>
    <row r="2393" spans="1:3" x14ac:dyDescent="0.25">
      <c r="A2393" s="21"/>
      <c r="B2393" s="5"/>
      <c r="C2393" s="5"/>
    </row>
    <row r="2394" spans="1:3" x14ac:dyDescent="0.25">
      <c r="A2394" s="21"/>
      <c r="B2394" s="5"/>
      <c r="C2394" s="5"/>
    </row>
    <row r="2395" spans="1:3" x14ac:dyDescent="0.25">
      <c r="A2395" s="21"/>
      <c r="B2395" s="5"/>
      <c r="C2395" s="5"/>
    </row>
    <row r="2396" spans="1:3" x14ac:dyDescent="0.25">
      <c r="A2396" s="21"/>
      <c r="B2396" s="5"/>
      <c r="C2396" s="5"/>
    </row>
    <row r="2397" spans="1:3" x14ac:dyDescent="0.25">
      <c r="A2397" s="21"/>
      <c r="B2397" s="5"/>
      <c r="C2397" s="5"/>
    </row>
    <row r="2398" spans="1:3" x14ac:dyDescent="0.25">
      <c r="A2398" s="21"/>
      <c r="B2398" s="5"/>
      <c r="C2398" s="5"/>
    </row>
    <row r="2399" spans="1:3" x14ac:dyDescent="0.25">
      <c r="A2399" s="21"/>
      <c r="B2399" s="5"/>
      <c r="C2399" s="5"/>
    </row>
    <row r="2400" spans="1:3" x14ac:dyDescent="0.25">
      <c r="A2400" s="21"/>
      <c r="B2400" s="5"/>
      <c r="C2400" s="5"/>
    </row>
    <row r="2401" spans="1:3" x14ac:dyDescent="0.25">
      <c r="A2401" s="21"/>
      <c r="B2401" s="5"/>
      <c r="C2401" s="5"/>
    </row>
    <row r="2402" spans="1:3" x14ac:dyDescent="0.25">
      <c r="A2402" s="21"/>
      <c r="B2402" s="5"/>
      <c r="C2402" s="5"/>
    </row>
    <row r="2403" spans="1:3" x14ac:dyDescent="0.25">
      <c r="A2403" s="21"/>
      <c r="B2403" s="5"/>
      <c r="C2403" s="5"/>
    </row>
    <row r="2404" spans="1:3" x14ac:dyDescent="0.25">
      <c r="A2404" s="21"/>
      <c r="B2404" s="5"/>
      <c r="C2404" s="5"/>
    </row>
    <row r="2405" spans="1:3" x14ac:dyDescent="0.25">
      <c r="A2405" s="21"/>
      <c r="B2405" s="5"/>
      <c r="C2405" s="5"/>
    </row>
    <row r="2406" spans="1:3" x14ac:dyDescent="0.25">
      <c r="A2406" s="21"/>
      <c r="B2406" s="5"/>
      <c r="C2406" s="5"/>
    </row>
    <row r="2407" spans="1:3" x14ac:dyDescent="0.25">
      <c r="A2407" s="21"/>
      <c r="B2407" s="5"/>
      <c r="C2407" s="5"/>
    </row>
    <row r="2408" spans="1:3" x14ac:dyDescent="0.25">
      <c r="A2408" s="21"/>
      <c r="B2408" s="5"/>
      <c r="C2408" s="5"/>
    </row>
    <row r="2409" spans="1:3" x14ac:dyDescent="0.25">
      <c r="A2409" s="21"/>
      <c r="B2409" s="5"/>
      <c r="C2409" s="5"/>
    </row>
    <row r="2410" spans="1:3" x14ac:dyDescent="0.25">
      <c r="A2410" s="21"/>
      <c r="B2410" s="5"/>
      <c r="C2410" s="5"/>
    </row>
    <row r="2411" spans="1:3" x14ac:dyDescent="0.25">
      <c r="A2411" s="21"/>
      <c r="B2411" s="5"/>
      <c r="C2411" s="5"/>
    </row>
    <row r="2412" spans="1:3" x14ac:dyDescent="0.25">
      <c r="A2412" s="21"/>
      <c r="B2412" s="5"/>
      <c r="C2412" s="5"/>
    </row>
    <row r="2413" spans="1:3" x14ac:dyDescent="0.25">
      <c r="A2413" s="21"/>
      <c r="B2413" s="5"/>
      <c r="C2413" s="5"/>
    </row>
    <row r="2414" spans="1:3" x14ac:dyDescent="0.25">
      <c r="A2414" s="21"/>
      <c r="B2414" s="5"/>
      <c r="C2414" s="5"/>
    </row>
    <row r="2415" spans="1:3" x14ac:dyDescent="0.25">
      <c r="A2415" s="21"/>
      <c r="B2415" s="5"/>
      <c r="C2415" s="5"/>
    </row>
    <row r="2416" spans="1:3" x14ac:dyDescent="0.25">
      <c r="A2416" s="21"/>
      <c r="B2416" s="5"/>
      <c r="C2416" s="5"/>
    </row>
    <row r="2417" spans="1:3" x14ac:dyDescent="0.25">
      <c r="A2417" s="21"/>
      <c r="B2417" s="5"/>
      <c r="C2417" s="5"/>
    </row>
    <row r="2418" spans="1:3" x14ac:dyDescent="0.25">
      <c r="A2418" s="21"/>
      <c r="B2418" s="5"/>
      <c r="C2418" s="5"/>
    </row>
    <row r="2419" spans="1:3" x14ac:dyDescent="0.25">
      <c r="A2419" s="21"/>
      <c r="B2419" s="5"/>
      <c r="C2419" s="5"/>
    </row>
    <row r="2420" spans="1:3" x14ac:dyDescent="0.25">
      <c r="A2420" s="21"/>
      <c r="B2420" s="5"/>
      <c r="C2420" s="5"/>
    </row>
    <row r="2421" spans="1:3" x14ac:dyDescent="0.25">
      <c r="A2421" s="21"/>
      <c r="B2421" s="5"/>
      <c r="C2421" s="5"/>
    </row>
    <row r="2422" spans="1:3" x14ac:dyDescent="0.25">
      <c r="A2422" s="21"/>
      <c r="B2422" s="5"/>
      <c r="C2422" s="5"/>
    </row>
    <row r="2423" spans="1:3" x14ac:dyDescent="0.25">
      <c r="A2423" s="21"/>
      <c r="B2423" s="5"/>
      <c r="C2423" s="5"/>
    </row>
    <row r="2424" spans="1:3" x14ac:dyDescent="0.25">
      <c r="A2424" s="21"/>
      <c r="B2424" s="5"/>
      <c r="C2424" s="5"/>
    </row>
    <row r="2425" spans="1:3" x14ac:dyDescent="0.25">
      <c r="A2425" s="21"/>
      <c r="B2425" s="5"/>
      <c r="C2425" s="5"/>
    </row>
    <row r="2426" spans="1:3" x14ac:dyDescent="0.25">
      <c r="A2426" s="21"/>
      <c r="B2426" s="5"/>
      <c r="C2426" s="5"/>
    </row>
    <row r="2427" spans="1:3" x14ac:dyDescent="0.25">
      <c r="A2427" s="21"/>
      <c r="B2427" s="5"/>
      <c r="C2427" s="5"/>
    </row>
    <row r="2428" spans="1:3" x14ac:dyDescent="0.25">
      <c r="A2428" s="21"/>
      <c r="B2428" s="5"/>
      <c r="C2428" s="5"/>
    </row>
    <row r="2429" spans="1:3" x14ac:dyDescent="0.25">
      <c r="A2429" s="21"/>
      <c r="B2429" s="5"/>
      <c r="C2429" s="5"/>
    </row>
    <row r="2430" spans="1:3" x14ac:dyDescent="0.25">
      <c r="A2430" s="21"/>
      <c r="B2430" s="5"/>
      <c r="C2430" s="5"/>
    </row>
    <row r="2431" spans="1:3" x14ac:dyDescent="0.25">
      <c r="A2431" s="21"/>
      <c r="B2431" s="5"/>
      <c r="C2431" s="5"/>
    </row>
    <row r="2432" spans="1:3" x14ac:dyDescent="0.25">
      <c r="A2432" s="21"/>
      <c r="B2432" s="5"/>
      <c r="C2432" s="5"/>
    </row>
    <row r="2433" spans="1:3" x14ac:dyDescent="0.25">
      <c r="A2433" s="21"/>
      <c r="B2433" s="5"/>
      <c r="C2433" s="5"/>
    </row>
    <row r="2434" spans="1:3" x14ac:dyDescent="0.25">
      <c r="A2434" s="21"/>
      <c r="B2434" s="5"/>
      <c r="C2434" s="5"/>
    </row>
    <row r="2435" spans="1:3" x14ac:dyDescent="0.25">
      <c r="A2435" s="21"/>
      <c r="B2435" s="5"/>
      <c r="C2435" s="5"/>
    </row>
    <row r="2436" spans="1:3" x14ac:dyDescent="0.25">
      <c r="A2436" s="21"/>
      <c r="B2436" s="5"/>
      <c r="C2436" s="5"/>
    </row>
    <row r="2437" spans="1:3" x14ac:dyDescent="0.25">
      <c r="A2437" s="21"/>
      <c r="B2437" s="5"/>
      <c r="C2437" s="5"/>
    </row>
    <row r="2438" spans="1:3" x14ac:dyDescent="0.25">
      <c r="A2438" s="21"/>
      <c r="B2438" s="5"/>
      <c r="C2438" s="5"/>
    </row>
    <row r="2439" spans="1:3" x14ac:dyDescent="0.25">
      <c r="A2439" s="21"/>
      <c r="B2439" s="5"/>
      <c r="C2439" s="5"/>
    </row>
    <row r="2440" spans="1:3" x14ac:dyDescent="0.25">
      <c r="A2440" s="21"/>
      <c r="B2440" s="5"/>
      <c r="C2440" s="5"/>
    </row>
    <row r="2441" spans="1:3" x14ac:dyDescent="0.25">
      <c r="A2441" s="21"/>
      <c r="B2441" s="5"/>
      <c r="C2441" s="5"/>
    </row>
    <row r="2442" spans="1:3" x14ac:dyDescent="0.25">
      <c r="A2442" s="21"/>
      <c r="B2442" s="5"/>
      <c r="C2442" s="5"/>
    </row>
    <row r="2443" spans="1:3" x14ac:dyDescent="0.25">
      <c r="A2443" s="21"/>
      <c r="B2443" s="5"/>
      <c r="C2443" s="5"/>
    </row>
    <row r="2444" spans="1:3" x14ac:dyDescent="0.25">
      <c r="A2444" s="21"/>
      <c r="B2444" s="5"/>
      <c r="C2444" s="5"/>
    </row>
    <row r="2445" spans="1:3" x14ac:dyDescent="0.25">
      <c r="A2445" s="21"/>
      <c r="B2445" s="5"/>
      <c r="C2445" s="5"/>
    </row>
    <row r="2446" spans="1:3" x14ac:dyDescent="0.25">
      <c r="A2446" s="21"/>
      <c r="B2446" s="5"/>
      <c r="C2446" s="5"/>
    </row>
    <row r="2447" spans="1:3" x14ac:dyDescent="0.25">
      <c r="A2447" s="21"/>
      <c r="B2447" s="5"/>
      <c r="C2447" s="5"/>
    </row>
    <row r="2448" spans="1:3" x14ac:dyDescent="0.25">
      <c r="A2448" s="21"/>
      <c r="B2448" s="5"/>
      <c r="C2448" s="5"/>
    </row>
    <row r="2449" spans="1:3" x14ac:dyDescent="0.25">
      <c r="A2449" s="21"/>
      <c r="B2449" s="5"/>
      <c r="C2449" s="5"/>
    </row>
    <row r="2450" spans="1:3" x14ac:dyDescent="0.25">
      <c r="A2450" s="21"/>
      <c r="B2450" s="5"/>
      <c r="C2450" s="5"/>
    </row>
    <row r="2451" spans="1:3" x14ac:dyDescent="0.25">
      <c r="A2451" s="21"/>
      <c r="B2451" s="5"/>
      <c r="C2451" s="5"/>
    </row>
    <row r="2452" spans="1:3" x14ac:dyDescent="0.25">
      <c r="A2452" s="21"/>
      <c r="B2452" s="5"/>
      <c r="C2452" s="5"/>
    </row>
    <row r="2453" spans="1:3" x14ac:dyDescent="0.25">
      <c r="A2453" s="21"/>
      <c r="B2453" s="5"/>
      <c r="C2453" s="5"/>
    </row>
    <row r="2454" spans="1:3" x14ac:dyDescent="0.25">
      <c r="A2454" s="21"/>
      <c r="B2454" s="5"/>
      <c r="C2454" s="5"/>
    </row>
    <row r="2455" spans="1:3" x14ac:dyDescent="0.25">
      <c r="A2455" s="21"/>
      <c r="B2455" s="5"/>
      <c r="C2455" s="5"/>
    </row>
    <row r="2456" spans="1:3" x14ac:dyDescent="0.25">
      <c r="A2456" s="21"/>
      <c r="B2456" s="5"/>
      <c r="C2456" s="5"/>
    </row>
    <row r="2457" spans="1:3" x14ac:dyDescent="0.25">
      <c r="A2457" s="21"/>
      <c r="B2457" s="5"/>
      <c r="C2457" s="5"/>
    </row>
    <row r="2458" spans="1:3" x14ac:dyDescent="0.25">
      <c r="A2458" s="21"/>
      <c r="B2458" s="5"/>
      <c r="C2458" s="5"/>
    </row>
    <row r="2459" spans="1:3" x14ac:dyDescent="0.25">
      <c r="A2459" s="21"/>
      <c r="B2459" s="5"/>
      <c r="C2459" s="5"/>
    </row>
    <row r="2460" spans="1:3" x14ac:dyDescent="0.25">
      <c r="A2460" s="21"/>
      <c r="B2460" s="5"/>
      <c r="C2460" s="5"/>
    </row>
    <row r="2461" spans="1:3" x14ac:dyDescent="0.25">
      <c r="A2461" s="21"/>
      <c r="B2461" s="5"/>
      <c r="C2461" s="5"/>
    </row>
    <row r="2462" spans="1:3" x14ac:dyDescent="0.25">
      <c r="A2462" s="21"/>
      <c r="B2462" s="5"/>
      <c r="C2462" s="5"/>
    </row>
    <row r="2463" spans="1:3" x14ac:dyDescent="0.25">
      <c r="A2463" s="21"/>
      <c r="B2463" s="5"/>
      <c r="C2463" s="5"/>
    </row>
    <row r="2464" spans="1:3" x14ac:dyDescent="0.25">
      <c r="A2464" s="21"/>
      <c r="B2464" s="5"/>
      <c r="C2464" s="5"/>
    </row>
    <row r="2465" spans="1:3" x14ac:dyDescent="0.25">
      <c r="A2465" s="21"/>
      <c r="B2465" s="5"/>
      <c r="C2465" s="5"/>
    </row>
    <row r="2466" spans="1:3" x14ac:dyDescent="0.25">
      <c r="A2466" s="21"/>
      <c r="B2466" s="5"/>
      <c r="C2466" s="5"/>
    </row>
    <row r="2467" spans="1:3" x14ac:dyDescent="0.25">
      <c r="A2467" s="21"/>
      <c r="B2467" s="5"/>
      <c r="C2467" s="5"/>
    </row>
    <row r="2468" spans="1:3" x14ac:dyDescent="0.25">
      <c r="A2468" s="21"/>
      <c r="B2468" s="5"/>
      <c r="C2468" s="5"/>
    </row>
    <row r="2469" spans="1:3" x14ac:dyDescent="0.25">
      <c r="A2469" s="21"/>
      <c r="B2469" s="5"/>
      <c r="C2469" s="5"/>
    </row>
    <row r="2470" spans="1:3" x14ac:dyDescent="0.25">
      <c r="A2470" s="21"/>
      <c r="B2470" s="5"/>
      <c r="C2470" s="5"/>
    </row>
    <row r="2471" spans="1:3" x14ac:dyDescent="0.25">
      <c r="A2471" s="21"/>
      <c r="B2471" s="5"/>
      <c r="C2471" s="5"/>
    </row>
    <row r="2472" spans="1:3" x14ac:dyDescent="0.25">
      <c r="A2472" s="21"/>
      <c r="B2472" s="5"/>
      <c r="C2472" s="5"/>
    </row>
    <row r="2473" spans="1:3" x14ac:dyDescent="0.25">
      <c r="A2473" s="21"/>
      <c r="B2473" s="5"/>
      <c r="C2473" s="5"/>
    </row>
    <row r="2474" spans="1:3" x14ac:dyDescent="0.25">
      <c r="A2474" s="21"/>
      <c r="B2474" s="5"/>
      <c r="C2474" s="5"/>
    </row>
    <row r="2475" spans="1:3" x14ac:dyDescent="0.25">
      <c r="A2475" s="21"/>
      <c r="B2475" s="5"/>
      <c r="C2475" s="5"/>
    </row>
    <row r="2476" spans="1:3" x14ac:dyDescent="0.25">
      <c r="A2476" s="21"/>
      <c r="B2476" s="5"/>
      <c r="C2476" s="5"/>
    </row>
    <row r="2477" spans="1:3" x14ac:dyDescent="0.25">
      <c r="A2477" s="21"/>
      <c r="B2477" s="5"/>
      <c r="C2477" s="5"/>
    </row>
    <row r="2478" spans="1:3" x14ac:dyDescent="0.25">
      <c r="A2478" s="21"/>
      <c r="B2478" s="5"/>
      <c r="C2478" s="5"/>
    </row>
    <row r="2479" spans="1:3" x14ac:dyDescent="0.25">
      <c r="A2479" s="21"/>
      <c r="B2479" s="5"/>
      <c r="C2479" s="5"/>
    </row>
    <row r="2480" spans="1:3" x14ac:dyDescent="0.25">
      <c r="A2480" s="21"/>
      <c r="B2480" s="5"/>
      <c r="C2480" s="5"/>
    </row>
    <row r="2481" spans="1:3" x14ac:dyDescent="0.25">
      <c r="A2481" s="21"/>
      <c r="B2481" s="5"/>
      <c r="C2481" s="5"/>
    </row>
    <row r="2482" spans="1:3" x14ac:dyDescent="0.25">
      <c r="A2482" s="21"/>
      <c r="B2482" s="5"/>
      <c r="C2482" s="5"/>
    </row>
    <row r="2483" spans="1:3" x14ac:dyDescent="0.25">
      <c r="A2483" s="21"/>
      <c r="B2483" s="5"/>
      <c r="C2483" s="5"/>
    </row>
    <row r="2484" spans="1:3" x14ac:dyDescent="0.25">
      <c r="A2484" s="21"/>
      <c r="B2484" s="5"/>
      <c r="C2484" s="5"/>
    </row>
    <row r="2485" spans="1:3" x14ac:dyDescent="0.25">
      <c r="A2485" s="21"/>
      <c r="B2485" s="5"/>
      <c r="C2485" s="5"/>
    </row>
    <row r="2486" spans="1:3" x14ac:dyDescent="0.25">
      <c r="A2486" s="21"/>
      <c r="B2486" s="5"/>
      <c r="C2486" s="5"/>
    </row>
    <row r="2487" spans="1:3" x14ac:dyDescent="0.25">
      <c r="A2487" s="21"/>
      <c r="B2487" s="5"/>
      <c r="C2487" s="5"/>
    </row>
    <row r="2488" spans="1:3" x14ac:dyDescent="0.25">
      <c r="A2488" s="21"/>
      <c r="B2488" s="5"/>
      <c r="C2488" s="5"/>
    </row>
    <row r="2489" spans="1:3" x14ac:dyDescent="0.25">
      <c r="A2489" s="21"/>
      <c r="B2489" s="5"/>
      <c r="C2489" s="5"/>
    </row>
    <row r="2490" spans="1:3" x14ac:dyDescent="0.25">
      <c r="A2490" s="21"/>
      <c r="B2490" s="5"/>
      <c r="C2490" s="5"/>
    </row>
    <row r="2491" spans="1:3" x14ac:dyDescent="0.25">
      <c r="A2491" s="21"/>
      <c r="B2491" s="5"/>
      <c r="C2491" s="5"/>
    </row>
    <row r="2492" spans="1:3" x14ac:dyDescent="0.25">
      <c r="A2492" s="21"/>
      <c r="B2492" s="5"/>
      <c r="C2492" s="5"/>
    </row>
    <row r="2493" spans="1:3" x14ac:dyDescent="0.25">
      <c r="A2493" s="21"/>
      <c r="B2493" s="5"/>
      <c r="C2493" s="5"/>
    </row>
    <row r="2494" spans="1:3" x14ac:dyDescent="0.25">
      <c r="A2494" s="21"/>
      <c r="B2494" s="5"/>
      <c r="C2494" s="5"/>
    </row>
    <row r="2495" spans="1:3" x14ac:dyDescent="0.25">
      <c r="A2495" s="21"/>
      <c r="B2495" s="5"/>
      <c r="C2495" s="5"/>
    </row>
    <row r="2496" spans="1:3" x14ac:dyDescent="0.25">
      <c r="A2496" s="21"/>
      <c r="B2496" s="5"/>
      <c r="C2496" s="5"/>
    </row>
    <row r="2497" spans="1:3" x14ac:dyDescent="0.25">
      <c r="A2497" s="21"/>
      <c r="B2497" s="5"/>
      <c r="C2497" s="5"/>
    </row>
    <row r="2498" spans="1:3" x14ac:dyDescent="0.25">
      <c r="A2498" s="21"/>
      <c r="B2498" s="5"/>
      <c r="C2498" s="5"/>
    </row>
    <row r="2499" spans="1:3" x14ac:dyDescent="0.25">
      <c r="A2499" s="21"/>
      <c r="B2499" s="5"/>
      <c r="C2499" s="5"/>
    </row>
    <row r="2500" spans="1:3" x14ac:dyDescent="0.25">
      <c r="A2500" s="21"/>
      <c r="B2500" s="5"/>
      <c r="C2500" s="5"/>
    </row>
    <row r="2501" spans="1:3" x14ac:dyDescent="0.25">
      <c r="A2501" s="21"/>
      <c r="B2501" s="5"/>
      <c r="C2501" s="5"/>
    </row>
    <row r="2502" spans="1:3" x14ac:dyDescent="0.25">
      <c r="A2502" s="21"/>
      <c r="B2502" s="5"/>
      <c r="C2502" s="5"/>
    </row>
    <row r="2503" spans="1:3" x14ac:dyDescent="0.25">
      <c r="A2503" s="21"/>
      <c r="B2503" s="5"/>
      <c r="C2503" s="5"/>
    </row>
    <row r="2504" spans="1:3" x14ac:dyDescent="0.25">
      <c r="A2504" s="21"/>
      <c r="B2504" s="5"/>
      <c r="C2504" s="5"/>
    </row>
    <row r="2505" spans="1:3" x14ac:dyDescent="0.25">
      <c r="A2505" s="21"/>
      <c r="B2505" s="5"/>
      <c r="C2505" s="5"/>
    </row>
    <row r="2506" spans="1:3" x14ac:dyDescent="0.25">
      <c r="A2506" s="21"/>
      <c r="B2506" s="5"/>
      <c r="C2506" s="5"/>
    </row>
    <row r="2507" spans="1:3" x14ac:dyDescent="0.25">
      <c r="A2507" s="21"/>
      <c r="B2507" s="5"/>
      <c r="C2507" s="5"/>
    </row>
    <row r="2508" spans="1:3" x14ac:dyDescent="0.25">
      <c r="A2508" s="21"/>
      <c r="B2508" s="5"/>
      <c r="C2508" s="5"/>
    </row>
    <row r="2509" spans="1:3" x14ac:dyDescent="0.25">
      <c r="A2509" s="21"/>
      <c r="B2509" s="5"/>
      <c r="C2509" s="5"/>
    </row>
    <row r="2510" spans="1:3" x14ac:dyDescent="0.25">
      <c r="A2510" s="21"/>
      <c r="B2510" s="5"/>
      <c r="C2510" s="5"/>
    </row>
    <row r="2511" spans="1:3" x14ac:dyDescent="0.25">
      <c r="A2511" s="21"/>
      <c r="B2511" s="5"/>
      <c r="C2511" s="5"/>
    </row>
    <row r="2512" spans="1:3" x14ac:dyDescent="0.25">
      <c r="A2512" s="21"/>
      <c r="B2512" s="5"/>
      <c r="C2512" s="5"/>
    </row>
    <row r="2513" spans="1:3" x14ac:dyDescent="0.25">
      <c r="A2513" s="21"/>
      <c r="B2513" s="5"/>
      <c r="C2513" s="5"/>
    </row>
    <row r="2514" spans="1:3" x14ac:dyDescent="0.25">
      <c r="A2514" s="21"/>
      <c r="B2514" s="5"/>
      <c r="C2514" s="5"/>
    </row>
    <row r="2515" spans="1:3" x14ac:dyDescent="0.25">
      <c r="A2515" s="21"/>
      <c r="B2515" s="5"/>
      <c r="C2515" s="5"/>
    </row>
    <row r="2516" spans="1:3" x14ac:dyDescent="0.25">
      <c r="A2516" s="21"/>
      <c r="B2516" s="5"/>
      <c r="C2516" s="5"/>
    </row>
    <row r="2517" spans="1:3" x14ac:dyDescent="0.25">
      <c r="A2517" s="21"/>
      <c r="B2517" s="5"/>
      <c r="C2517" s="5"/>
    </row>
    <row r="2518" spans="1:3" x14ac:dyDescent="0.25">
      <c r="A2518" s="21"/>
      <c r="B2518" s="5"/>
      <c r="C2518" s="5"/>
    </row>
    <row r="2519" spans="1:3" x14ac:dyDescent="0.25">
      <c r="A2519" s="21"/>
      <c r="B2519" s="5"/>
      <c r="C2519" s="5"/>
    </row>
    <row r="2520" spans="1:3" x14ac:dyDescent="0.25">
      <c r="A2520" s="21"/>
      <c r="B2520" s="5"/>
      <c r="C2520" s="5"/>
    </row>
    <row r="2521" spans="1:3" x14ac:dyDescent="0.25">
      <c r="A2521" s="21"/>
      <c r="B2521" s="5"/>
      <c r="C2521" s="5"/>
    </row>
    <row r="2522" spans="1:3" x14ac:dyDescent="0.25">
      <c r="A2522" s="21"/>
      <c r="B2522" s="5"/>
      <c r="C2522" s="5"/>
    </row>
    <row r="2523" spans="1:3" x14ac:dyDescent="0.25">
      <c r="A2523" s="21"/>
      <c r="B2523" s="5"/>
      <c r="C2523" s="5"/>
    </row>
    <row r="2524" spans="1:3" x14ac:dyDescent="0.25">
      <c r="A2524" s="21"/>
      <c r="B2524" s="5"/>
      <c r="C2524" s="5"/>
    </row>
    <row r="2525" spans="1:3" x14ac:dyDescent="0.25">
      <c r="A2525" s="21"/>
      <c r="B2525" s="5"/>
      <c r="C2525" s="5"/>
    </row>
    <row r="2526" spans="1:3" x14ac:dyDescent="0.25">
      <c r="A2526" s="21"/>
      <c r="B2526" s="5"/>
      <c r="C2526" s="5"/>
    </row>
    <row r="2527" spans="1:3" x14ac:dyDescent="0.25">
      <c r="A2527" s="21"/>
      <c r="B2527" s="5"/>
      <c r="C2527" s="5"/>
    </row>
    <row r="2528" spans="1:3" x14ac:dyDescent="0.25">
      <c r="A2528" s="21"/>
      <c r="B2528" s="5"/>
      <c r="C2528" s="5"/>
    </row>
    <row r="2529" spans="1:3" x14ac:dyDescent="0.25">
      <c r="A2529" s="21"/>
      <c r="B2529" s="5"/>
      <c r="C2529" s="5"/>
    </row>
    <row r="2530" spans="1:3" x14ac:dyDescent="0.25">
      <c r="A2530" s="21"/>
      <c r="B2530" s="5"/>
      <c r="C2530" s="5"/>
    </row>
    <row r="2531" spans="1:3" x14ac:dyDescent="0.25">
      <c r="A2531" s="21"/>
      <c r="B2531" s="5"/>
      <c r="C2531" s="5"/>
    </row>
    <row r="2532" spans="1:3" x14ac:dyDescent="0.25">
      <c r="A2532" s="21"/>
      <c r="B2532" s="5"/>
      <c r="C2532" s="5"/>
    </row>
    <row r="2533" spans="1:3" x14ac:dyDescent="0.25">
      <c r="A2533" s="21"/>
      <c r="B2533" s="5"/>
      <c r="C2533" s="5"/>
    </row>
    <row r="2534" spans="1:3" x14ac:dyDescent="0.25">
      <c r="A2534" s="21"/>
      <c r="B2534" s="5"/>
      <c r="C2534" s="5"/>
    </row>
    <row r="2535" spans="1:3" x14ac:dyDescent="0.25">
      <c r="A2535" s="21"/>
      <c r="B2535" s="5"/>
      <c r="C2535" s="5"/>
    </row>
    <row r="2536" spans="1:3" x14ac:dyDescent="0.25">
      <c r="A2536" s="21"/>
      <c r="B2536" s="5"/>
      <c r="C2536" s="5"/>
    </row>
    <row r="2537" spans="1:3" x14ac:dyDescent="0.25">
      <c r="A2537" s="21"/>
      <c r="B2537" s="5"/>
      <c r="C2537" s="5"/>
    </row>
    <row r="2538" spans="1:3" x14ac:dyDescent="0.25">
      <c r="A2538" s="21"/>
      <c r="B2538" s="5"/>
      <c r="C2538" s="5"/>
    </row>
    <row r="2539" spans="1:3" x14ac:dyDescent="0.25">
      <c r="A2539" s="21"/>
      <c r="B2539" s="5"/>
      <c r="C2539" s="5"/>
    </row>
    <row r="2540" spans="1:3" x14ac:dyDescent="0.25">
      <c r="A2540" s="21"/>
      <c r="B2540" s="5"/>
      <c r="C2540" s="5"/>
    </row>
    <row r="2541" spans="1:3" x14ac:dyDescent="0.25">
      <c r="A2541" s="21"/>
      <c r="B2541" s="5"/>
      <c r="C2541" s="5"/>
    </row>
    <row r="2542" spans="1:3" x14ac:dyDescent="0.25">
      <c r="A2542" s="21"/>
      <c r="B2542" s="5"/>
      <c r="C2542" s="5"/>
    </row>
    <row r="2543" spans="1:3" x14ac:dyDescent="0.25">
      <c r="A2543" s="21"/>
      <c r="B2543" s="5"/>
      <c r="C2543" s="5"/>
    </row>
    <row r="2544" spans="1:3" x14ac:dyDescent="0.25">
      <c r="A2544" s="21"/>
      <c r="B2544" s="5"/>
      <c r="C2544" s="5"/>
    </row>
    <row r="2545" spans="1:3" x14ac:dyDescent="0.25">
      <c r="A2545" s="21"/>
      <c r="B2545" s="5"/>
      <c r="C2545" s="5"/>
    </row>
    <row r="2546" spans="1:3" x14ac:dyDescent="0.25">
      <c r="A2546" s="21"/>
      <c r="B2546" s="5"/>
      <c r="C2546" s="5"/>
    </row>
    <row r="2547" spans="1:3" x14ac:dyDescent="0.25">
      <c r="A2547" s="21"/>
      <c r="B2547" s="5"/>
      <c r="C2547" s="5"/>
    </row>
    <row r="2548" spans="1:3" x14ac:dyDescent="0.25">
      <c r="A2548" s="21"/>
      <c r="B2548" s="5"/>
      <c r="C2548" s="5"/>
    </row>
    <row r="2549" spans="1:3" x14ac:dyDescent="0.25">
      <c r="A2549" s="21"/>
      <c r="B2549" s="5"/>
      <c r="C2549" s="5"/>
    </row>
    <row r="2550" spans="1:3" x14ac:dyDescent="0.25">
      <c r="A2550" s="21"/>
      <c r="B2550" s="5"/>
      <c r="C2550" s="5"/>
    </row>
    <row r="2551" spans="1:3" x14ac:dyDescent="0.25">
      <c r="A2551" s="21"/>
      <c r="B2551" s="5"/>
      <c r="C2551" s="5"/>
    </row>
    <row r="2552" spans="1:3" x14ac:dyDescent="0.25">
      <c r="A2552" s="21"/>
      <c r="B2552" s="5"/>
      <c r="C2552" s="5"/>
    </row>
    <row r="2553" spans="1:3" x14ac:dyDescent="0.25">
      <c r="A2553" s="21"/>
      <c r="B2553" s="5"/>
      <c r="C2553" s="5"/>
    </row>
    <row r="2554" spans="1:3" x14ac:dyDescent="0.25">
      <c r="A2554" s="21"/>
      <c r="B2554" s="5"/>
      <c r="C2554" s="5"/>
    </row>
    <row r="2555" spans="1:3" x14ac:dyDescent="0.25">
      <c r="A2555" s="21"/>
      <c r="B2555" s="5"/>
      <c r="C2555" s="5"/>
    </row>
    <row r="2556" spans="1:3" x14ac:dyDescent="0.25">
      <c r="A2556" s="21"/>
      <c r="B2556" s="5"/>
      <c r="C2556" s="5"/>
    </row>
    <row r="2557" spans="1:3" x14ac:dyDescent="0.25">
      <c r="A2557" s="21"/>
      <c r="B2557" s="5"/>
      <c r="C2557" s="5"/>
    </row>
    <row r="2558" spans="1:3" x14ac:dyDescent="0.25">
      <c r="A2558" s="21"/>
      <c r="B2558" s="5"/>
      <c r="C2558" s="5"/>
    </row>
    <row r="2559" spans="1:3" x14ac:dyDescent="0.25">
      <c r="A2559" s="21"/>
      <c r="B2559" s="5"/>
      <c r="C2559" s="5"/>
    </row>
    <row r="2560" spans="1:3" x14ac:dyDescent="0.25">
      <c r="A2560" s="21"/>
      <c r="B2560" s="5"/>
      <c r="C2560" s="5"/>
    </row>
    <row r="2561" spans="1:3" x14ac:dyDescent="0.25">
      <c r="A2561" s="21"/>
      <c r="B2561" s="5"/>
      <c r="C2561" s="5"/>
    </row>
    <row r="2562" spans="1:3" x14ac:dyDescent="0.25">
      <c r="A2562" s="21"/>
      <c r="B2562" s="5"/>
      <c r="C2562" s="5"/>
    </row>
    <row r="2563" spans="1:3" x14ac:dyDescent="0.25">
      <c r="A2563" s="21"/>
      <c r="B2563" s="5"/>
      <c r="C2563" s="5"/>
    </row>
    <row r="2564" spans="1:3" x14ac:dyDescent="0.25">
      <c r="A2564" s="21"/>
      <c r="B2564" s="5"/>
      <c r="C2564" s="5"/>
    </row>
    <row r="2565" spans="1:3" x14ac:dyDescent="0.25">
      <c r="A2565" s="21"/>
      <c r="B2565" s="5"/>
      <c r="C2565" s="5"/>
    </row>
    <row r="2566" spans="1:3" x14ac:dyDescent="0.25">
      <c r="A2566" s="21"/>
      <c r="B2566" s="5"/>
      <c r="C2566" s="5"/>
    </row>
    <row r="2567" spans="1:3" x14ac:dyDescent="0.25">
      <c r="A2567" s="21"/>
      <c r="B2567" s="5"/>
      <c r="C2567" s="5"/>
    </row>
    <row r="2568" spans="1:3" x14ac:dyDescent="0.25">
      <c r="A2568" s="21"/>
      <c r="B2568" s="5"/>
      <c r="C2568" s="5"/>
    </row>
    <row r="2569" spans="1:3" x14ac:dyDescent="0.25">
      <c r="A2569" s="21"/>
      <c r="B2569" s="5"/>
      <c r="C2569" s="5"/>
    </row>
    <row r="2570" spans="1:3" x14ac:dyDescent="0.25">
      <c r="A2570" s="21"/>
      <c r="B2570" s="5"/>
      <c r="C2570" s="5"/>
    </row>
    <row r="2571" spans="1:3" x14ac:dyDescent="0.25">
      <c r="A2571" s="21"/>
      <c r="B2571" s="5"/>
      <c r="C2571" s="5"/>
    </row>
    <row r="2572" spans="1:3" x14ac:dyDescent="0.25">
      <c r="A2572" s="21"/>
      <c r="B2572" s="5"/>
      <c r="C2572" s="5"/>
    </row>
    <row r="2573" spans="1:3" x14ac:dyDescent="0.25">
      <c r="A2573" s="21"/>
      <c r="B2573" s="5"/>
      <c r="C2573" s="5"/>
    </row>
    <row r="2574" spans="1:3" x14ac:dyDescent="0.25">
      <c r="A2574" s="21"/>
      <c r="B2574" s="5"/>
      <c r="C2574" s="5"/>
    </row>
    <row r="2575" spans="1:3" x14ac:dyDescent="0.25">
      <c r="A2575" s="21"/>
      <c r="B2575" s="5"/>
      <c r="C2575" s="5"/>
    </row>
    <row r="2576" spans="1:3" x14ac:dyDescent="0.25">
      <c r="A2576" s="21"/>
      <c r="B2576" s="5"/>
      <c r="C2576" s="5"/>
    </row>
    <row r="2577" spans="1:3" x14ac:dyDescent="0.25">
      <c r="A2577" s="21"/>
      <c r="B2577" s="5"/>
      <c r="C2577" s="5"/>
    </row>
    <row r="2578" spans="1:3" x14ac:dyDescent="0.25">
      <c r="A2578" s="21"/>
      <c r="B2578" s="5"/>
      <c r="C2578" s="5"/>
    </row>
    <row r="2579" spans="1:3" x14ac:dyDescent="0.25">
      <c r="A2579" s="21"/>
      <c r="B2579" s="5"/>
      <c r="C2579" s="5"/>
    </row>
    <row r="2580" spans="1:3" x14ac:dyDescent="0.25">
      <c r="A2580" s="21"/>
      <c r="B2580" s="5"/>
      <c r="C2580" s="5"/>
    </row>
    <row r="2581" spans="1:3" x14ac:dyDescent="0.25">
      <c r="A2581" s="21"/>
      <c r="B2581" s="5"/>
      <c r="C2581" s="5"/>
    </row>
    <row r="2582" spans="1:3" x14ac:dyDescent="0.25">
      <c r="A2582" s="21"/>
      <c r="B2582" s="5"/>
      <c r="C2582" s="5"/>
    </row>
    <row r="2583" spans="1:3" x14ac:dyDescent="0.25">
      <c r="A2583" s="21"/>
      <c r="B2583" s="5"/>
      <c r="C2583" s="5"/>
    </row>
    <row r="2584" spans="1:3" x14ac:dyDescent="0.25">
      <c r="A2584" s="21"/>
      <c r="B2584" s="5"/>
      <c r="C2584" s="5"/>
    </row>
    <row r="2585" spans="1:3" x14ac:dyDescent="0.25">
      <c r="A2585" s="21"/>
      <c r="B2585" s="5"/>
      <c r="C2585" s="5"/>
    </row>
    <row r="2586" spans="1:3" x14ac:dyDescent="0.25">
      <c r="A2586" s="21"/>
      <c r="B2586" s="5"/>
      <c r="C2586" s="5"/>
    </row>
    <row r="2587" spans="1:3" x14ac:dyDescent="0.25">
      <c r="A2587" s="21"/>
      <c r="B2587" s="5"/>
      <c r="C2587" s="5"/>
    </row>
    <row r="2588" spans="1:3" x14ac:dyDescent="0.25">
      <c r="A2588" s="21"/>
      <c r="B2588" s="5"/>
      <c r="C2588" s="5"/>
    </row>
    <row r="2589" spans="1:3" x14ac:dyDescent="0.25">
      <c r="A2589" s="21"/>
      <c r="B2589" s="5"/>
      <c r="C2589" s="5"/>
    </row>
    <row r="2590" spans="1:3" x14ac:dyDescent="0.25">
      <c r="A2590" s="21"/>
      <c r="B2590" s="5"/>
      <c r="C2590" s="5"/>
    </row>
    <row r="2591" spans="1:3" x14ac:dyDescent="0.25">
      <c r="A2591" s="21"/>
      <c r="B2591" s="5"/>
      <c r="C2591" s="5"/>
    </row>
    <row r="2592" spans="1:3" x14ac:dyDescent="0.25">
      <c r="A2592" s="21"/>
      <c r="B2592" s="5"/>
      <c r="C2592" s="5"/>
    </row>
    <row r="2593" spans="1:3" x14ac:dyDescent="0.25">
      <c r="A2593" s="21"/>
      <c r="B2593" s="5"/>
      <c r="C2593" s="5"/>
    </row>
    <row r="2594" spans="1:3" x14ac:dyDescent="0.25">
      <c r="A2594" s="21"/>
      <c r="B2594" s="5"/>
      <c r="C2594" s="5"/>
    </row>
    <row r="2595" spans="1:3" x14ac:dyDescent="0.25">
      <c r="A2595" s="21"/>
      <c r="B2595" s="5"/>
      <c r="C2595" s="5"/>
    </row>
    <row r="2596" spans="1:3" x14ac:dyDescent="0.25">
      <c r="A2596" s="21"/>
      <c r="B2596" s="5"/>
      <c r="C2596" s="5"/>
    </row>
    <row r="2597" spans="1:3" x14ac:dyDescent="0.25">
      <c r="A2597" s="21"/>
      <c r="B2597" s="5"/>
      <c r="C2597" s="5"/>
    </row>
    <row r="2598" spans="1:3" x14ac:dyDescent="0.25">
      <c r="A2598" s="21"/>
      <c r="B2598" s="5"/>
      <c r="C2598" s="5"/>
    </row>
    <row r="2599" spans="1:3" x14ac:dyDescent="0.25">
      <c r="A2599" s="21"/>
      <c r="B2599" s="5"/>
      <c r="C2599" s="5"/>
    </row>
    <row r="2600" spans="1:3" x14ac:dyDescent="0.25">
      <c r="A2600" s="21"/>
      <c r="B2600" s="5"/>
      <c r="C2600" s="5"/>
    </row>
    <row r="2601" spans="1:3" x14ac:dyDescent="0.25">
      <c r="A2601" s="21"/>
      <c r="B2601" s="5"/>
      <c r="C2601" s="5"/>
    </row>
    <row r="2602" spans="1:3" x14ac:dyDescent="0.25">
      <c r="A2602" s="21"/>
      <c r="B2602" s="5"/>
      <c r="C2602" s="5"/>
    </row>
    <row r="2603" spans="1:3" x14ac:dyDescent="0.25">
      <c r="A2603" s="21"/>
      <c r="B2603" s="5"/>
      <c r="C2603" s="5"/>
    </row>
    <row r="2604" spans="1:3" x14ac:dyDescent="0.25">
      <c r="A2604" s="21"/>
      <c r="B2604" s="5"/>
      <c r="C2604" s="5"/>
    </row>
    <row r="2605" spans="1:3" x14ac:dyDescent="0.25">
      <c r="A2605" s="21"/>
      <c r="B2605" s="5"/>
      <c r="C2605" s="5"/>
    </row>
    <row r="2606" spans="1:3" x14ac:dyDescent="0.25">
      <c r="A2606" s="21"/>
      <c r="B2606" s="5"/>
      <c r="C2606" s="5"/>
    </row>
    <row r="2607" spans="1:3" x14ac:dyDescent="0.25">
      <c r="A2607" s="21"/>
      <c r="B2607" s="5"/>
      <c r="C2607" s="5"/>
    </row>
    <row r="2608" spans="1:3" x14ac:dyDescent="0.25">
      <c r="A2608" s="21"/>
      <c r="B2608" s="5"/>
      <c r="C2608" s="5"/>
    </row>
    <row r="2609" spans="1:3" x14ac:dyDescent="0.25">
      <c r="A2609" s="21"/>
      <c r="B2609" s="5"/>
      <c r="C2609" s="5"/>
    </row>
    <row r="2610" spans="1:3" x14ac:dyDescent="0.25">
      <c r="A2610" s="21"/>
      <c r="B2610" s="5"/>
      <c r="C2610" s="5"/>
    </row>
    <row r="2611" spans="1:3" x14ac:dyDescent="0.25">
      <c r="A2611" s="21"/>
      <c r="B2611" s="5"/>
      <c r="C2611" s="5"/>
    </row>
    <row r="2612" spans="1:3" x14ac:dyDescent="0.25">
      <c r="A2612" s="21"/>
      <c r="B2612" s="5"/>
      <c r="C2612" s="5"/>
    </row>
    <row r="2613" spans="1:3" x14ac:dyDescent="0.25">
      <c r="A2613" s="21"/>
      <c r="B2613" s="5"/>
      <c r="C2613" s="5"/>
    </row>
    <row r="2614" spans="1:3" x14ac:dyDescent="0.25">
      <c r="A2614" s="21"/>
      <c r="B2614" s="5"/>
      <c r="C2614" s="5"/>
    </row>
    <row r="2615" spans="1:3" x14ac:dyDescent="0.25">
      <c r="A2615" s="21"/>
      <c r="B2615" s="5"/>
      <c r="C2615" s="5"/>
    </row>
    <row r="2616" spans="1:3" x14ac:dyDescent="0.25">
      <c r="A2616" s="21"/>
      <c r="B2616" s="5"/>
      <c r="C2616" s="5"/>
    </row>
    <row r="2617" spans="1:3" x14ac:dyDescent="0.25">
      <c r="A2617" s="21"/>
      <c r="B2617" s="5"/>
      <c r="C2617" s="5"/>
    </row>
    <row r="2618" spans="1:3" x14ac:dyDescent="0.25">
      <c r="A2618" s="21"/>
      <c r="B2618" s="5"/>
      <c r="C2618" s="5"/>
    </row>
    <row r="2619" spans="1:3" x14ac:dyDescent="0.25">
      <c r="A2619" s="21"/>
      <c r="B2619" s="5"/>
      <c r="C2619" s="5"/>
    </row>
    <row r="2620" spans="1:3" x14ac:dyDescent="0.25">
      <c r="A2620" s="21"/>
      <c r="B2620" s="5"/>
      <c r="C2620" s="5"/>
    </row>
    <row r="2621" spans="1:3" x14ac:dyDescent="0.25">
      <c r="A2621" s="21"/>
      <c r="B2621" s="5"/>
      <c r="C2621" s="5"/>
    </row>
    <row r="2622" spans="1:3" x14ac:dyDescent="0.25">
      <c r="A2622" s="21"/>
      <c r="B2622" s="5"/>
      <c r="C2622" s="5"/>
    </row>
    <row r="2623" spans="1:3" x14ac:dyDescent="0.25">
      <c r="A2623" s="21"/>
      <c r="B2623" s="5"/>
      <c r="C2623" s="5"/>
    </row>
    <row r="2624" spans="1:3" x14ac:dyDescent="0.25">
      <c r="A2624" s="21"/>
      <c r="B2624" s="5"/>
      <c r="C2624" s="5"/>
    </row>
    <row r="2625" spans="1:3" x14ac:dyDescent="0.25">
      <c r="A2625" s="21"/>
      <c r="B2625" s="5"/>
      <c r="C2625" s="5"/>
    </row>
    <row r="2626" spans="1:3" x14ac:dyDescent="0.25">
      <c r="A2626" s="21"/>
      <c r="B2626" s="5"/>
      <c r="C2626" s="5"/>
    </row>
    <row r="2627" spans="1:3" x14ac:dyDescent="0.25">
      <c r="A2627" s="21"/>
      <c r="B2627" s="5"/>
      <c r="C2627" s="5"/>
    </row>
    <row r="2628" spans="1:3" x14ac:dyDescent="0.25">
      <c r="A2628" s="21"/>
      <c r="B2628" s="5"/>
      <c r="C2628" s="5"/>
    </row>
    <row r="2629" spans="1:3" x14ac:dyDescent="0.25">
      <c r="A2629" s="21"/>
      <c r="B2629" s="5"/>
      <c r="C2629" s="5"/>
    </row>
    <row r="2630" spans="1:3" x14ac:dyDescent="0.25">
      <c r="A2630" s="21"/>
      <c r="B2630" s="5"/>
      <c r="C2630" s="5"/>
    </row>
    <row r="2631" spans="1:3" x14ac:dyDescent="0.25">
      <c r="A2631" s="21"/>
      <c r="B2631" s="5"/>
      <c r="C2631" s="5"/>
    </row>
    <row r="2632" spans="1:3" x14ac:dyDescent="0.25">
      <c r="A2632" s="21"/>
      <c r="B2632" s="5"/>
      <c r="C2632" s="5"/>
    </row>
    <row r="2633" spans="1:3" x14ac:dyDescent="0.25">
      <c r="A2633" s="21"/>
      <c r="B2633" s="5"/>
      <c r="C2633" s="5"/>
    </row>
    <row r="2634" spans="1:3" x14ac:dyDescent="0.25">
      <c r="A2634" s="21"/>
      <c r="B2634" s="5"/>
      <c r="C2634" s="5"/>
    </row>
    <row r="2635" spans="1:3" x14ac:dyDescent="0.25">
      <c r="A2635" s="21"/>
      <c r="B2635" s="5"/>
      <c r="C2635" s="5"/>
    </row>
    <row r="2636" spans="1:3" x14ac:dyDescent="0.25">
      <c r="A2636" s="21"/>
      <c r="B2636" s="5"/>
      <c r="C2636" s="5"/>
    </row>
    <row r="2637" spans="1:3" x14ac:dyDescent="0.25">
      <c r="A2637" s="21"/>
      <c r="B2637" s="5"/>
      <c r="C2637" s="5"/>
    </row>
    <row r="2638" spans="1:3" x14ac:dyDescent="0.25">
      <c r="A2638" s="21"/>
      <c r="B2638" s="5"/>
      <c r="C2638" s="5"/>
    </row>
    <row r="2639" spans="1:3" x14ac:dyDescent="0.25">
      <c r="A2639" s="21"/>
      <c r="B2639" s="5"/>
      <c r="C2639" s="5"/>
    </row>
    <row r="2640" spans="1:3" x14ac:dyDescent="0.25">
      <c r="A2640" s="21"/>
      <c r="B2640" s="5"/>
      <c r="C2640" s="5"/>
    </row>
    <row r="2641" spans="1:3" x14ac:dyDescent="0.25">
      <c r="A2641" s="21"/>
      <c r="B2641" s="5"/>
      <c r="C2641" s="5"/>
    </row>
    <row r="2642" spans="1:3" x14ac:dyDescent="0.25">
      <c r="A2642" s="21"/>
      <c r="B2642" s="5"/>
      <c r="C2642" s="5"/>
    </row>
    <row r="2643" spans="1:3" x14ac:dyDescent="0.25">
      <c r="A2643" s="21"/>
      <c r="B2643" s="5"/>
      <c r="C2643" s="5"/>
    </row>
    <row r="2644" spans="1:3" x14ac:dyDescent="0.25">
      <c r="A2644" s="21"/>
      <c r="B2644" s="5"/>
      <c r="C2644" s="5"/>
    </row>
    <row r="2645" spans="1:3" x14ac:dyDescent="0.25">
      <c r="A2645" s="21"/>
      <c r="B2645" s="5"/>
      <c r="C2645" s="5"/>
    </row>
    <row r="2646" spans="1:3" x14ac:dyDescent="0.25">
      <c r="A2646" s="21"/>
      <c r="B2646" s="5"/>
      <c r="C2646" s="5"/>
    </row>
    <row r="2647" spans="1:3" x14ac:dyDescent="0.25">
      <c r="A2647" s="21"/>
      <c r="B2647" s="5"/>
      <c r="C2647" s="5"/>
    </row>
    <row r="2648" spans="1:3" x14ac:dyDescent="0.25">
      <c r="A2648" s="21"/>
      <c r="B2648" s="5"/>
      <c r="C2648" s="5"/>
    </row>
    <row r="2649" spans="1:3" x14ac:dyDescent="0.25">
      <c r="A2649" s="21"/>
      <c r="B2649" s="5"/>
      <c r="C2649" s="5"/>
    </row>
    <row r="2650" spans="1:3" x14ac:dyDescent="0.25">
      <c r="A2650" s="21"/>
      <c r="B2650" s="5"/>
      <c r="C2650" s="5"/>
    </row>
    <row r="2651" spans="1:3" x14ac:dyDescent="0.25">
      <c r="A2651" s="21"/>
      <c r="B2651" s="5"/>
      <c r="C2651" s="5"/>
    </row>
    <row r="2652" spans="1:3" x14ac:dyDescent="0.25">
      <c r="A2652" s="21"/>
      <c r="B2652" s="5"/>
      <c r="C2652" s="5"/>
    </row>
    <row r="2653" spans="1:3" x14ac:dyDescent="0.25">
      <c r="A2653" s="21"/>
      <c r="B2653" s="5"/>
      <c r="C2653" s="5"/>
    </row>
    <row r="2654" spans="1:3" x14ac:dyDescent="0.25">
      <c r="A2654" s="21"/>
      <c r="B2654" s="5"/>
      <c r="C2654" s="5"/>
    </row>
    <row r="2655" spans="1:3" x14ac:dyDescent="0.25">
      <c r="A2655" s="21"/>
      <c r="B2655" s="5"/>
      <c r="C2655" s="5"/>
    </row>
    <row r="2656" spans="1:3" x14ac:dyDescent="0.25">
      <c r="A2656" s="21"/>
      <c r="B2656" s="5"/>
      <c r="C2656" s="5"/>
    </row>
    <row r="2657" spans="1:3" x14ac:dyDescent="0.25">
      <c r="A2657" s="21"/>
      <c r="B2657" s="5"/>
      <c r="C2657" s="5"/>
    </row>
    <row r="2658" spans="1:3" x14ac:dyDescent="0.25">
      <c r="A2658" s="21"/>
      <c r="B2658" s="5"/>
      <c r="C2658" s="5"/>
    </row>
    <row r="2659" spans="1:3" x14ac:dyDescent="0.25">
      <c r="A2659" s="21"/>
      <c r="B2659" s="5"/>
      <c r="C2659" s="5"/>
    </row>
    <row r="2660" spans="1:3" x14ac:dyDescent="0.25">
      <c r="A2660" s="21"/>
      <c r="B2660" s="5"/>
      <c r="C2660" s="5"/>
    </row>
    <row r="2661" spans="1:3" x14ac:dyDescent="0.25">
      <c r="A2661" s="21"/>
      <c r="B2661" s="5"/>
      <c r="C2661" s="5"/>
    </row>
    <row r="2662" spans="1:3" x14ac:dyDescent="0.25">
      <c r="A2662" s="21"/>
      <c r="B2662" s="5"/>
      <c r="C2662" s="5"/>
    </row>
    <row r="2663" spans="1:3" x14ac:dyDescent="0.25">
      <c r="A2663" s="21"/>
      <c r="B2663" s="5"/>
      <c r="C2663" s="5"/>
    </row>
    <row r="2664" spans="1:3" x14ac:dyDescent="0.25">
      <c r="A2664" s="21"/>
      <c r="B2664" s="5"/>
      <c r="C2664" s="5"/>
    </row>
    <row r="2665" spans="1:3" x14ac:dyDescent="0.25">
      <c r="A2665" s="21"/>
      <c r="B2665" s="5"/>
      <c r="C2665" s="5"/>
    </row>
    <row r="2666" spans="1:3" x14ac:dyDescent="0.25">
      <c r="A2666" s="21"/>
      <c r="B2666" s="5"/>
      <c r="C2666" s="5"/>
    </row>
    <row r="2667" spans="1:3" x14ac:dyDescent="0.25">
      <c r="A2667" s="21"/>
      <c r="B2667" s="5"/>
      <c r="C2667" s="5"/>
    </row>
    <row r="2668" spans="1:3" x14ac:dyDescent="0.25">
      <c r="A2668" s="21"/>
      <c r="B2668" s="5"/>
      <c r="C2668" s="5"/>
    </row>
    <row r="2669" spans="1:3" x14ac:dyDescent="0.25">
      <c r="A2669" s="21"/>
      <c r="B2669" s="5"/>
      <c r="C2669" s="5"/>
    </row>
    <row r="2670" spans="1:3" x14ac:dyDescent="0.25">
      <c r="A2670" s="21"/>
      <c r="B2670" s="5"/>
      <c r="C2670" s="5"/>
    </row>
    <row r="2671" spans="1:3" x14ac:dyDescent="0.25">
      <c r="A2671" s="21"/>
      <c r="B2671" s="5"/>
      <c r="C2671" s="5"/>
    </row>
    <row r="2672" spans="1:3" x14ac:dyDescent="0.25">
      <c r="A2672" s="21"/>
      <c r="B2672" s="5"/>
      <c r="C2672" s="5"/>
    </row>
    <row r="2673" spans="1:3" x14ac:dyDescent="0.25">
      <c r="A2673" s="21"/>
      <c r="B2673" s="5"/>
      <c r="C2673" s="5"/>
    </row>
    <row r="2674" spans="1:3" x14ac:dyDescent="0.25">
      <c r="A2674" s="21"/>
      <c r="B2674" s="5"/>
      <c r="C2674" s="5"/>
    </row>
    <row r="2675" spans="1:3" x14ac:dyDescent="0.25">
      <c r="A2675" s="21"/>
      <c r="B2675" s="5"/>
      <c r="C2675" s="5"/>
    </row>
    <row r="2676" spans="1:3" x14ac:dyDescent="0.25">
      <c r="A2676" s="21"/>
      <c r="B2676" s="5"/>
      <c r="C2676" s="5"/>
    </row>
    <row r="2677" spans="1:3" x14ac:dyDescent="0.25">
      <c r="A2677" s="21"/>
      <c r="B2677" s="5"/>
      <c r="C2677" s="5"/>
    </row>
    <row r="2678" spans="1:3" x14ac:dyDescent="0.25">
      <c r="A2678" s="21"/>
      <c r="B2678" s="5"/>
      <c r="C2678" s="5"/>
    </row>
    <row r="2679" spans="1:3" x14ac:dyDescent="0.25">
      <c r="A2679" s="21"/>
      <c r="B2679" s="5"/>
      <c r="C2679" s="5"/>
    </row>
    <row r="2680" spans="1:3" x14ac:dyDescent="0.25">
      <c r="A2680" s="21"/>
      <c r="B2680" s="5"/>
      <c r="C2680" s="5"/>
    </row>
    <row r="2681" spans="1:3" x14ac:dyDescent="0.25">
      <c r="A2681" s="21"/>
      <c r="B2681" s="5"/>
      <c r="C2681" s="5"/>
    </row>
    <row r="2682" spans="1:3" x14ac:dyDescent="0.25">
      <c r="A2682" s="21"/>
      <c r="B2682" s="5"/>
      <c r="C2682" s="5"/>
    </row>
    <row r="2683" spans="1:3" x14ac:dyDescent="0.25">
      <c r="A2683" s="21"/>
      <c r="B2683" s="5"/>
      <c r="C2683" s="5"/>
    </row>
    <row r="2684" spans="1:3" x14ac:dyDescent="0.25">
      <c r="A2684" s="21"/>
      <c r="B2684" s="5"/>
      <c r="C2684" s="5"/>
    </row>
    <row r="2685" spans="1:3" x14ac:dyDescent="0.25">
      <c r="A2685" s="21"/>
      <c r="B2685" s="5"/>
      <c r="C2685" s="5"/>
    </row>
    <row r="2686" spans="1:3" x14ac:dyDescent="0.25">
      <c r="A2686" s="21"/>
      <c r="B2686" s="5"/>
      <c r="C2686" s="5"/>
    </row>
    <row r="2687" spans="1:3" x14ac:dyDescent="0.25">
      <c r="A2687" s="21"/>
      <c r="B2687" s="5"/>
      <c r="C2687" s="5"/>
    </row>
    <row r="2688" spans="1:3" x14ac:dyDescent="0.25">
      <c r="A2688" s="21"/>
      <c r="B2688" s="5"/>
      <c r="C2688" s="5"/>
    </row>
    <row r="2689" spans="1:3" x14ac:dyDescent="0.25">
      <c r="A2689" s="21"/>
      <c r="B2689" s="5"/>
      <c r="C2689" s="5"/>
    </row>
    <row r="2690" spans="1:3" x14ac:dyDescent="0.25">
      <c r="A2690" s="21"/>
      <c r="B2690" s="5"/>
      <c r="C2690" s="5"/>
    </row>
    <row r="2691" spans="1:3" x14ac:dyDescent="0.25">
      <c r="A2691" s="21"/>
      <c r="B2691" s="5"/>
      <c r="C2691" s="5"/>
    </row>
    <row r="2692" spans="1:3" x14ac:dyDescent="0.25">
      <c r="A2692" s="21"/>
      <c r="B2692" s="5"/>
      <c r="C2692" s="5"/>
    </row>
    <row r="2693" spans="1:3" x14ac:dyDescent="0.25">
      <c r="A2693" s="21"/>
      <c r="B2693" s="5"/>
      <c r="C2693" s="5"/>
    </row>
    <row r="2694" spans="1:3" x14ac:dyDescent="0.25">
      <c r="A2694" s="21"/>
      <c r="B2694" s="5"/>
      <c r="C2694" s="5"/>
    </row>
    <row r="2695" spans="1:3" x14ac:dyDescent="0.25">
      <c r="A2695" s="21"/>
      <c r="B2695" s="5"/>
      <c r="C2695" s="5"/>
    </row>
    <row r="2696" spans="1:3" x14ac:dyDescent="0.25">
      <c r="A2696" s="21"/>
      <c r="B2696" s="5"/>
      <c r="C2696" s="5"/>
    </row>
    <row r="2697" spans="1:3" x14ac:dyDescent="0.25">
      <c r="A2697" s="21"/>
      <c r="B2697" s="5"/>
      <c r="C2697" s="5"/>
    </row>
    <row r="2698" spans="1:3" x14ac:dyDescent="0.25">
      <c r="A2698" s="21"/>
      <c r="B2698" s="5"/>
      <c r="C2698" s="5"/>
    </row>
    <row r="2699" spans="1:3" x14ac:dyDescent="0.25">
      <c r="A2699" s="21"/>
      <c r="B2699" s="5"/>
      <c r="C2699" s="5"/>
    </row>
    <row r="2700" spans="1:3" x14ac:dyDescent="0.25">
      <c r="A2700" s="21"/>
      <c r="B2700" s="5"/>
      <c r="C2700" s="5"/>
    </row>
    <row r="2701" spans="1:3" x14ac:dyDescent="0.25">
      <c r="A2701" s="21"/>
      <c r="B2701" s="5"/>
      <c r="C2701" s="5"/>
    </row>
    <row r="2702" spans="1:3" x14ac:dyDescent="0.25">
      <c r="A2702" s="21"/>
      <c r="B2702" s="5"/>
      <c r="C2702" s="5"/>
    </row>
    <row r="2703" spans="1:3" x14ac:dyDescent="0.25">
      <c r="A2703" s="21"/>
      <c r="B2703" s="5"/>
      <c r="C2703" s="5"/>
    </row>
    <row r="2704" spans="1:3" x14ac:dyDescent="0.25">
      <c r="A2704" s="21"/>
      <c r="B2704" s="5"/>
      <c r="C2704" s="5"/>
    </row>
    <row r="2705" spans="1:3" x14ac:dyDescent="0.25">
      <c r="A2705" s="21"/>
      <c r="B2705" s="5"/>
      <c r="C2705" s="5"/>
    </row>
    <row r="2706" spans="1:3" x14ac:dyDescent="0.25">
      <c r="A2706" s="21"/>
      <c r="B2706" s="5"/>
      <c r="C2706" s="5"/>
    </row>
    <row r="2707" spans="1:3" x14ac:dyDescent="0.25">
      <c r="A2707" s="21"/>
      <c r="B2707" s="5"/>
      <c r="C2707" s="5"/>
    </row>
    <row r="2708" spans="1:3" x14ac:dyDescent="0.25">
      <c r="A2708" s="21"/>
      <c r="B2708" s="5"/>
      <c r="C2708" s="5"/>
    </row>
    <row r="2709" spans="1:3" x14ac:dyDescent="0.25">
      <c r="A2709" s="21"/>
      <c r="B2709" s="5"/>
      <c r="C2709" s="5"/>
    </row>
    <row r="2710" spans="1:3" x14ac:dyDescent="0.25">
      <c r="A2710" s="21"/>
      <c r="B2710" s="5"/>
      <c r="C2710" s="5"/>
    </row>
    <row r="2711" spans="1:3" x14ac:dyDescent="0.25">
      <c r="A2711" s="21"/>
      <c r="B2711" s="5"/>
      <c r="C2711" s="5"/>
    </row>
    <row r="2712" spans="1:3" x14ac:dyDescent="0.25">
      <c r="A2712" s="21"/>
      <c r="B2712" s="5"/>
      <c r="C2712" s="5"/>
    </row>
    <row r="2713" spans="1:3" x14ac:dyDescent="0.25">
      <c r="A2713" s="21"/>
      <c r="B2713" s="5"/>
      <c r="C2713" s="5"/>
    </row>
    <row r="2714" spans="1:3" x14ac:dyDescent="0.25">
      <c r="A2714" s="21"/>
      <c r="B2714" s="5"/>
      <c r="C2714" s="5"/>
    </row>
    <row r="2715" spans="1:3" x14ac:dyDescent="0.25">
      <c r="A2715" s="21"/>
      <c r="B2715" s="5"/>
      <c r="C2715" s="5"/>
    </row>
    <row r="2716" spans="1:3" x14ac:dyDescent="0.25">
      <c r="A2716" s="21"/>
      <c r="B2716" s="5"/>
      <c r="C2716" s="5"/>
    </row>
    <row r="2717" spans="1:3" x14ac:dyDescent="0.25">
      <c r="A2717" s="21"/>
      <c r="B2717" s="5"/>
      <c r="C2717" s="5"/>
    </row>
    <row r="2718" spans="1:3" x14ac:dyDescent="0.25">
      <c r="A2718" s="21"/>
      <c r="B2718" s="5"/>
      <c r="C2718" s="5"/>
    </row>
    <row r="2719" spans="1:3" x14ac:dyDescent="0.25">
      <c r="A2719" s="21"/>
      <c r="B2719" s="5"/>
      <c r="C2719" s="5"/>
    </row>
    <row r="2720" spans="1:3" x14ac:dyDescent="0.25">
      <c r="A2720" s="21"/>
      <c r="B2720" s="5"/>
      <c r="C2720" s="5"/>
    </row>
    <row r="2721" spans="1:3" x14ac:dyDescent="0.25">
      <c r="A2721" s="21"/>
      <c r="B2721" s="5"/>
      <c r="C2721" s="5"/>
    </row>
    <row r="2722" spans="1:3" x14ac:dyDescent="0.25">
      <c r="A2722" s="21"/>
      <c r="B2722" s="5"/>
      <c r="C2722" s="5"/>
    </row>
    <row r="2723" spans="1:3" x14ac:dyDescent="0.25">
      <c r="A2723" s="21"/>
      <c r="B2723" s="5"/>
      <c r="C2723" s="5"/>
    </row>
    <row r="2724" spans="1:3" x14ac:dyDescent="0.25">
      <c r="A2724" s="21"/>
      <c r="B2724" s="5"/>
      <c r="C2724" s="5"/>
    </row>
    <row r="2725" spans="1:3" x14ac:dyDescent="0.25">
      <c r="A2725" s="21"/>
      <c r="B2725" s="5"/>
      <c r="C2725" s="5"/>
    </row>
    <row r="2726" spans="1:3" x14ac:dyDescent="0.25">
      <c r="A2726" s="21"/>
      <c r="B2726" s="5"/>
      <c r="C2726" s="5"/>
    </row>
    <row r="2727" spans="1:3" x14ac:dyDescent="0.25">
      <c r="A2727" s="21"/>
      <c r="B2727" s="5"/>
      <c r="C2727" s="5"/>
    </row>
    <row r="2728" spans="1:3" x14ac:dyDescent="0.25">
      <c r="A2728" s="21"/>
      <c r="B2728" s="5"/>
      <c r="C2728" s="5"/>
    </row>
    <row r="2729" spans="1:3" x14ac:dyDescent="0.25">
      <c r="A2729" s="21"/>
      <c r="B2729" s="5"/>
      <c r="C2729" s="5"/>
    </row>
    <row r="2730" spans="1:3" x14ac:dyDescent="0.25">
      <c r="A2730" s="21"/>
      <c r="B2730" s="5"/>
      <c r="C2730" s="5"/>
    </row>
    <row r="2731" spans="1:3" x14ac:dyDescent="0.25">
      <c r="A2731" s="21"/>
      <c r="B2731" s="5"/>
      <c r="C2731" s="5"/>
    </row>
    <row r="2732" spans="1:3" x14ac:dyDescent="0.25">
      <c r="A2732" s="21"/>
      <c r="B2732" s="5"/>
      <c r="C2732" s="5"/>
    </row>
    <row r="2733" spans="1:3" x14ac:dyDescent="0.25">
      <c r="A2733" s="21"/>
      <c r="B2733" s="5"/>
      <c r="C2733" s="5"/>
    </row>
    <row r="2734" spans="1:3" x14ac:dyDescent="0.25">
      <c r="A2734" s="21"/>
      <c r="B2734" s="5"/>
      <c r="C2734" s="5"/>
    </row>
    <row r="2735" spans="1:3" x14ac:dyDescent="0.25">
      <c r="A2735" s="21"/>
      <c r="B2735" s="5"/>
      <c r="C2735" s="5"/>
    </row>
    <row r="2736" spans="1:3" x14ac:dyDescent="0.25">
      <c r="A2736" s="21"/>
      <c r="B2736" s="5"/>
      <c r="C2736" s="5"/>
    </row>
    <row r="2737" spans="1:3" x14ac:dyDescent="0.25">
      <c r="A2737" s="21"/>
      <c r="B2737" s="5"/>
      <c r="C2737" s="5"/>
    </row>
    <row r="2738" spans="1:3" x14ac:dyDescent="0.25">
      <c r="A2738" s="21"/>
      <c r="B2738" s="5"/>
      <c r="C2738" s="5"/>
    </row>
    <row r="2739" spans="1:3" x14ac:dyDescent="0.25">
      <c r="A2739" s="21"/>
      <c r="B2739" s="5"/>
      <c r="C2739" s="5"/>
    </row>
    <row r="2740" spans="1:3" x14ac:dyDescent="0.25">
      <c r="A2740" s="21"/>
      <c r="B2740" s="5"/>
      <c r="C2740" s="5"/>
    </row>
    <row r="2741" spans="1:3" x14ac:dyDescent="0.25">
      <c r="A2741" s="21"/>
      <c r="B2741" s="5"/>
      <c r="C2741" s="5"/>
    </row>
    <row r="2742" spans="1:3" x14ac:dyDescent="0.25">
      <c r="A2742" s="21"/>
      <c r="B2742" s="5"/>
      <c r="C2742" s="5"/>
    </row>
    <row r="2743" spans="1:3" x14ac:dyDescent="0.25">
      <c r="A2743" s="21"/>
      <c r="B2743" s="5"/>
      <c r="C2743" s="5"/>
    </row>
    <row r="2744" spans="1:3" x14ac:dyDescent="0.25">
      <c r="A2744" s="21"/>
      <c r="B2744" s="5"/>
      <c r="C2744" s="5"/>
    </row>
    <row r="2745" spans="1:3" x14ac:dyDescent="0.25">
      <c r="A2745" s="21"/>
      <c r="B2745" s="5"/>
      <c r="C2745" s="5"/>
    </row>
    <row r="2746" spans="1:3" x14ac:dyDescent="0.25">
      <c r="A2746" s="21"/>
      <c r="B2746" s="5"/>
      <c r="C2746" s="5"/>
    </row>
    <row r="2747" spans="1:3" x14ac:dyDescent="0.25">
      <c r="A2747" s="21"/>
      <c r="B2747" s="5"/>
      <c r="C2747" s="5"/>
    </row>
    <row r="2748" spans="1:3" x14ac:dyDescent="0.25">
      <c r="A2748" s="21"/>
      <c r="B2748" s="5"/>
      <c r="C2748" s="5"/>
    </row>
    <row r="2749" spans="1:3" x14ac:dyDescent="0.25">
      <c r="A2749" s="21"/>
      <c r="B2749" s="5"/>
      <c r="C2749" s="5"/>
    </row>
    <row r="2750" spans="1:3" x14ac:dyDescent="0.25">
      <c r="A2750" s="21"/>
      <c r="B2750" s="5"/>
      <c r="C2750" s="5"/>
    </row>
    <row r="2751" spans="1:3" x14ac:dyDescent="0.25">
      <c r="A2751" s="21"/>
      <c r="B2751" s="5"/>
      <c r="C2751" s="5"/>
    </row>
    <row r="2752" spans="1:3" x14ac:dyDescent="0.25">
      <c r="A2752" s="21"/>
      <c r="B2752" s="5"/>
      <c r="C2752" s="5"/>
    </row>
    <row r="2753" spans="1:3" x14ac:dyDescent="0.25">
      <c r="A2753" s="21"/>
      <c r="B2753" s="5"/>
      <c r="C2753" s="5"/>
    </row>
    <row r="2754" spans="1:3" x14ac:dyDescent="0.25">
      <c r="A2754" s="21"/>
      <c r="B2754" s="5"/>
      <c r="C2754" s="5"/>
    </row>
    <row r="2755" spans="1:3" x14ac:dyDescent="0.25">
      <c r="A2755" s="21"/>
      <c r="B2755" s="5"/>
      <c r="C2755" s="5"/>
    </row>
    <row r="2756" spans="1:3" x14ac:dyDescent="0.25">
      <c r="A2756" s="21"/>
      <c r="B2756" s="5"/>
      <c r="C2756" s="5"/>
    </row>
    <row r="2757" spans="1:3" x14ac:dyDescent="0.25">
      <c r="A2757" s="21"/>
      <c r="B2757" s="5"/>
      <c r="C2757" s="5"/>
    </row>
    <row r="2758" spans="1:3" x14ac:dyDescent="0.25">
      <c r="A2758" s="21"/>
      <c r="B2758" s="5"/>
      <c r="C2758" s="5"/>
    </row>
    <row r="2759" spans="1:3" x14ac:dyDescent="0.25">
      <c r="A2759" s="21"/>
      <c r="B2759" s="5"/>
      <c r="C2759" s="5"/>
    </row>
    <row r="2760" spans="1:3" x14ac:dyDescent="0.25">
      <c r="A2760" s="21"/>
      <c r="B2760" s="5"/>
      <c r="C2760" s="5"/>
    </row>
    <row r="2761" spans="1:3" x14ac:dyDescent="0.25">
      <c r="A2761" s="21"/>
      <c r="B2761" s="5"/>
      <c r="C2761" s="5"/>
    </row>
    <row r="2762" spans="1:3" x14ac:dyDescent="0.25">
      <c r="A2762" s="21"/>
      <c r="B2762" s="5"/>
      <c r="C2762" s="5"/>
    </row>
    <row r="2763" spans="1:3" x14ac:dyDescent="0.25">
      <c r="A2763" s="21"/>
      <c r="B2763" s="5"/>
      <c r="C2763" s="5"/>
    </row>
    <row r="2764" spans="1:3" x14ac:dyDescent="0.25">
      <c r="A2764" s="21"/>
      <c r="B2764" s="5"/>
      <c r="C2764" s="5"/>
    </row>
    <row r="2765" spans="1:3" x14ac:dyDescent="0.25">
      <c r="A2765" s="21"/>
      <c r="B2765" s="5"/>
      <c r="C2765" s="5"/>
    </row>
    <row r="2766" spans="1:3" x14ac:dyDescent="0.25">
      <c r="A2766" s="21"/>
      <c r="B2766" s="5"/>
      <c r="C2766" s="5"/>
    </row>
    <row r="2767" spans="1:3" x14ac:dyDescent="0.25">
      <c r="A2767" s="21"/>
      <c r="B2767" s="5"/>
      <c r="C2767" s="5"/>
    </row>
    <row r="2768" spans="1:3" x14ac:dyDescent="0.25">
      <c r="A2768" s="21"/>
      <c r="B2768" s="5"/>
      <c r="C2768" s="5"/>
    </row>
    <row r="2769" spans="1:3" x14ac:dyDescent="0.25">
      <c r="A2769" s="21"/>
      <c r="B2769" s="5"/>
      <c r="C2769" s="5"/>
    </row>
    <row r="2770" spans="1:3" x14ac:dyDescent="0.25">
      <c r="A2770" s="21"/>
      <c r="B2770" s="5"/>
      <c r="C2770" s="5"/>
    </row>
    <row r="2771" spans="1:3" x14ac:dyDescent="0.25">
      <c r="A2771" s="21"/>
      <c r="B2771" s="5"/>
      <c r="C2771" s="5"/>
    </row>
    <row r="2772" spans="1:3" x14ac:dyDescent="0.25">
      <c r="A2772" s="21"/>
      <c r="B2772" s="5"/>
      <c r="C2772" s="5"/>
    </row>
    <row r="2773" spans="1:3" x14ac:dyDescent="0.25">
      <c r="A2773" s="21"/>
      <c r="B2773" s="5"/>
      <c r="C2773" s="5"/>
    </row>
    <row r="2774" spans="1:3" x14ac:dyDescent="0.25">
      <c r="A2774" s="21"/>
      <c r="B2774" s="5"/>
      <c r="C2774" s="5"/>
    </row>
    <row r="2775" spans="1:3" x14ac:dyDescent="0.25">
      <c r="A2775" s="21"/>
      <c r="B2775" s="5"/>
      <c r="C2775" s="5"/>
    </row>
    <row r="2776" spans="1:3" x14ac:dyDescent="0.25">
      <c r="A2776" s="21"/>
      <c r="B2776" s="5"/>
      <c r="C2776" s="5"/>
    </row>
    <row r="2777" spans="1:3" x14ac:dyDescent="0.25">
      <c r="A2777" s="21"/>
      <c r="B2777" s="5"/>
      <c r="C2777" s="5"/>
    </row>
    <row r="2778" spans="1:3" x14ac:dyDescent="0.25">
      <c r="A2778" s="21"/>
      <c r="B2778" s="5"/>
      <c r="C2778" s="5"/>
    </row>
    <row r="2779" spans="1:3" x14ac:dyDescent="0.25">
      <c r="A2779" s="21"/>
      <c r="B2779" s="5"/>
      <c r="C2779" s="5"/>
    </row>
    <row r="2780" spans="1:3" x14ac:dyDescent="0.25">
      <c r="A2780" s="21"/>
      <c r="B2780" s="5"/>
      <c r="C2780" s="5"/>
    </row>
    <row r="2781" spans="1:3" x14ac:dyDescent="0.25">
      <c r="A2781" s="21"/>
      <c r="B2781" s="5"/>
      <c r="C2781" s="5"/>
    </row>
    <row r="2782" spans="1:3" x14ac:dyDescent="0.25">
      <c r="A2782" s="21"/>
      <c r="B2782" s="5"/>
      <c r="C2782" s="5"/>
    </row>
    <row r="2783" spans="1:3" x14ac:dyDescent="0.25">
      <c r="A2783" s="21"/>
      <c r="B2783" s="5"/>
      <c r="C2783" s="5"/>
    </row>
    <row r="2784" spans="1:3" x14ac:dyDescent="0.25">
      <c r="A2784" s="21"/>
      <c r="B2784" s="5"/>
      <c r="C2784" s="5"/>
    </row>
    <row r="2785" spans="1:3" x14ac:dyDescent="0.25">
      <c r="A2785" s="21"/>
      <c r="B2785" s="5"/>
      <c r="C2785" s="5"/>
    </row>
    <row r="2786" spans="1:3" x14ac:dyDescent="0.25">
      <c r="A2786" s="21"/>
      <c r="B2786" s="5"/>
      <c r="C2786" s="5"/>
    </row>
    <row r="2787" spans="1:3" x14ac:dyDescent="0.25">
      <c r="A2787" s="21"/>
      <c r="B2787" s="5"/>
      <c r="C2787" s="5"/>
    </row>
    <row r="2788" spans="1:3" x14ac:dyDescent="0.25">
      <c r="A2788" s="21"/>
      <c r="B2788" s="5"/>
      <c r="C2788" s="5"/>
    </row>
    <row r="2789" spans="1:3" x14ac:dyDescent="0.25">
      <c r="A2789" s="21"/>
      <c r="B2789" s="5"/>
      <c r="C2789" s="5"/>
    </row>
    <row r="2790" spans="1:3" x14ac:dyDescent="0.25">
      <c r="A2790" s="21"/>
      <c r="B2790" s="5"/>
      <c r="C2790" s="5"/>
    </row>
    <row r="2791" spans="1:3" x14ac:dyDescent="0.25">
      <c r="A2791" s="21"/>
      <c r="B2791" s="5"/>
      <c r="C2791" s="5"/>
    </row>
    <row r="2792" spans="1:3" x14ac:dyDescent="0.25">
      <c r="A2792" s="21"/>
      <c r="B2792" s="5"/>
      <c r="C2792" s="5"/>
    </row>
    <row r="2793" spans="1:3" x14ac:dyDescent="0.25">
      <c r="A2793" s="21"/>
      <c r="B2793" s="5"/>
      <c r="C2793" s="5"/>
    </row>
    <row r="2794" spans="1:3" x14ac:dyDescent="0.25">
      <c r="A2794" s="21"/>
      <c r="B2794" s="5"/>
      <c r="C2794" s="5"/>
    </row>
    <row r="2795" spans="1:3" x14ac:dyDescent="0.25">
      <c r="A2795" s="21"/>
      <c r="B2795" s="5"/>
      <c r="C2795" s="5"/>
    </row>
    <row r="2796" spans="1:3" x14ac:dyDescent="0.25">
      <c r="A2796" s="21"/>
      <c r="B2796" s="5"/>
      <c r="C2796" s="5"/>
    </row>
    <row r="2797" spans="1:3" x14ac:dyDescent="0.25">
      <c r="A2797" s="21"/>
      <c r="B2797" s="5"/>
      <c r="C2797" s="5"/>
    </row>
    <row r="2798" spans="1:3" x14ac:dyDescent="0.25">
      <c r="A2798" s="21"/>
      <c r="B2798" s="5"/>
      <c r="C2798" s="5"/>
    </row>
    <row r="2799" spans="1:3" x14ac:dyDescent="0.25">
      <c r="A2799" s="21"/>
      <c r="B2799" s="5"/>
      <c r="C2799" s="5"/>
    </row>
    <row r="2800" spans="1:3" x14ac:dyDescent="0.25">
      <c r="A2800" s="21"/>
      <c r="B2800" s="5"/>
      <c r="C2800" s="5"/>
    </row>
    <row r="2801" spans="1:3" x14ac:dyDescent="0.25">
      <c r="A2801" s="21"/>
      <c r="B2801" s="5"/>
      <c r="C2801" s="5"/>
    </row>
    <row r="2802" spans="1:3" x14ac:dyDescent="0.25">
      <c r="A2802" s="21"/>
      <c r="B2802" s="5"/>
      <c r="C2802" s="5"/>
    </row>
    <row r="2803" spans="1:3" x14ac:dyDescent="0.25">
      <c r="A2803" s="21"/>
      <c r="B2803" s="5"/>
      <c r="C2803" s="5"/>
    </row>
    <row r="2804" spans="1:3" x14ac:dyDescent="0.25">
      <c r="A2804" s="21"/>
      <c r="B2804" s="5"/>
      <c r="C2804" s="5"/>
    </row>
    <row r="2805" spans="1:3" x14ac:dyDescent="0.25">
      <c r="A2805" s="21"/>
      <c r="B2805" s="5"/>
      <c r="C2805" s="5"/>
    </row>
    <row r="2806" spans="1:3" x14ac:dyDescent="0.25">
      <c r="A2806" s="21"/>
      <c r="B2806" s="5"/>
      <c r="C2806" s="5"/>
    </row>
    <row r="2807" spans="1:3" x14ac:dyDescent="0.25">
      <c r="A2807" s="21"/>
      <c r="B2807" s="5"/>
      <c r="C2807" s="5"/>
    </row>
    <row r="2808" spans="1:3" x14ac:dyDescent="0.25">
      <c r="A2808" s="21"/>
      <c r="B2808" s="5"/>
      <c r="C2808" s="5"/>
    </row>
    <row r="2809" spans="1:3" x14ac:dyDescent="0.25">
      <c r="A2809" s="21"/>
      <c r="B2809" s="5"/>
      <c r="C2809" s="5"/>
    </row>
    <row r="2810" spans="1:3" x14ac:dyDescent="0.25">
      <c r="A2810" s="21"/>
      <c r="B2810" s="5"/>
      <c r="C2810" s="5"/>
    </row>
    <row r="2811" spans="1:3" x14ac:dyDescent="0.25">
      <c r="A2811" s="21"/>
      <c r="B2811" s="5"/>
      <c r="C2811" s="5"/>
    </row>
    <row r="2812" spans="1:3" x14ac:dyDescent="0.25">
      <c r="A2812" s="21"/>
      <c r="B2812" s="5"/>
      <c r="C2812" s="5"/>
    </row>
    <row r="2813" spans="1:3" x14ac:dyDescent="0.25">
      <c r="A2813" s="21"/>
      <c r="B2813" s="5"/>
      <c r="C2813" s="5"/>
    </row>
    <row r="2814" spans="1:3" x14ac:dyDescent="0.25">
      <c r="A2814" s="21"/>
      <c r="B2814" s="5"/>
      <c r="C2814" s="5"/>
    </row>
    <row r="2815" spans="1:3" x14ac:dyDescent="0.25">
      <c r="A2815" s="21"/>
      <c r="B2815" s="5"/>
      <c r="C2815" s="5"/>
    </row>
    <row r="2816" spans="1:3" x14ac:dyDescent="0.25">
      <c r="A2816" s="21"/>
      <c r="B2816" s="5"/>
      <c r="C2816" s="5"/>
    </row>
    <row r="2817" spans="1:3" x14ac:dyDescent="0.25">
      <c r="A2817" s="21"/>
      <c r="B2817" s="5"/>
      <c r="C2817" s="5"/>
    </row>
    <row r="2818" spans="1:3" x14ac:dyDescent="0.25">
      <c r="A2818" s="21"/>
      <c r="B2818" s="5"/>
      <c r="C2818" s="5"/>
    </row>
    <row r="2819" spans="1:3" x14ac:dyDescent="0.25">
      <c r="A2819" s="21"/>
      <c r="B2819" s="5"/>
      <c r="C2819" s="5"/>
    </row>
    <row r="2820" spans="1:3" x14ac:dyDescent="0.25">
      <c r="A2820" s="21"/>
      <c r="B2820" s="5"/>
      <c r="C2820" s="5"/>
    </row>
    <row r="2821" spans="1:3" x14ac:dyDescent="0.25">
      <c r="A2821" s="21"/>
      <c r="B2821" s="5"/>
      <c r="C2821" s="5"/>
    </row>
    <row r="2822" spans="1:3" x14ac:dyDescent="0.25">
      <c r="A2822" s="21"/>
      <c r="B2822" s="5"/>
      <c r="C2822" s="5"/>
    </row>
    <row r="2823" spans="1:3" x14ac:dyDescent="0.25">
      <c r="A2823" s="21"/>
      <c r="B2823" s="5"/>
      <c r="C2823" s="5"/>
    </row>
    <row r="2824" spans="1:3" x14ac:dyDescent="0.25">
      <c r="A2824" s="21"/>
      <c r="B2824" s="5"/>
      <c r="C2824" s="5"/>
    </row>
    <row r="2825" spans="1:3" x14ac:dyDescent="0.25">
      <c r="A2825" s="21"/>
      <c r="B2825" s="5"/>
      <c r="C2825" s="5"/>
    </row>
    <row r="2826" spans="1:3" x14ac:dyDescent="0.25">
      <c r="A2826" s="21"/>
      <c r="B2826" s="5"/>
      <c r="C2826" s="5"/>
    </row>
    <row r="2827" spans="1:3" x14ac:dyDescent="0.25">
      <c r="A2827" s="21"/>
      <c r="B2827" s="5"/>
      <c r="C2827" s="5"/>
    </row>
    <row r="2828" spans="1:3" x14ac:dyDescent="0.25">
      <c r="A2828" s="21"/>
      <c r="B2828" s="5"/>
      <c r="C2828" s="5"/>
    </row>
    <row r="2829" spans="1:3" x14ac:dyDescent="0.25">
      <c r="A2829" s="21"/>
      <c r="B2829" s="5"/>
      <c r="C2829" s="5"/>
    </row>
    <row r="2830" spans="1:3" x14ac:dyDescent="0.25">
      <c r="A2830" s="21"/>
      <c r="B2830" s="5"/>
      <c r="C2830" s="5"/>
    </row>
    <row r="2831" spans="1:3" x14ac:dyDescent="0.25">
      <c r="A2831" s="21"/>
      <c r="B2831" s="5"/>
      <c r="C2831" s="5"/>
    </row>
    <row r="2832" spans="1:3" x14ac:dyDescent="0.25">
      <c r="A2832" s="21"/>
      <c r="B2832" s="5"/>
      <c r="C2832" s="5"/>
    </row>
    <row r="2833" spans="1:3" x14ac:dyDescent="0.25">
      <c r="A2833" s="21"/>
      <c r="B2833" s="5"/>
      <c r="C2833" s="5"/>
    </row>
    <row r="2834" spans="1:3" x14ac:dyDescent="0.25">
      <c r="A2834" s="21"/>
      <c r="B2834" s="5"/>
      <c r="C2834" s="5"/>
    </row>
    <row r="2835" spans="1:3" x14ac:dyDescent="0.25">
      <c r="A2835" s="21"/>
      <c r="B2835" s="5"/>
      <c r="C2835" s="5"/>
    </row>
    <row r="2836" spans="1:3" x14ac:dyDescent="0.25">
      <c r="A2836" s="21"/>
      <c r="B2836" s="5"/>
      <c r="C2836" s="5"/>
    </row>
    <row r="2837" spans="1:3" x14ac:dyDescent="0.25">
      <c r="A2837" s="21"/>
      <c r="B2837" s="5"/>
      <c r="C2837" s="5"/>
    </row>
    <row r="2838" spans="1:3" x14ac:dyDescent="0.25">
      <c r="A2838" s="21"/>
      <c r="B2838" s="5"/>
      <c r="C2838" s="5"/>
    </row>
    <row r="2839" spans="1:3" x14ac:dyDescent="0.25">
      <c r="A2839" s="21"/>
      <c r="B2839" s="5"/>
      <c r="C2839" s="5"/>
    </row>
    <row r="2840" spans="1:3" x14ac:dyDescent="0.25">
      <c r="A2840" s="21"/>
      <c r="B2840" s="5"/>
      <c r="C2840" s="5"/>
    </row>
    <row r="2841" spans="1:3" x14ac:dyDescent="0.25">
      <c r="A2841" s="21"/>
      <c r="B2841" s="5"/>
      <c r="C2841" s="5"/>
    </row>
    <row r="2842" spans="1:3" x14ac:dyDescent="0.25">
      <c r="A2842" s="21"/>
      <c r="B2842" s="5"/>
      <c r="C2842" s="5"/>
    </row>
    <row r="2843" spans="1:3" x14ac:dyDescent="0.25">
      <c r="A2843" s="21"/>
      <c r="B2843" s="5"/>
      <c r="C2843" s="5"/>
    </row>
    <row r="2844" spans="1:3" x14ac:dyDescent="0.25">
      <c r="A2844" s="21"/>
      <c r="B2844" s="5"/>
      <c r="C2844" s="5"/>
    </row>
    <row r="2845" spans="1:3" x14ac:dyDescent="0.25">
      <c r="A2845" s="21"/>
      <c r="B2845" s="5"/>
      <c r="C2845" s="5"/>
    </row>
    <row r="2846" spans="1:3" x14ac:dyDescent="0.25">
      <c r="A2846" s="21"/>
      <c r="B2846" s="5"/>
      <c r="C2846" s="5"/>
    </row>
    <row r="2847" spans="1:3" x14ac:dyDescent="0.25">
      <c r="A2847" s="21"/>
      <c r="B2847" s="5"/>
      <c r="C2847" s="5"/>
    </row>
    <row r="2848" spans="1:3" x14ac:dyDescent="0.25">
      <c r="A2848" s="21"/>
      <c r="B2848" s="5"/>
      <c r="C2848" s="5"/>
    </row>
    <row r="2849" spans="1:3" x14ac:dyDescent="0.25">
      <c r="A2849" s="21"/>
      <c r="B2849" s="5"/>
      <c r="C2849" s="5"/>
    </row>
    <row r="2850" spans="1:3" x14ac:dyDescent="0.25">
      <c r="A2850" s="21"/>
      <c r="B2850" s="5"/>
      <c r="C2850" s="5"/>
    </row>
    <row r="2851" spans="1:3" x14ac:dyDescent="0.25">
      <c r="A2851" s="21"/>
      <c r="B2851" s="5"/>
      <c r="C2851" s="5"/>
    </row>
    <row r="2852" spans="1:3" x14ac:dyDescent="0.25">
      <c r="A2852" s="21"/>
      <c r="B2852" s="5"/>
      <c r="C2852" s="5"/>
    </row>
    <row r="2853" spans="1:3" x14ac:dyDescent="0.25">
      <c r="A2853" s="21"/>
      <c r="B2853" s="5"/>
      <c r="C2853" s="5"/>
    </row>
    <row r="2854" spans="1:3" x14ac:dyDescent="0.25">
      <c r="A2854" s="21"/>
      <c r="B2854" s="5"/>
      <c r="C2854" s="5"/>
    </row>
    <row r="2855" spans="1:3" x14ac:dyDescent="0.25">
      <c r="A2855" s="21"/>
      <c r="B2855" s="5"/>
      <c r="C2855" s="5"/>
    </row>
    <row r="2856" spans="1:3" x14ac:dyDescent="0.25">
      <c r="A2856" s="21"/>
      <c r="B2856" s="5"/>
      <c r="C2856" s="5"/>
    </row>
    <row r="2857" spans="1:3" x14ac:dyDescent="0.25">
      <c r="A2857" s="21"/>
      <c r="B2857" s="5"/>
      <c r="C2857" s="5"/>
    </row>
    <row r="2858" spans="1:3" x14ac:dyDescent="0.25">
      <c r="A2858" s="21"/>
      <c r="B2858" s="5"/>
      <c r="C2858" s="5"/>
    </row>
    <row r="2859" spans="1:3" x14ac:dyDescent="0.25">
      <c r="A2859" s="21"/>
      <c r="B2859" s="5"/>
      <c r="C2859" s="5"/>
    </row>
    <row r="2860" spans="1:3" x14ac:dyDescent="0.25">
      <c r="A2860" s="21"/>
      <c r="B2860" s="5"/>
      <c r="C2860" s="5"/>
    </row>
    <row r="2861" spans="1:3" x14ac:dyDescent="0.25">
      <c r="A2861" s="21"/>
      <c r="B2861" s="5"/>
      <c r="C2861" s="5"/>
    </row>
    <row r="2862" spans="1:3" x14ac:dyDescent="0.25">
      <c r="A2862" s="21"/>
      <c r="B2862" s="5"/>
      <c r="C2862" s="5"/>
    </row>
    <row r="2863" spans="1:3" x14ac:dyDescent="0.25">
      <c r="A2863" s="21"/>
      <c r="B2863" s="5"/>
      <c r="C2863" s="5"/>
    </row>
    <row r="2864" spans="1:3" x14ac:dyDescent="0.25">
      <c r="A2864" s="21"/>
      <c r="B2864" s="5"/>
      <c r="C2864" s="5"/>
    </row>
    <row r="2865" spans="1:3" x14ac:dyDescent="0.25">
      <c r="A2865" s="21"/>
      <c r="B2865" s="5"/>
      <c r="C2865" s="5"/>
    </row>
    <row r="2866" spans="1:3" x14ac:dyDescent="0.25">
      <c r="A2866" s="21"/>
      <c r="B2866" s="5"/>
      <c r="C2866" s="5"/>
    </row>
    <row r="2867" spans="1:3" x14ac:dyDescent="0.25">
      <c r="A2867" s="21"/>
      <c r="B2867" s="5"/>
      <c r="C2867" s="5"/>
    </row>
    <row r="2868" spans="1:3" x14ac:dyDescent="0.25">
      <c r="A2868" s="21"/>
      <c r="B2868" s="5"/>
      <c r="C2868" s="5"/>
    </row>
    <row r="2869" spans="1:3" x14ac:dyDescent="0.25">
      <c r="A2869" s="21"/>
      <c r="B2869" s="5"/>
      <c r="C2869" s="5"/>
    </row>
    <row r="2870" spans="1:3" x14ac:dyDescent="0.25">
      <c r="A2870" s="21"/>
      <c r="B2870" s="5"/>
      <c r="C2870" s="5"/>
    </row>
    <row r="2871" spans="1:3" x14ac:dyDescent="0.25">
      <c r="A2871" s="21"/>
      <c r="B2871" s="5"/>
      <c r="C2871" s="5"/>
    </row>
    <row r="2872" spans="1:3" x14ac:dyDescent="0.25">
      <c r="A2872" s="21"/>
      <c r="B2872" s="5"/>
      <c r="C2872" s="5"/>
    </row>
    <row r="2873" spans="1:3" x14ac:dyDescent="0.25">
      <c r="A2873" s="21"/>
      <c r="B2873" s="5"/>
      <c r="C2873" s="5"/>
    </row>
    <row r="2874" spans="1:3" x14ac:dyDescent="0.25">
      <c r="A2874" s="21"/>
      <c r="B2874" s="5"/>
      <c r="C2874" s="5"/>
    </row>
    <row r="2875" spans="1:3" x14ac:dyDescent="0.25">
      <c r="A2875" s="21"/>
      <c r="B2875" s="5"/>
      <c r="C2875" s="5"/>
    </row>
    <row r="2876" spans="1:3" x14ac:dyDescent="0.25">
      <c r="A2876" s="21"/>
      <c r="B2876" s="5"/>
      <c r="C2876" s="5"/>
    </row>
    <row r="2877" spans="1:3" x14ac:dyDescent="0.25">
      <c r="A2877" s="21"/>
      <c r="B2877" s="5"/>
      <c r="C2877" s="5"/>
    </row>
    <row r="2878" spans="1:3" x14ac:dyDescent="0.25">
      <c r="A2878" s="21"/>
      <c r="B2878" s="5"/>
      <c r="C2878" s="5"/>
    </row>
    <row r="2879" spans="1:3" x14ac:dyDescent="0.25">
      <c r="A2879" s="21"/>
      <c r="B2879" s="5"/>
      <c r="C2879" s="5"/>
    </row>
    <row r="2880" spans="1:3" x14ac:dyDescent="0.25">
      <c r="A2880" s="21"/>
      <c r="B2880" s="5"/>
      <c r="C2880" s="5"/>
    </row>
    <row r="2881" spans="1:3" x14ac:dyDescent="0.25">
      <c r="A2881" s="21"/>
      <c r="B2881" s="5"/>
      <c r="C2881" s="5"/>
    </row>
    <row r="2882" spans="1:3" x14ac:dyDescent="0.25">
      <c r="A2882" s="21"/>
      <c r="B2882" s="5"/>
      <c r="C2882" s="5"/>
    </row>
    <row r="2883" spans="1:3" x14ac:dyDescent="0.25">
      <c r="A2883" s="21"/>
      <c r="B2883" s="5"/>
      <c r="C2883" s="5"/>
    </row>
    <row r="2884" spans="1:3" x14ac:dyDescent="0.25">
      <c r="A2884" s="21"/>
      <c r="B2884" s="5"/>
      <c r="C2884" s="5"/>
    </row>
    <row r="2885" spans="1:3" x14ac:dyDescent="0.25">
      <c r="A2885" s="21"/>
      <c r="B2885" s="5"/>
      <c r="C2885" s="5"/>
    </row>
    <row r="2886" spans="1:3" x14ac:dyDescent="0.25">
      <c r="A2886" s="21"/>
      <c r="B2886" s="5"/>
      <c r="C2886" s="5"/>
    </row>
    <row r="2887" spans="1:3" x14ac:dyDescent="0.25">
      <c r="A2887" s="21"/>
      <c r="B2887" s="5"/>
      <c r="C2887" s="5"/>
    </row>
    <row r="2888" spans="1:3" x14ac:dyDescent="0.25">
      <c r="A2888" s="21"/>
      <c r="B2888" s="5"/>
      <c r="C2888" s="5"/>
    </row>
    <row r="2889" spans="1:3" x14ac:dyDescent="0.25">
      <c r="A2889" s="21"/>
      <c r="B2889" s="5"/>
      <c r="C2889" s="5"/>
    </row>
    <row r="2890" spans="1:3" x14ac:dyDescent="0.25">
      <c r="A2890" s="21"/>
      <c r="B2890" s="5"/>
      <c r="C2890" s="5"/>
    </row>
    <row r="2891" spans="1:3" x14ac:dyDescent="0.25">
      <c r="A2891" s="21"/>
      <c r="B2891" s="5"/>
      <c r="C2891" s="5"/>
    </row>
    <row r="2892" spans="1:3" x14ac:dyDescent="0.25">
      <c r="A2892" s="21"/>
      <c r="B2892" s="5"/>
      <c r="C2892" s="5"/>
    </row>
    <row r="2893" spans="1:3" x14ac:dyDescent="0.25">
      <c r="A2893" s="21"/>
      <c r="B2893" s="5"/>
      <c r="C2893" s="5"/>
    </row>
    <row r="2894" spans="1:3" x14ac:dyDescent="0.25">
      <c r="A2894" s="21"/>
      <c r="B2894" s="5"/>
      <c r="C2894" s="5"/>
    </row>
    <row r="2895" spans="1:3" x14ac:dyDescent="0.25">
      <c r="A2895" s="21"/>
      <c r="B2895" s="5"/>
      <c r="C2895" s="5"/>
    </row>
    <row r="2896" spans="1:3" x14ac:dyDescent="0.25">
      <c r="A2896" s="21"/>
      <c r="B2896" s="5"/>
      <c r="C2896" s="5"/>
    </row>
    <row r="2897" spans="1:3" x14ac:dyDescent="0.25">
      <c r="A2897" s="21"/>
      <c r="B2897" s="5"/>
      <c r="C2897" s="5"/>
    </row>
    <row r="2898" spans="1:3" x14ac:dyDescent="0.25">
      <c r="A2898" s="21"/>
      <c r="B2898" s="5"/>
      <c r="C2898" s="5"/>
    </row>
    <row r="2899" spans="1:3" x14ac:dyDescent="0.25">
      <c r="A2899" s="21"/>
      <c r="B2899" s="5"/>
      <c r="C2899" s="5"/>
    </row>
    <row r="2900" spans="1:3" x14ac:dyDescent="0.25">
      <c r="A2900" s="21"/>
      <c r="B2900" s="5"/>
      <c r="C2900" s="5"/>
    </row>
    <row r="2901" spans="1:3" x14ac:dyDescent="0.25">
      <c r="A2901" s="21"/>
      <c r="B2901" s="5"/>
      <c r="C2901" s="5"/>
    </row>
    <row r="2902" spans="1:3" x14ac:dyDescent="0.25">
      <c r="A2902" s="21"/>
      <c r="B2902" s="5"/>
      <c r="C2902" s="5"/>
    </row>
    <row r="2903" spans="1:3" x14ac:dyDescent="0.25">
      <c r="A2903" s="21"/>
      <c r="B2903" s="5"/>
      <c r="C2903" s="5"/>
    </row>
    <row r="2904" spans="1:3" x14ac:dyDescent="0.25">
      <c r="A2904" s="21"/>
      <c r="B2904" s="5"/>
      <c r="C2904" s="5"/>
    </row>
    <row r="2905" spans="1:3" x14ac:dyDescent="0.25">
      <c r="A2905" s="21"/>
      <c r="B2905" s="5"/>
      <c r="C2905" s="5"/>
    </row>
    <row r="2906" spans="1:3" x14ac:dyDescent="0.25">
      <c r="A2906" s="21"/>
      <c r="B2906" s="5"/>
      <c r="C2906" s="5"/>
    </row>
    <row r="2907" spans="1:3" x14ac:dyDescent="0.25">
      <c r="A2907" s="21"/>
      <c r="B2907" s="5"/>
      <c r="C2907" s="5"/>
    </row>
    <row r="2908" spans="1:3" x14ac:dyDescent="0.25">
      <c r="A2908" s="21"/>
      <c r="B2908" s="5"/>
      <c r="C2908" s="5"/>
    </row>
    <row r="2909" spans="1:3" x14ac:dyDescent="0.25">
      <c r="A2909" s="21"/>
      <c r="B2909" s="5"/>
      <c r="C2909" s="5"/>
    </row>
    <row r="2910" spans="1:3" x14ac:dyDescent="0.25">
      <c r="A2910" s="21"/>
      <c r="B2910" s="5"/>
      <c r="C2910" s="5"/>
    </row>
    <row r="2911" spans="1:3" x14ac:dyDescent="0.25">
      <c r="A2911" s="21"/>
      <c r="B2911" s="5"/>
      <c r="C2911" s="5"/>
    </row>
    <row r="2912" spans="1:3" x14ac:dyDescent="0.25">
      <c r="A2912" s="21"/>
      <c r="B2912" s="5"/>
      <c r="C2912" s="5"/>
    </row>
    <row r="2913" spans="1:3" x14ac:dyDescent="0.25">
      <c r="A2913" s="21"/>
      <c r="B2913" s="5"/>
      <c r="C2913" s="5"/>
    </row>
    <row r="2914" spans="1:3" x14ac:dyDescent="0.25">
      <c r="A2914" s="21"/>
      <c r="B2914" s="5"/>
      <c r="C2914" s="5"/>
    </row>
    <row r="2915" spans="1:3" x14ac:dyDescent="0.25">
      <c r="A2915" s="21"/>
      <c r="B2915" s="5"/>
      <c r="C2915" s="5"/>
    </row>
    <row r="2916" spans="1:3" x14ac:dyDescent="0.25">
      <c r="A2916" s="21"/>
      <c r="B2916" s="5"/>
      <c r="C2916" s="5"/>
    </row>
    <row r="2917" spans="1:3" x14ac:dyDescent="0.25">
      <c r="A2917" s="21"/>
      <c r="B2917" s="5"/>
      <c r="C2917" s="5"/>
    </row>
    <row r="2918" spans="1:3" x14ac:dyDescent="0.25">
      <c r="A2918" s="21"/>
      <c r="B2918" s="5"/>
      <c r="C2918" s="5"/>
    </row>
    <row r="2919" spans="1:3" x14ac:dyDescent="0.25">
      <c r="A2919" s="21"/>
      <c r="B2919" s="5"/>
      <c r="C2919" s="5"/>
    </row>
    <row r="2920" spans="1:3" x14ac:dyDescent="0.25">
      <c r="A2920" s="21"/>
      <c r="B2920" s="5"/>
      <c r="C2920" s="5"/>
    </row>
    <row r="2921" spans="1:3" x14ac:dyDescent="0.25">
      <c r="A2921" s="21"/>
      <c r="B2921" s="5"/>
      <c r="C2921" s="5"/>
    </row>
    <row r="2922" spans="1:3" x14ac:dyDescent="0.25">
      <c r="A2922" s="21"/>
      <c r="B2922" s="5"/>
      <c r="C2922" s="5"/>
    </row>
    <row r="2923" spans="1:3" x14ac:dyDescent="0.25">
      <c r="A2923" s="21"/>
      <c r="B2923" s="5"/>
      <c r="C2923" s="5"/>
    </row>
    <row r="2924" spans="1:3" x14ac:dyDescent="0.25">
      <c r="A2924" s="21"/>
      <c r="B2924" s="5"/>
      <c r="C2924" s="5"/>
    </row>
    <row r="2925" spans="1:3" x14ac:dyDescent="0.25">
      <c r="A2925" s="21"/>
      <c r="B2925" s="5"/>
      <c r="C2925" s="5"/>
    </row>
    <row r="2926" spans="1:3" x14ac:dyDescent="0.25">
      <c r="A2926" s="21"/>
      <c r="B2926" s="5"/>
      <c r="C2926" s="5"/>
    </row>
    <row r="2927" spans="1:3" x14ac:dyDescent="0.25">
      <c r="A2927" s="21"/>
      <c r="B2927" s="5"/>
      <c r="C2927" s="5"/>
    </row>
    <row r="2928" spans="1:3" x14ac:dyDescent="0.25">
      <c r="A2928" s="21"/>
      <c r="B2928" s="5"/>
      <c r="C2928" s="5"/>
    </row>
    <row r="2929" spans="1:3" x14ac:dyDescent="0.25">
      <c r="A2929" s="21"/>
      <c r="B2929" s="5"/>
      <c r="C2929" s="5"/>
    </row>
    <row r="2930" spans="1:3" x14ac:dyDescent="0.25">
      <c r="A2930" s="21"/>
      <c r="B2930" s="5"/>
      <c r="C2930" s="5"/>
    </row>
    <row r="2931" spans="1:3" x14ac:dyDescent="0.25">
      <c r="A2931" s="21"/>
      <c r="B2931" s="5"/>
      <c r="C2931" s="5"/>
    </row>
    <row r="2932" spans="1:3" x14ac:dyDescent="0.25">
      <c r="A2932" s="21"/>
      <c r="B2932" s="5"/>
      <c r="C2932" s="5"/>
    </row>
    <row r="2933" spans="1:3" x14ac:dyDescent="0.25">
      <c r="A2933" s="21"/>
      <c r="B2933" s="5"/>
      <c r="C2933" s="5"/>
    </row>
    <row r="2934" spans="1:3" x14ac:dyDescent="0.25">
      <c r="A2934" s="21"/>
      <c r="B2934" s="5"/>
      <c r="C2934" s="5"/>
    </row>
    <row r="2935" spans="1:3" x14ac:dyDescent="0.25">
      <c r="A2935" s="21"/>
      <c r="B2935" s="5"/>
      <c r="C2935" s="5"/>
    </row>
    <row r="2936" spans="1:3" x14ac:dyDescent="0.25">
      <c r="A2936" s="21"/>
      <c r="B2936" s="5"/>
      <c r="C2936" s="5"/>
    </row>
    <row r="2937" spans="1:3" x14ac:dyDescent="0.25">
      <c r="A2937" s="21"/>
      <c r="B2937" s="5"/>
      <c r="C2937" s="5"/>
    </row>
    <row r="2938" spans="1:3" x14ac:dyDescent="0.25">
      <c r="A2938" s="21"/>
      <c r="B2938" s="5"/>
      <c r="C2938" s="5"/>
    </row>
    <row r="2939" spans="1:3" x14ac:dyDescent="0.25">
      <c r="A2939" s="21"/>
      <c r="B2939" s="5"/>
      <c r="C2939" s="5"/>
    </row>
    <row r="2940" spans="1:3" x14ac:dyDescent="0.25">
      <c r="A2940" s="21"/>
      <c r="B2940" s="5"/>
      <c r="C2940" s="5"/>
    </row>
    <row r="2941" spans="1:3" x14ac:dyDescent="0.25">
      <c r="A2941" s="21"/>
      <c r="B2941" s="5"/>
      <c r="C2941" s="5"/>
    </row>
    <row r="2942" spans="1:3" x14ac:dyDescent="0.25">
      <c r="A2942" s="21"/>
      <c r="B2942" s="5"/>
      <c r="C2942" s="5"/>
    </row>
    <row r="2943" spans="1:3" x14ac:dyDescent="0.25">
      <c r="A2943" s="21"/>
      <c r="B2943" s="5"/>
      <c r="C2943" s="5"/>
    </row>
    <row r="2944" spans="1:3" x14ac:dyDescent="0.25">
      <c r="A2944" s="21"/>
      <c r="B2944" s="5"/>
      <c r="C2944" s="5"/>
    </row>
    <row r="2945" spans="1:3" x14ac:dyDescent="0.25">
      <c r="A2945" s="21"/>
      <c r="B2945" s="5"/>
      <c r="C2945" s="5"/>
    </row>
    <row r="2946" spans="1:3" x14ac:dyDescent="0.25">
      <c r="A2946" s="21"/>
      <c r="B2946" s="5"/>
      <c r="C2946" s="5"/>
    </row>
    <row r="2947" spans="1:3" x14ac:dyDescent="0.25">
      <c r="A2947" s="21"/>
      <c r="B2947" s="5"/>
      <c r="C2947" s="5"/>
    </row>
    <row r="2948" spans="1:3" x14ac:dyDescent="0.25">
      <c r="A2948" s="21"/>
      <c r="B2948" s="5"/>
      <c r="C2948" s="5"/>
    </row>
    <row r="2949" spans="1:3" x14ac:dyDescent="0.25">
      <c r="A2949" s="21"/>
      <c r="B2949" s="5"/>
      <c r="C2949" s="5"/>
    </row>
    <row r="2950" spans="1:3" x14ac:dyDescent="0.25">
      <c r="A2950" s="21"/>
      <c r="B2950" s="5"/>
      <c r="C2950" s="5"/>
    </row>
    <row r="2951" spans="1:3" x14ac:dyDescent="0.25">
      <c r="A2951" s="21"/>
      <c r="B2951" s="5"/>
      <c r="C2951" s="5"/>
    </row>
    <row r="2952" spans="1:3" x14ac:dyDescent="0.25">
      <c r="A2952" s="21"/>
      <c r="B2952" s="5"/>
      <c r="C2952" s="5"/>
    </row>
    <row r="2953" spans="1:3" x14ac:dyDescent="0.25">
      <c r="A2953" s="21"/>
      <c r="B2953" s="5"/>
      <c r="C2953" s="5"/>
    </row>
    <row r="2954" spans="1:3" x14ac:dyDescent="0.25">
      <c r="A2954" s="21"/>
      <c r="B2954" s="5"/>
      <c r="C2954" s="5"/>
    </row>
    <row r="2955" spans="1:3" x14ac:dyDescent="0.25">
      <c r="A2955" s="21"/>
      <c r="B2955" s="5"/>
      <c r="C2955" s="5"/>
    </row>
    <row r="2956" spans="1:3" x14ac:dyDescent="0.25">
      <c r="A2956" s="21"/>
      <c r="B2956" s="5"/>
      <c r="C2956" s="5"/>
    </row>
    <row r="2957" spans="1:3" x14ac:dyDescent="0.25">
      <c r="A2957" s="21"/>
      <c r="B2957" s="5"/>
      <c r="C2957" s="5"/>
    </row>
    <row r="2958" spans="1:3" x14ac:dyDescent="0.25">
      <c r="A2958" s="21"/>
      <c r="B2958" s="5"/>
      <c r="C2958" s="5"/>
    </row>
    <row r="2959" spans="1:3" x14ac:dyDescent="0.25">
      <c r="A2959" s="21"/>
      <c r="B2959" s="5"/>
      <c r="C2959" s="5"/>
    </row>
    <row r="2960" spans="1:3" x14ac:dyDescent="0.25">
      <c r="A2960" s="21"/>
      <c r="B2960" s="5"/>
      <c r="C2960" s="5"/>
    </row>
    <row r="2961" spans="1:3" x14ac:dyDescent="0.25">
      <c r="A2961" s="21"/>
      <c r="B2961" s="5"/>
      <c r="C2961" s="5"/>
    </row>
    <row r="2962" spans="1:3" x14ac:dyDescent="0.25">
      <c r="A2962" s="21"/>
      <c r="B2962" s="5"/>
      <c r="C2962" s="5"/>
    </row>
    <row r="2963" spans="1:3" x14ac:dyDescent="0.25">
      <c r="A2963" s="21"/>
      <c r="B2963" s="5"/>
      <c r="C2963" s="5"/>
    </row>
    <row r="2964" spans="1:3" x14ac:dyDescent="0.25">
      <c r="A2964" s="21"/>
      <c r="B2964" s="5"/>
      <c r="C2964" s="5"/>
    </row>
    <row r="2965" spans="1:3" x14ac:dyDescent="0.25">
      <c r="A2965" s="21"/>
      <c r="B2965" s="5"/>
      <c r="C2965" s="5"/>
    </row>
    <row r="2966" spans="1:3" x14ac:dyDescent="0.25">
      <c r="A2966" s="21"/>
      <c r="B2966" s="5"/>
      <c r="C2966" s="5"/>
    </row>
    <row r="2967" spans="1:3" x14ac:dyDescent="0.25">
      <c r="A2967" s="21"/>
      <c r="B2967" s="5"/>
      <c r="C2967" s="5"/>
    </row>
    <row r="2968" spans="1:3" x14ac:dyDescent="0.25">
      <c r="A2968" s="21"/>
      <c r="B2968" s="5"/>
      <c r="C2968" s="5"/>
    </row>
    <row r="2969" spans="1:3" x14ac:dyDescent="0.25">
      <c r="A2969" s="21"/>
      <c r="B2969" s="5"/>
      <c r="C2969" s="5"/>
    </row>
    <row r="2970" spans="1:3" x14ac:dyDescent="0.25">
      <c r="A2970" s="21"/>
      <c r="B2970" s="5"/>
      <c r="C2970" s="5"/>
    </row>
    <row r="2971" spans="1:3" x14ac:dyDescent="0.25">
      <c r="A2971" s="21"/>
      <c r="B2971" s="5"/>
      <c r="C2971" s="5"/>
    </row>
    <row r="2972" spans="1:3" x14ac:dyDescent="0.25">
      <c r="A2972" s="21"/>
      <c r="B2972" s="5"/>
      <c r="C2972" s="5"/>
    </row>
    <row r="2973" spans="1:3" x14ac:dyDescent="0.25">
      <c r="A2973" s="21"/>
      <c r="B2973" s="5"/>
      <c r="C2973" s="5"/>
    </row>
    <row r="2974" spans="1:3" x14ac:dyDescent="0.25">
      <c r="A2974" s="21"/>
      <c r="B2974" s="5"/>
      <c r="C2974" s="5"/>
    </row>
    <row r="2975" spans="1:3" x14ac:dyDescent="0.25">
      <c r="A2975" s="21"/>
      <c r="B2975" s="5"/>
      <c r="C2975" s="5"/>
    </row>
    <row r="2976" spans="1:3" x14ac:dyDescent="0.25">
      <c r="A2976" s="21"/>
      <c r="B2976" s="5"/>
      <c r="C2976" s="5"/>
    </row>
    <row r="2977" spans="1:3" x14ac:dyDescent="0.25">
      <c r="A2977" s="21"/>
      <c r="B2977" s="5"/>
      <c r="C2977" s="5"/>
    </row>
    <row r="2978" spans="1:3" x14ac:dyDescent="0.25">
      <c r="A2978" s="21"/>
      <c r="B2978" s="5"/>
      <c r="C2978" s="5"/>
    </row>
    <row r="2979" spans="1:3" x14ac:dyDescent="0.25">
      <c r="A2979" s="21"/>
      <c r="B2979" s="5"/>
      <c r="C2979" s="5"/>
    </row>
    <row r="2980" spans="1:3" x14ac:dyDescent="0.25">
      <c r="A2980" s="21"/>
      <c r="B2980" s="5"/>
      <c r="C2980" s="5"/>
    </row>
    <row r="2981" spans="1:3" x14ac:dyDescent="0.25">
      <c r="A2981" s="21"/>
      <c r="B2981" s="5"/>
      <c r="C2981" s="5"/>
    </row>
    <row r="2982" spans="1:3" x14ac:dyDescent="0.25">
      <c r="A2982" s="21"/>
      <c r="B2982" s="5"/>
      <c r="C2982" s="5"/>
    </row>
    <row r="2983" spans="1:3" x14ac:dyDescent="0.25">
      <c r="A2983" s="21"/>
      <c r="B2983" s="5"/>
      <c r="C2983" s="5"/>
    </row>
    <row r="2984" spans="1:3" x14ac:dyDescent="0.25">
      <c r="A2984" s="21"/>
      <c r="B2984" s="5"/>
      <c r="C2984" s="5"/>
    </row>
    <row r="2985" spans="1:3" x14ac:dyDescent="0.25">
      <c r="A2985" s="21"/>
      <c r="B2985" s="5"/>
      <c r="C2985" s="5"/>
    </row>
    <row r="2986" spans="1:3" x14ac:dyDescent="0.25">
      <c r="A2986" s="21"/>
      <c r="B2986" s="5"/>
      <c r="C2986" s="5"/>
    </row>
    <row r="2987" spans="1:3" x14ac:dyDescent="0.25">
      <c r="A2987" s="21"/>
      <c r="B2987" s="5"/>
      <c r="C2987" s="5"/>
    </row>
    <row r="2988" spans="1:3" x14ac:dyDescent="0.25">
      <c r="A2988" s="21"/>
      <c r="B2988" s="5"/>
      <c r="C2988" s="5"/>
    </row>
    <row r="2989" spans="1:3" x14ac:dyDescent="0.25">
      <c r="A2989" s="21"/>
      <c r="B2989" s="5"/>
      <c r="C2989" s="5"/>
    </row>
    <row r="2990" spans="1:3" x14ac:dyDescent="0.25">
      <c r="A2990" s="21"/>
      <c r="B2990" s="5"/>
      <c r="C2990" s="5"/>
    </row>
    <row r="2991" spans="1:3" x14ac:dyDescent="0.25">
      <c r="A2991" s="21"/>
      <c r="B2991" s="5"/>
      <c r="C2991" s="5"/>
    </row>
    <row r="2992" spans="1:3" x14ac:dyDescent="0.25">
      <c r="A2992" s="21"/>
      <c r="B2992" s="5"/>
      <c r="C2992" s="5"/>
    </row>
    <row r="2993" spans="1:3" x14ac:dyDescent="0.25">
      <c r="A2993" s="21"/>
      <c r="B2993" s="5"/>
      <c r="C2993" s="5"/>
    </row>
    <row r="2994" spans="1:3" x14ac:dyDescent="0.25">
      <c r="A2994" s="21"/>
      <c r="B2994" s="5"/>
      <c r="C2994" s="5"/>
    </row>
    <row r="2995" spans="1:3" x14ac:dyDescent="0.25">
      <c r="A2995" s="21"/>
      <c r="B2995" s="5"/>
      <c r="C2995" s="5"/>
    </row>
    <row r="2996" spans="1:3" x14ac:dyDescent="0.25">
      <c r="A2996" s="21"/>
      <c r="B2996" s="5"/>
      <c r="C2996" s="5"/>
    </row>
    <row r="2997" spans="1:3" x14ac:dyDescent="0.25">
      <c r="A2997" s="21"/>
      <c r="B2997" s="5"/>
      <c r="C2997" s="5"/>
    </row>
    <row r="2998" spans="1:3" x14ac:dyDescent="0.25">
      <c r="A2998" s="21"/>
      <c r="B2998" s="5"/>
      <c r="C2998" s="5"/>
    </row>
    <row r="2999" spans="1:3" x14ac:dyDescent="0.25">
      <c r="A2999" s="21"/>
      <c r="B2999" s="5"/>
      <c r="C2999" s="5"/>
    </row>
    <row r="3000" spans="1:3" x14ac:dyDescent="0.25">
      <c r="A3000" s="21"/>
      <c r="B3000" s="5"/>
      <c r="C3000" s="5"/>
    </row>
    <row r="3001" spans="1:3" x14ac:dyDescent="0.25">
      <c r="A3001" s="21"/>
      <c r="B3001" s="5"/>
      <c r="C3001" s="5"/>
    </row>
    <row r="3002" spans="1:3" x14ac:dyDescent="0.25">
      <c r="A3002" s="21"/>
      <c r="B3002" s="5"/>
      <c r="C3002" s="5"/>
    </row>
    <row r="3003" spans="1:3" x14ac:dyDescent="0.25">
      <c r="A3003" s="21"/>
      <c r="B3003" s="5"/>
      <c r="C3003" s="5"/>
    </row>
    <row r="3004" spans="1:3" x14ac:dyDescent="0.25">
      <c r="A3004" s="21"/>
      <c r="B3004" s="5"/>
      <c r="C3004" s="5"/>
    </row>
    <row r="3005" spans="1:3" x14ac:dyDescent="0.25">
      <c r="A3005" s="21"/>
      <c r="B3005" s="5"/>
      <c r="C3005" s="5"/>
    </row>
    <row r="3006" spans="1:3" x14ac:dyDescent="0.25">
      <c r="A3006" s="21"/>
      <c r="B3006" s="5"/>
      <c r="C3006" s="5"/>
    </row>
    <row r="3007" spans="1:3" x14ac:dyDescent="0.25">
      <c r="A3007" s="21"/>
      <c r="B3007" s="5"/>
      <c r="C3007" s="5"/>
    </row>
    <row r="3008" spans="1:3" x14ac:dyDescent="0.25">
      <c r="A3008" s="21"/>
      <c r="B3008" s="5"/>
      <c r="C3008" s="5"/>
    </row>
    <row r="3009" spans="1:3" x14ac:dyDescent="0.25">
      <c r="A3009" s="21"/>
      <c r="B3009" s="5"/>
      <c r="C3009" s="5"/>
    </row>
    <row r="3010" spans="1:3" x14ac:dyDescent="0.25">
      <c r="A3010" s="21"/>
      <c r="B3010" s="5"/>
      <c r="C3010" s="5"/>
    </row>
    <row r="3011" spans="1:3" x14ac:dyDescent="0.25">
      <c r="A3011" s="21"/>
      <c r="B3011" s="5"/>
      <c r="C3011" s="5"/>
    </row>
    <row r="3012" spans="1:3" x14ac:dyDescent="0.25">
      <c r="A3012" s="21"/>
      <c r="B3012" s="5"/>
      <c r="C3012" s="5"/>
    </row>
    <row r="3013" spans="1:3" x14ac:dyDescent="0.25">
      <c r="A3013" s="21"/>
      <c r="B3013" s="5"/>
      <c r="C3013" s="5"/>
    </row>
    <row r="3014" spans="1:3" x14ac:dyDescent="0.25">
      <c r="A3014" s="21"/>
      <c r="B3014" s="5"/>
      <c r="C3014" s="5"/>
    </row>
    <row r="3015" spans="1:3" x14ac:dyDescent="0.25">
      <c r="A3015" s="21"/>
      <c r="B3015" s="5"/>
      <c r="C3015" s="5"/>
    </row>
    <row r="3016" spans="1:3" x14ac:dyDescent="0.25">
      <c r="A3016" s="21"/>
      <c r="B3016" s="5"/>
      <c r="C3016" s="5"/>
    </row>
    <row r="3017" spans="1:3" x14ac:dyDescent="0.25">
      <c r="A3017" s="21"/>
      <c r="B3017" s="5"/>
      <c r="C3017" s="5"/>
    </row>
    <row r="3018" spans="1:3" x14ac:dyDescent="0.25">
      <c r="A3018" s="21"/>
      <c r="B3018" s="5"/>
      <c r="C3018" s="5"/>
    </row>
    <row r="3019" spans="1:3" x14ac:dyDescent="0.25">
      <c r="A3019" s="21"/>
      <c r="B3019" s="5"/>
      <c r="C3019" s="5"/>
    </row>
    <row r="3020" spans="1:3" x14ac:dyDescent="0.25">
      <c r="A3020" s="21"/>
      <c r="B3020" s="5"/>
      <c r="C3020" s="5"/>
    </row>
    <row r="3021" spans="1:3" x14ac:dyDescent="0.25">
      <c r="A3021" s="21"/>
      <c r="B3021" s="5"/>
      <c r="C3021" s="5"/>
    </row>
    <row r="3022" spans="1:3" x14ac:dyDescent="0.25">
      <c r="A3022" s="21"/>
      <c r="B3022" s="5"/>
      <c r="C3022" s="5"/>
    </row>
    <row r="3023" spans="1:3" x14ac:dyDescent="0.25">
      <c r="A3023" s="21"/>
      <c r="B3023" s="5"/>
      <c r="C3023" s="5"/>
    </row>
    <row r="3024" spans="1:3" x14ac:dyDescent="0.25">
      <c r="A3024" s="21"/>
      <c r="B3024" s="5"/>
      <c r="C3024" s="5"/>
    </row>
    <row r="3025" spans="1:3" x14ac:dyDescent="0.25">
      <c r="A3025" s="21"/>
      <c r="B3025" s="5"/>
      <c r="C3025" s="5"/>
    </row>
    <row r="3026" spans="1:3" x14ac:dyDescent="0.25">
      <c r="A3026" s="21"/>
      <c r="B3026" s="5"/>
      <c r="C3026" s="5"/>
    </row>
    <row r="3027" spans="1:3" x14ac:dyDescent="0.25">
      <c r="A3027" s="21"/>
      <c r="B3027" s="5"/>
      <c r="C3027" s="5"/>
    </row>
    <row r="3028" spans="1:3" x14ac:dyDescent="0.25">
      <c r="A3028" s="21"/>
      <c r="B3028" s="5"/>
      <c r="C3028" s="5"/>
    </row>
    <row r="3029" spans="1:3" x14ac:dyDescent="0.25">
      <c r="A3029" s="21"/>
      <c r="B3029" s="5"/>
      <c r="C3029" s="5"/>
    </row>
    <row r="3030" spans="1:3" x14ac:dyDescent="0.25">
      <c r="A3030" s="21"/>
      <c r="B3030" s="5"/>
      <c r="C3030" s="5"/>
    </row>
    <row r="3031" spans="1:3" x14ac:dyDescent="0.25">
      <c r="A3031" s="21"/>
      <c r="B3031" s="5"/>
      <c r="C3031" s="5"/>
    </row>
    <row r="3032" spans="1:3" x14ac:dyDescent="0.25">
      <c r="A3032" s="21"/>
      <c r="B3032" s="5"/>
      <c r="C3032" s="5"/>
    </row>
    <row r="3033" spans="1:3" x14ac:dyDescent="0.25">
      <c r="A3033" s="21"/>
      <c r="B3033" s="5"/>
      <c r="C3033" s="5"/>
    </row>
    <row r="3034" spans="1:3" x14ac:dyDescent="0.25">
      <c r="A3034" s="21"/>
      <c r="B3034" s="5"/>
      <c r="C3034" s="5"/>
    </row>
    <row r="3035" spans="1:3" x14ac:dyDescent="0.25">
      <c r="A3035" s="21"/>
      <c r="B3035" s="5"/>
      <c r="C3035" s="5"/>
    </row>
    <row r="3036" spans="1:3" x14ac:dyDescent="0.25">
      <c r="A3036" s="21"/>
      <c r="B3036" s="5"/>
      <c r="C3036" s="5"/>
    </row>
    <row r="3037" spans="1:3" x14ac:dyDescent="0.25">
      <c r="A3037" s="21"/>
      <c r="B3037" s="5"/>
      <c r="C3037" s="5"/>
    </row>
    <row r="3038" spans="1:3" x14ac:dyDescent="0.25">
      <c r="A3038" s="21"/>
      <c r="B3038" s="5"/>
      <c r="C3038" s="5"/>
    </row>
    <row r="3039" spans="1:3" x14ac:dyDescent="0.25">
      <c r="A3039" s="21"/>
      <c r="B3039" s="5"/>
      <c r="C3039" s="5"/>
    </row>
    <row r="3040" spans="1:3" x14ac:dyDescent="0.25">
      <c r="A3040" s="21"/>
      <c r="B3040" s="5"/>
      <c r="C3040" s="5"/>
    </row>
    <row r="3041" spans="1:3" x14ac:dyDescent="0.25">
      <c r="A3041" s="21"/>
      <c r="B3041" s="5"/>
      <c r="C3041" s="5"/>
    </row>
    <row r="3042" spans="1:3" x14ac:dyDescent="0.25">
      <c r="A3042" s="21"/>
      <c r="B3042" s="5"/>
      <c r="C3042" s="5"/>
    </row>
    <row r="3043" spans="1:3" x14ac:dyDescent="0.25">
      <c r="A3043" s="21"/>
      <c r="B3043" s="5"/>
      <c r="C3043" s="5"/>
    </row>
    <row r="3044" spans="1:3" x14ac:dyDescent="0.25">
      <c r="A3044" s="21"/>
      <c r="B3044" s="5"/>
      <c r="C3044" s="5"/>
    </row>
    <row r="3045" spans="1:3" x14ac:dyDescent="0.25">
      <c r="A3045" s="21"/>
      <c r="B3045" s="5"/>
      <c r="C3045" s="5"/>
    </row>
    <row r="3046" spans="1:3" x14ac:dyDescent="0.25">
      <c r="A3046" s="21"/>
      <c r="B3046" s="5"/>
      <c r="C3046" s="5"/>
    </row>
    <row r="3047" spans="1:3" x14ac:dyDescent="0.25">
      <c r="A3047" s="21"/>
      <c r="B3047" s="5"/>
      <c r="C3047" s="5"/>
    </row>
    <row r="3048" spans="1:3" x14ac:dyDescent="0.25">
      <c r="A3048" s="21"/>
      <c r="B3048" s="5"/>
      <c r="C3048" s="5"/>
    </row>
    <row r="3049" spans="1:3" x14ac:dyDescent="0.25">
      <c r="A3049" s="21"/>
      <c r="B3049" s="5"/>
      <c r="C3049" s="5"/>
    </row>
    <row r="3050" spans="1:3" x14ac:dyDescent="0.25">
      <c r="A3050" s="21"/>
      <c r="B3050" s="5"/>
      <c r="C3050" s="5"/>
    </row>
    <row r="3051" spans="1:3" x14ac:dyDescent="0.25">
      <c r="A3051" s="21"/>
      <c r="B3051" s="5"/>
      <c r="C3051" s="5"/>
    </row>
    <row r="3052" spans="1:3" x14ac:dyDescent="0.25">
      <c r="A3052" s="21"/>
      <c r="B3052" s="5"/>
      <c r="C3052" s="5"/>
    </row>
    <row r="3053" spans="1:3" x14ac:dyDescent="0.25">
      <c r="A3053" s="21"/>
      <c r="B3053" s="5"/>
      <c r="C3053" s="5"/>
    </row>
    <row r="3054" spans="1:3" x14ac:dyDescent="0.25">
      <c r="A3054" s="21"/>
      <c r="B3054" s="5"/>
      <c r="C3054" s="5"/>
    </row>
    <row r="3055" spans="1:3" x14ac:dyDescent="0.25">
      <c r="A3055" s="21"/>
      <c r="B3055" s="5"/>
      <c r="C3055" s="5"/>
    </row>
    <row r="3056" spans="1:3" x14ac:dyDescent="0.25">
      <c r="A3056" s="21"/>
      <c r="B3056" s="5"/>
      <c r="C3056" s="5"/>
    </row>
    <row r="3057" spans="1:3" x14ac:dyDescent="0.25">
      <c r="A3057" s="21"/>
      <c r="B3057" s="5"/>
      <c r="C3057" s="5"/>
    </row>
    <row r="3058" spans="1:3" x14ac:dyDescent="0.25">
      <c r="A3058" s="21"/>
      <c r="B3058" s="5"/>
      <c r="C3058" s="5"/>
    </row>
    <row r="3059" spans="1:3" x14ac:dyDescent="0.25">
      <c r="A3059" s="21"/>
      <c r="B3059" s="5"/>
      <c r="C3059" s="5"/>
    </row>
    <row r="3060" spans="1:3" x14ac:dyDescent="0.25">
      <c r="A3060" s="21"/>
      <c r="B3060" s="5"/>
      <c r="C3060" s="5"/>
    </row>
    <row r="3061" spans="1:3" x14ac:dyDescent="0.25">
      <c r="A3061" s="21"/>
      <c r="B3061" s="5"/>
      <c r="C3061" s="5"/>
    </row>
    <row r="3062" spans="1:3" x14ac:dyDescent="0.25">
      <c r="A3062" s="21"/>
      <c r="B3062" s="5"/>
      <c r="C3062" s="5"/>
    </row>
    <row r="3063" spans="1:3" x14ac:dyDescent="0.25">
      <c r="A3063" s="21"/>
      <c r="B3063" s="5"/>
      <c r="C3063" s="5"/>
    </row>
    <row r="3064" spans="1:3" x14ac:dyDescent="0.25">
      <c r="A3064" s="21"/>
      <c r="B3064" s="5"/>
      <c r="C3064" s="5"/>
    </row>
    <row r="3065" spans="1:3" x14ac:dyDescent="0.25">
      <c r="A3065" s="21"/>
      <c r="B3065" s="5"/>
      <c r="C3065" s="5"/>
    </row>
    <row r="3066" spans="1:3" x14ac:dyDescent="0.25">
      <c r="A3066" s="21"/>
      <c r="B3066" s="5"/>
      <c r="C3066" s="5"/>
    </row>
    <row r="3067" spans="1:3" x14ac:dyDescent="0.25">
      <c r="A3067" s="21"/>
      <c r="B3067" s="5"/>
      <c r="C3067" s="5"/>
    </row>
    <row r="3068" spans="1:3" x14ac:dyDescent="0.25">
      <c r="A3068" s="21"/>
      <c r="B3068" s="5"/>
      <c r="C3068" s="5"/>
    </row>
    <row r="3069" spans="1:3" x14ac:dyDescent="0.25">
      <c r="A3069" s="21"/>
      <c r="B3069" s="5"/>
      <c r="C3069" s="5"/>
    </row>
    <row r="3070" spans="1:3" x14ac:dyDescent="0.25">
      <c r="A3070" s="21"/>
      <c r="B3070" s="5"/>
      <c r="C3070" s="5"/>
    </row>
    <row r="3071" spans="1:3" x14ac:dyDescent="0.25">
      <c r="A3071" s="21"/>
      <c r="B3071" s="5"/>
      <c r="C3071" s="5"/>
    </row>
    <row r="3072" spans="1:3" x14ac:dyDescent="0.25">
      <c r="A3072" s="21"/>
      <c r="B3072" s="5"/>
      <c r="C3072" s="5"/>
    </row>
    <row r="3073" spans="1:3" x14ac:dyDescent="0.25">
      <c r="A3073" s="21"/>
      <c r="B3073" s="5"/>
      <c r="C3073" s="5"/>
    </row>
    <row r="3074" spans="1:3" x14ac:dyDescent="0.25">
      <c r="A3074" s="21"/>
      <c r="B3074" s="5"/>
      <c r="C3074" s="5"/>
    </row>
    <row r="3075" spans="1:3" x14ac:dyDescent="0.25">
      <c r="A3075" s="21"/>
      <c r="B3075" s="5"/>
      <c r="C3075" s="5"/>
    </row>
    <row r="3076" spans="1:3" x14ac:dyDescent="0.25">
      <c r="A3076" s="21"/>
      <c r="B3076" s="5"/>
      <c r="C3076" s="5"/>
    </row>
    <row r="3077" spans="1:3" x14ac:dyDescent="0.25">
      <c r="A3077" s="21"/>
      <c r="B3077" s="5"/>
      <c r="C3077" s="5"/>
    </row>
    <row r="3078" spans="1:3" x14ac:dyDescent="0.25">
      <c r="A3078" s="21"/>
      <c r="B3078" s="5"/>
      <c r="C3078" s="5"/>
    </row>
    <row r="3079" spans="1:3" x14ac:dyDescent="0.25">
      <c r="A3079" s="21"/>
      <c r="B3079" s="5"/>
      <c r="C3079" s="5"/>
    </row>
    <row r="3080" spans="1:3" x14ac:dyDescent="0.25">
      <c r="A3080" s="21"/>
      <c r="B3080" s="5"/>
      <c r="C3080" s="5"/>
    </row>
    <row r="3081" spans="1:3" x14ac:dyDescent="0.25">
      <c r="A3081" s="21"/>
      <c r="B3081" s="5"/>
      <c r="C3081" s="5"/>
    </row>
    <row r="3082" spans="1:3" x14ac:dyDescent="0.25">
      <c r="A3082" s="21"/>
      <c r="B3082" s="5"/>
      <c r="C3082" s="5"/>
    </row>
    <row r="3083" spans="1:3" x14ac:dyDescent="0.25">
      <c r="A3083" s="21"/>
      <c r="B3083" s="5"/>
      <c r="C3083" s="5"/>
    </row>
    <row r="3084" spans="1:3" x14ac:dyDescent="0.25">
      <c r="A3084" s="21"/>
      <c r="B3084" s="5"/>
      <c r="C3084" s="5"/>
    </row>
    <row r="3085" spans="1:3" x14ac:dyDescent="0.25">
      <c r="A3085" s="21"/>
      <c r="B3085" s="5"/>
      <c r="C3085" s="5"/>
    </row>
    <row r="3086" spans="1:3" x14ac:dyDescent="0.25">
      <c r="A3086" s="21"/>
      <c r="B3086" s="5"/>
      <c r="C3086" s="5"/>
    </row>
    <row r="3087" spans="1:3" x14ac:dyDescent="0.25">
      <c r="A3087" s="21"/>
      <c r="B3087" s="5"/>
      <c r="C3087" s="5"/>
    </row>
    <row r="3088" spans="1:3" x14ac:dyDescent="0.25">
      <c r="A3088" s="21"/>
      <c r="B3088" s="5"/>
      <c r="C3088" s="5"/>
    </row>
    <row r="3089" spans="1:3" x14ac:dyDescent="0.25">
      <c r="A3089" s="21"/>
      <c r="B3089" s="5"/>
      <c r="C3089" s="5"/>
    </row>
    <row r="3090" spans="1:3" x14ac:dyDescent="0.25">
      <c r="A3090" s="21"/>
      <c r="B3090" s="5"/>
      <c r="C3090" s="5"/>
    </row>
    <row r="3091" spans="1:3" x14ac:dyDescent="0.25">
      <c r="A3091" s="21"/>
      <c r="B3091" s="5"/>
      <c r="C3091" s="5"/>
    </row>
    <row r="3092" spans="1:3" x14ac:dyDescent="0.25">
      <c r="A3092" s="21"/>
      <c r="B3092" s="5"/>
      <c r="C3092" s="5"/>
    </row>
    <row r="3093" spans="1:3" x14ac:dyDescent="0.25">
      <c r="A3093" s="21"/>
      <c r="B3093" s="5"/>
      <c r="C3093" s="5"/>
    </row>
    <row r="3094" spans="1:3" x14ac:dyDescent="0.25">
      <c r="A3094" s="21"/>
      <c r="B3094" s="5"/>
      <c r="C3094" s="5"/>
    </row>
    <row r="3095" spans="1:3" x14ac:dyDescent="0.25">
      <c r="A3095" s="21"/>
      <c r="B3095" s="5"/>
      <c r="C3095" s="5"/>
    </row>
    <row r="3096" spans="1:3" x14ac:dyDescent="0.25">
      <c r="A3096" s="21"/>
      <c r="B3096" s="5"/>
      <c r="C3096" s="5"/>
    </row>
    <row r="3097" spans="1:3" x14ac:dyDescent="0.25">
      <c r="A3097" s="21"/>
      <c r="B3097" s="5"/>
      <c r="C3097" s="5"/>
    </row>
    <row r="3098" spans="1:3" x14ac:dyDescent="0.25">
      <c r="A3098" s="21"/>
      <c r="B3098" s="5"/>
      <c r="C3098" s="5"/>
    </row>
    <row r="3099" spans="1:3" x14ac:dyDescent="0.25">
      <c r="A3099" s="21"/>
      <c r="B3099" s="5"/>
      <c r="C3099" s="5"/>
    </row>
    <row r="3100" spans="1:3" x14ac:dyDescent="0.25">
      <c r="A3100" s="21"/>
      <c r="B3100" s="5"/>
      <c r="C3100" s="5"/>
    </row>
    <row r="3101" spans="1:3" x14ac:dyDescent="0.25">
      <c r="A3101" s="21"/>
      <c r="B3101" s="5"/>
      <c r="C3101" s="5"/>
    </row>
    <row r="3102" spans="1:3" x14ac:dyDescent="0.25">
      <c r="A3102" s="21"/>
      <c r="B3102" s="5"/>
      <c r="C3102" s="5"/>
    </row>
    <row r="3103" spans="1:3" x14ac:dyDescent="0.25">
      <c r="A3103" s="21"/>
      <c r="B3103" s="5"/>
      <c r="C3103" s="5"/>
    </row>
    <row r="3104" spans="1:3" x14ac:dyDescent="0.25">
      <c r="A3104" s="21"/>
      <c r="B3104" s="5"/>
      <c r="C3104" s="5"/>
    </row>
    <row r="3105" spans="1:3" x14ac:dyDescent="0.25">
      <c r="A3105" s="21"/>
      <c r="B3105" s="5"/>
      <c r="C3105" s="5"/>
    </row>
    <row r="3106" spans="1:3" x14ac:dyDescent="0.25">
      <c r="A3106" s="21"/>
      <c r="B3106" s="5"/>
      <c r="C3106" s="5"/>
    </row>
    <row r="3107" spans="1:3" x14ac:dyDescent="0.25">
      <c r="A3107" s="21"/>
      <c r="B3107" s="5"/>
      <c r="C3107" s="5"/>
    </row>
    <row r="3108" spans="1:3" x14ac:dyDescent="0.25">
      <c r="A3108" s="21"/>
      <c r="B3108" s="5"/>
      <c r="C3108" s="5"/>
    </row>
    <row r="3109" spans="1:3" x14ac:dyDescent="0.25">
      <c r="A3109" s="21"/>
      <c r="B3109" s="5"/>
      <c r="C3109" s="5"/>
    </row>
    <row r="3110" spans="1:3" x14ac:dyDescent="0.25">
      <c r="A3110" s="21"/>
      <c r="B3110" s="5"/>
      <c r="C3110" s="5"/>
    </row>
    <row r="3111" spans="1:3" x14ac:dyDescent="0.25">
      <c r="A3111" s="21"/>
      <c r="B3111" s="5"/>
      <c r="C3111" s="5"/>
    </row>
    <row r="3112" spans="1:3" x14ac:dyDescent="0.25">
      <c r="A3112" s="21"/>
      <c r="B3112" s="5"/>
      <c r="C3112" s="5"/>
    </row>
    <row r="3113" spans="1:3" x14ac:dyDescent="0.25">
      <c r="A3113" s="21"/>
      <c r="B3113" s="5"/>
      <c r="C3113" s="5"/>
    </row>
    <row r="3114" spans="1:3" x14ac:dyDescent="0.25">
      <c r="A3114" s="21"/>
      <c r="B3114" s="5"/>
      <c r="C3114" s="5"/>
    </row>
    <row r="3115" spans="1:3" x14ac:dyDescent="0.25">
      <c r="A3115" s="21"/>
      <c r="B3115" s="5"/>
      <c r="C3115" s="5"/>
    </row>
    <row r="3116" spans="1:3" x14ac:dyDescent="0.25">
      <c r="A3116" s="21"/>
      <c r="B3116" s="5"/>
      <c r="C3116" s="5"/>
    </row>
    <row r="3117" spans="1:3" x14ac:dyDescent="0.25">
      <c r="A3117" s="21"/>
      <c r="B3117" s="5"/>
      <c r="C3117" s="5"/>
    </row>
    <row r="3118" spans="1:3" x14ac:dyDescent="0.25">
      <c r="A3118" s="21"/>
      <c r="B3118" s="5"/>
      <c r="C3118" s="5"/>
    </row>
    <row r="3119" spans="1:3" x14ac:dyDescent="0.25">
      <c r="A3119" s="21"/>
      <c r="B3119" s="5"/>
      <c r="C3119" s="5"/>
    </row>
    <row r="3120" spans="1:3" x14ac:dyDescent="0.25">
      <c r="A3120" s="21"/>
      <c r="B3120" s="5"/>
      <c r="C3120" s="5"/>
    </row>
    <row r="3121" spans="1:3" x14ac:dyDescent="0.25">
      <c r="A3121" s="21"/>
      <c r="B3121" s="5"/>
      <c r="C3121" s="5"/>
    </row>
    <row r="3122" spans="1:3" x14ac:dyDescent="0.25">
      <c r="A3122" s="21"/>
      <c r="B3122" s="5"/>
      <c r="C3122" s="5"/>
    </row>
    <row r="3123" spans="1:3" x14ac:dyDescent="0.25">
      <c r="A3123" s="21"/>
      <c r="B3123" s="5"/>
      <c r="C3123" s="5"/>
    </row>
    <row r="3124" spans="1:3" x14ac:dyDescent="0.25">
      <c r="A3124" s="21"/>
      <c r="B3124" s="5"/>
      <c r="C3124" s="5"/>
    </row>
    <row r="3125" spans="1:3" x14ac:dyDescent="0.25">
      <c r="A3125" s="21"/>
      <c r="B3125" s="5"/>
      <c r="C3125" s="5"/>
    </row>
    <row r="3126" spans="1:3" x14ac:dyDescent="0.25">
      <c r="A3126" s="21"/>
      <c r="B3126" s="5"/>
      <c r="C3126" s="5"/>
    </row>
    <row r="3127" spans="1:3" x14ac:dyDescent="0.25">
      <c r="A3127" s="21"/>
      <c r="B3127" s="5"/>
      <c r="C3127" s="5"/>
    </row>
    <row r="3128" spans="1:3" x14ac:dyDescent="0.25">
      <c r="A3128" s="21"/>
      <c r="B3128" s="5"/>
      <c r="C3128" s="5"/>
    </row>
    <row r="3129" spans="1:3" x14ac:dyDescent="0.25">
      <c r="A3129" s="21"/>
      <c r="B3129" s="5"/>
      <c r="C3129" s="5"/>
    </row>
    <row r="3130" spans="1:3" x14ac:dyDescent="0.25">
      <c r="A3130" s="21"/>
      <c r="B3130" s="5"/>
      <c r="C3130" s="5"/>
    </row>
    <row r="3131" spans="1:3" x14ac:dyDescent="0.25">
      <c r="A3131" s="21"/>
      <c r="B3131" s="5"/>
      <c r="C3131" s="5"/>
    </row>
    <row r="3132" spans="1:3" x14ac:dyDescent="0.25">
      <c r="A3132" s="21"/>
      <c r="B3132" s="5"/>
      <c r="C3132" s="5"/>
    </row>
    <row r="3133" spans="1:3" x14ac:dyDescent="0.25">
      <c r="A3133" s="21"/>
      <c r="B3133" s="5"/>
      <c r="C3133" s="5"/>
    </row>
    <row r="3134" spans="1:3" x14ac:dyDescent="0.25">
      <c r="A3134" s="21"/>
      <c r="B3134" s="5"/>
      <c r="C3134" s="5"/>
    </row>
    <row r="3135" spans="1:3" x14ac:dyDescent="0.25">
      <c r="A3135" s="21"/>
      <c r="B3135" s="5"/>
      <c r="C3135" s="5"/>
    </row>
    <row r="3136" spans="1:3" x14ac:dyDescent="0.25">
      <c r="A3136" s="21"/>
      <c r="B3136" s="5"/>
      <c r="C3136" s="5"/>
    </row>
    <row r="3137" spans="1:3" x14ac:dyDescent="0.25">
      <c r="A3137" s="21"/>
      <c r="B3137" s="5"/>
      <c r="C3137" s="5"/>
    </row>
    <row r="3138" spans="1:3" x14ac:dyDescent="0.25">
      <c r="A3138" s="21"/>
      <c r="B3138" s="5"/>
      <c r="C3138" s="5"/>
    </row>
    <row r="3139" spans="1:3" x14ac:dyDescent="0.25">
      <c r="A3139" s="21"/>
      <c r="B3139" s="5"/>
      <c r="C3139" s="5"/>
    </row>
    <row r="3140" spans="1:3" x14ac:dyDescent="0.25">
      <c r="A3140" s="21"/>
      <c r="B3140" s="5"/>
      <c r="C3140" s="5"/>
    </row>
    <row r="3141" spans="1:3" x14ac:dyDescent="0.25">
      <c r="A3141" s="21"/>
      <c r="B3141" s="5"/>
      <c r="C3141" s="5"/>
    </row>
    <row r="3142" spans="1:3" x14ac:dyDescent="0.25">
      <c r="A3142" s="21"/>
      <c r="B3142" s="5"/>
      <c r="C3142" s="5"/>
    </row>
    <row r="3143" spans="1:3" x14ac:dyDescent="0.25">
      <c r="A3143" s="21"/>
      <c r="B3143" s="5"/>
      <c r="C3143" s="5"/>
    </row>
    <row r="3144" spans="1:3" x14ac:dyDescent="0.25">
      <c r="A3144" s="21"/>
      <c r="B3144" s="5"/>
      <c r="C3144" s="5"/>
    </row>
    <row r="3145" spans="1:3" x14ac:dyDescent="0.25">
      <c r="A3145" s="21"/>
      <c r="B3145" s="5"/>
      <c r="C3145" s="5"/>
    </row>
    <row r="3146" spans="1:3" x14ac:dyDescent="0.25">
      <c r="A3146" s="21"/>
      <c r="B3146" s="5"/>
      <c r="C3146" s="5"/>
    </row>
    <row r="3147" spans="1:3" x14ac:dyDescent="0.25">
      <c r="A3147" s="21"/>
      <c r="B3147" s="5"/>
      <c r="C3147" s="5"/>
    </row>
    <row r="3148" spans="1:3" x14ac:dyDescent="0.25">
      <c r="A3148" s="21"/>
      <c r="B3148" s="5"/>
      <c r="C3148" s="5"/>
    </row>
    <row r="3149" spans="1:3" x14ac:dyDescent="0.25">
      <c r="A3149" s="21"/>
      <c r="B3149" s="5"/>
      <c r="C3149" s="5"/>
    </row>
    <row r="3150" spans="1:3" x14ac:dyDescent="0.25">
      <c r="A3150" s="21"/>
      <c r="B3150" s="5"/>
      <c r="C3150" s="5"/>
    </row>
    <row r="3151" spans="1:3" x14ac:dyDescent="0.25">
      <c r="A3151" s="21"/>
      <c r="B3151" s="5"/>
      <c r="C3151" s="5"/>
    </row>
    <row r="3152" spans="1:3" x14ac:dyDescent="0.25">
      <c r="A3152" s="21"/>
      <c r="B3152" s="5"/>
      <c r="C3152" s="5"/>
    </row>
    <row r="3153" spans="1:3" x14ac:dyDescent="0.25">
      <c r="A3153" s="21"/>
      <c r="B3153" s="5"/>
      <c r="C3153" s="5"/>
    </row>
    <row r="3154" spans="1:3" x14ac:dyDescent="0.25">
      <c r="A3154" s="21"/>
      <c r="B3154" s="5"/>
      <c r="C3154" s="5"/>
    </row>
    <row r="3155" spans="1:3" x14ac:dyDescent="0.25">
      <c r="A3155" s="21"/>
      <c r="B3155" s="5"/>
      <c r="C3155" s="5"/>
    </row>
    <row r="3156" spans="1:3" x14ac:dyDescent="0.25">
      <c r="A3156" s="21"/>
      <c r="B3156" s="5"/>
      <c r="C3156" s="5"/>
    </row>
    <row r="3157" spans="1:3" x14ac:dyDescent="0.25">
      <c r="A3157" s="21"/>
      <c r="B3157" s="5"/>
      <c r="C3157" s="5"/>
    </row>
    <row r="3158" spans="1:3" x14ac:dyDescent="0.25">
      <c r="A3158" s="21"/>
      <c r="B3158" s="5"/>
      <c r="C3158" s="5"/>
    </row>
    <row r="3159" spans="1:3" x14ac:dyDescent="0.25">
      <c r="A3159" s="21"/>
      <c r="B3159" s="5"/>
      <c r="C3159" s="5"/>
    </row>
    <row r="3160" spans="1:3" x14ac:dyDescent="0.25">
      <c r="A3160" s="21"/>
      <c r="B3160" s="5"/>
      <c r="C3160" s="5"/>
    </row>
    <row r="3161" spans="1:3" x14ac:dyDescent="0.25">
      <c r="A3161" s="21"/>
      <c r="B3161" s="5"/>
      <c r="C3161" s="5"/>
    </row>
    <row r="3162" spans="1:3" x14ac:dyDescent="0.25">
      <c r="A3162" s="21"/>
      <c r="B3162" s="5"/>
      <c r="C3162" s="5"/>
    </row>
    <row r="3163" spans="1:3" x14ac:dyDescent="0.25">
      <c r="A3163" s="21"/>
      <c r="B3163" s="5"/>
      <c r="C3163" s="5"/>
    </row>
    <row r="3164" spans="1:3" x14ac:dyDescent="0.25">
      <c r="A3164" s="21"/>
      <c r="B3164" s="5"/>
      <c r="C3164" s="5"/>
    </row>
    <row r="3165" spans="1:3" x14ac:dyDescent="0.25">
      <c r="A3165" s="21"/>
      <c r="B3165" s="5"/>
      <c r="C3165" s="5"/>
    </row>
    <row r="3166" spans="1:3" x14ac:dyDescent="0.25">
      <c r="A3166" s="21"/>
      <c r="B3166" s="5"/>
      <c r="C3166" s="5"/>
    </row>
    <row r="3167" spans="1:3" x14ac:dyDescent="0.25">
      <c r="A3167" s="21"/>
      <c r="B3167" s="5"/>
      <c r="C3167" s="5"/>
    </row>
    <row r="3168" spans="1:3" x14ac:dyDescent="0.25">
      <c r="A3168" s="21"/>
      <c r="B3168" s="5"/>
      <c r="C3168" s="5"/>
    </row>
    <row r="3169" spans="1:3" x14ac:dyDescent="0.25">
      <c r="A3169" s="21"/>
      <c r="B3169" s="5"/>
      <c r="C3169" s="5"/>
    </row>
    <row r="3170" spans="1:3" x14ac:dyDescent="0.25">
      <c r="A3170" s="21"/>
      <c r="B3170" s="5"/>
      <c r="C3170" s="5"/>
    </row>
    <row r="3171" spans="1:3" x14ac:dyDescent="0.25">
      <c r="A3171" s="21"/>
      <c r="B3171" s="5"/>
      <c r="C3171" s="5"/>
    </row>
    <row r="3172" spans="1:3" x14ac:dyDescent="0.25">
      <c r="A3172" s="21"/>
      <c r="B3172" s="5"/>
      <c r="C3172" s="5"/>
    </row>
    <row r="3173" spans="1:3" x14ac:dyDescent="0.25">
      <c r="A3173" s="21"/>
      <c r="B3173" s="5"/>
      <c r="C3173" s="5"/>
    </row>
    <row r="3174" spans="1:3" x14ac:dyDescent="0.25">
      <c r="A3174" s="21"/>
      <c r="B3174" s="5"/>
      <c r="C3174" s="5"/>
    </row>
    <row r="3175" spans="1:3" x14ac:dyDescent="0.25">
      <c r="A3175" s="21"/>
      <c r="B3175" s="5"/>
      <c r="C3175" s="5"/>
    </row>
    <row r="3176" spans="1:3" x14ac:dyDescent="0.25">
      <c r="A3176" s="21"/>
      <c r="B3176" s="5"/>
      <c r="C3176" s="5"/>
    </row>
    <row r="3177" spans="1:3" x14ac:dyDescent="0.25">
      <c r="A3177" s="21"/>
      <c r="B3177" s="5"/>
      <c r="C3177" s="5"/>
    </row>
    <row r="3178" spans="1:3" x14ac:dyDescent="0.25">
      <c r="A3178" s="21"/>
      <c r="B3178" s="5"/>
      <c r="C3178" s="5"/>
    </row>
    <row r="3179" spans="1:3" x14ac:dyDescent="0.25">
      <c r="A3179" s="21"/>
      <c r="B3179" s="5"/>
      <c r="C3179" s="5"/>
    </row>
    <row r="3180" spans="1:3" x14ac:dyDescent="0.25">
      <c r="A3180" s="21"/>
      <c r="B3180" s="5"/>
      <c r="C3180" s="5"/>
    </row>
    <row r="3181" spans="1:3" x14ac:dyDescent="0.25">
      <c r="A3181" s="21"/>
      <c r="B3181" s="5"/>
      <c r="C3181" s="5"/>
    </row>
    <row r="3182" spans="1:3" x14ac:dyDescent="0.25">
      <c r="A3182" s="21"/>
      <c r="B3182" s="5"/>
      <c r="C3182" s="5"/>
    </row>
    <row r="3183" spans="1:3" x14ac:dyDescent="0.25">
      <c r="A3183" s="21"/>
      <c r="B3183" s="5"/>
      <c r="C3183" s="5"/>
    </row>
    <row r="3184" spans="1:3" x14ac:dyDescent="0.25">
      <c r="A3184" s="21"/>
      <c r="B3184" s="5"/>
      <c r="C3184" s="5"/>
    </row>
    <row r="3185" spans="1:3" x14ac:dyDescent="0.25">
      <c r="A3185" s="21"/>
      <c r="B3185" s="5"/>
      <c r="C3185" s="5"/>
    </row>
    <row r="3186" spans="1:3" x14ac:dyDescent="0.25">
      <c r="A3186" s="21"/>
      <c r="B3186" s="5"/>
      <c r="C3186" s="5"/>
    </row>
    <row r="3187" spans="1:3" x14ac:dyDescent="0.25">
      <c r="A3187" s="21"/>
      <c r="B3187" s="5"/>
      <c r="C3187" s="5"/>
    </row>
    <row r="3188" spans="1:3" x14ac:dyDescent="0.25">
      <c r="A3188" s="21"/>
      <c r="B3188" s="5"/>
      <c r="C3188" s="5"/>
    </row>
    <row r="3189" spans="1:3" x14ac:dyDescent="0.25">
      <c r="A3189" s="21"/>
      <c r="B3189" s="5"/>
      <c r="C3189" s="5"/>
    </row>
    <row r="3190" spans="1:3" x14ac:dyDescent="0.25">
      <c r="A3190" s="21"/>
      <c r="B3190" s="5"/>
      <c r="C3190" s="5"/>
    </row>
    <row r="3191" spans="1:3" x14ac:dyDescent="0.25">
      <c r="A3191" s="21"/>
      <c r="B3191" s="5"/>
      <c r="C3191" s="5"/>
    </row>
    <row r="3192" spans="1:3" x14ac:dyDescent="0.25">
      <c r="A3192" s="21"/>
      <c r="B3192" s="5"/>
      <c r="C3192" s="5"/>
    </row>
    <row r="3193" spans="1:3" x14ac:dyDescent="0.25">
      <c r="A3193" s="21"/>
      <c r="B3193" s="5"/>
      <c r="C3193" s="5"/>
    </row>
    <row r="3194" spans="1:3" x14ac:dyDescent="0.25">
      <c r="A3194" s="21"/>
      <c r="B3194" s="5"/>
      <c r="C3194" s="5"/>
    </row>
    <row r="3195" spans="1:3" x14ac:dyDescent="0.25">
      <c r="A3195" s="21"/>
      <c r="B3195" s="5"/>
      <c r="C3195" s="5"/>
    </row>
    <row r="3196" spans="1:3" x14ac:dyDescent="0.25">
      <c r="A3196" s="21"/>
      <c r="B3196" s="5"/>
      <c r="C3196" s="5"/>
    </row>
    <row r="3197" spans="1:3" x14ac:dyDescent="0.25">
      <c r="A3197" s="21"/>
      <c r="B3197" s="5"/>
      <c r="C3197" s="5"/>
    </row>
    <row r="3198" spans="1:3" x14ac:dyDescent="0.25">
      <c r="A3198" s="21"/>
      <c r="B3198" s="5"/>
      <c r="C3198" s="5"/>
    </row>
    <row r="3199" spans="1:3" x14ac:dyDescent="0.25">
      <c r="A3199" s="21"/>
      <c r="B3199" s="5"/>
      <c r="C3199" s="5"/>
    </row>
    <row r="3200" spans="1:3" x14ac:dyDescent="0.25">
      <c r="A3200" s="21"/>
      <c r="B3200" s="5"/>
      <c r="C3200" s="5"/>
    </row>
    <row r="3201" spans="1:3" x14ac:dyDescent="0.25">
      <c r="A3201" s="21"/>
      <c r="B3201" s="5"/>
      <c r="C3201" s="5"/>
    </row>
    <row r="3202" spans="1:3" x14ac:dyDescent="0.25">
      <c r="A3202" s="21"/>
      <c r="B3202" s="5"/>
      <c r="C3202" s="5"/>
    </row>
    <row r="3203" spans="1:3" x14ac:dyDescent="0.25">
      <c r="A3203" s="21"/>
      <c r="B3203" s="5"/>
      <c r="C3203" s="5"/>
    </row>
    <row r="3204" spans="1:3" x14ac:dyDescent="0.25">
      <c r="A3204" s="21"/>
      <c r="B3204" s="5"/>
      <c r="C3204" s="5"/>
    </row>
    <row r="3205" spans="1:3" x14ac:dyDescent="0.25">
      <c r="A3205" s="21"/>
      <c r="B3205" s="5"/>
      <c r="C3205" s="5"/>
    </row>
    <row r="3206" spans="1:3" x14ac:dyDescent="0.25">
      <c r="A3206" s="21"/>
      <c r="B3206" s="5"/>
      <c r="C3206" s="5"/>
    </row>
    <row r="3207" spans="1:3" x14ac:dyDescent="0.25">
      <c r="A3207" s="21"/>
      <c r="B3207" s="5"/>
      <c r="C3207" s="5"/>
    </row>
    <row r="3208" spans="1:3" x14ac:dyDescent="0.25">
      <c r="A3208" s="21"/>
      <c r="B3208" s="5"/>
      <c r="C3208" s="5"/>
    </row>
    <row r="3209" spans="1:3" x14ac:dyDescent="0.25">
      <c r="A3209" s="21"/>
      <c r="B3209" s="5"/>
      <c r="C3209" s="5"/>
    </row>
    <row r="3210" spans="1:3" x14ac:dyDescent="0.25">
      <c r="A3210" s="21"/>
      <c r="B3210" s="5"/>
      <c r="C3210" s="5"/>
    </row>
    <row r="3211" spans="1:3" x14ac:dyDescent="0.25">
      <c r="A3211" s="21"/>
      <c r="B3211" s="5"/>
      <c r="C3211" s="5"/>
    </row>
    <row r="3212" spans="1:3" x14ac:dyDescent="0.25">
      <c r="A3212" s="21"/>
      <c r="B3212" s="5"/>
      <c r="C3212" s="5"/>
    </row>
    <row r="3213" spans="1:3" x14ac:dyDescent="0.25">
      <c r="A3213" s="21"/>
      <c r="B3213" s="5"/>
      <c r="C3213" s="5"/>
    </row>
    <row r="3214" spans="1:3" x14ac:dyDescent="0.25">
      <c r="A3214" s="21"/>
      <c r="B3214" s="5"/>
      <c r="C3214" s="5"/>
    </row>
    <row r="3215" spans="1:3" x14ac:dyDescent="0.25">
      <c r="A3215" s="21"/>
      <c r="B3215" s="5"/>
      <c r="C3215" s="5"/>
    </row>
    <row r="3216" spans="1:3" x14ac:dyDescent="0.25">
      <c r="A3216" s="21"/>
      <c r="B3216" s="5"/>
      <c r="C3216" s="5"/>
    </row>
    <row r="3217" spans="1:3" x14ac:dyDescent="0.25">
      <c r="A3217" s="21"/>
      <c r="B3217" s="5"/>
      <c r="C3217" s="5"/>
    </row>
    <row r="3218" spans="1:3" x14ac:dyDescent="0.25">
      <c r="A3218" s="21"/>
      <c r="B3218" s="5"/>
      <c r="C3218" s="5"/>
    </row>
    <row r="3219" spans="1:3" x14ac:dyDescent="0.25">
      <c r="A3219" s="21"/>
      <c r="B3219" s="5"/>
      <c r="C3219" s="5"/>
    </row>
    <row r="3220" spans="1:3" x14ac:dyDescent="0.25">
      <c r="A3220" s="21"/>
      <c r="B3220" s="5"/>
      <c r="C3220" s="5"/>
    </row>
    <row r="3221" spans="1:3" x14ac:dyDescent="0.25">
      <c r="A3221" s="21"/>
      <c r="B3221" s="5"/>
      <c r="C3221" s="5"/>
    </row>
    <row r="3222" spans="1:3" x14ac:dyDescent="0.25">
      <c r="A3222" s="21"/>
      <c r="B3222" s="5"/>
      <c r="C3222" s="5"/>
    </row>
    <row r="3223" spans="1:3" x14ac:dyDescent="0.25">
      <c r="A3223" s="21"/>
      <c r="B3223" s="5"/>
      <c r="C3223" s="5"/>
    </row>
    <row r="3224" spans="1:3" x14ac:dyDescent="0.25">
      <c r="A3224" s="21"/>
      <c r="B3224" s="5"/>
      <c r="C3224" s="5"/>
    </row>
    <row r="3225" spans="1:3" x14ac:dyDescent="0.25">
      <c r="A3225" s="21"/>
      <c r="B3225" s="5"/>
      <c r="C3225" s="5"/>
    </row>
    <row r="3226" spans="1:3" x14ac:dyDescent="0.25">
      <c r="A3226" s="21"/>
      <c r="B3226" s="5"/>
      <c r="C3226" s="5"/>
    </row>
    <row r="3227" spans="1:3" x14ac:dyDescent="0.25">
      <c r="A3227" s="21"/>
      <c r="B3227" s="5"/>
      <c r="C3227" s="5"/>
    </row>
    <row r="3228" spans="1:3" x14ac:dyDescent="0.25">
      <c r="A3228" s="21"/>
      <c r="B3228" s="5"/>
      <c r="C3228" s="5"/>
    </row>
    <row r="3229" spans="1:3" x14ac:dyDescent="0.25">
      <c r="A3229" s="21"/>
      <c r="B3229" s="5"/>
      <c r="C3229" s="5"/>
    </row>
    <row r="3230" spans="1:3" x14ac:dyDescent="0.25">
      <c r="A3230" s="21"/>
      <c r="B3230" s="5"/>
      <c r="C3230" s="5"/>
    </row>
    <row r="3231" spans="1:3" x14ac:dyDescent="0.25">
      <c r="A3231" s="21"/>
      <c r="B3231" s="5"/>
      <c r="C3231" s="5"/>
    </row>
    <row r="3232" spans="1:3" x14ac:dyDescent="0.25">
      <c r="A3232" s="21"/>
      <c r="B3232" s="5"/>
      <c r="C3232" s="5"/>
    </row>
    <row r="3233" spans="1:3" x14ac:dyDescent="0.25">
      <c r="A3233" s="21"/>
      <c r="B3233" s="5"/>
      <c r="C3233" s="5"/>
    </row>
    <row r="3234" spans="1:3" x14ac:dyDescent="0.25">
      <c r="A3234" s="21"/>
      <c r="B3234" s="5"/>
      <c r="C3234" s="5"/>
    </row>
    <row r="3235" spans="1:3" x14ac:dyDescent="0.25">
      <c r="A3235" s="21"/>
      <c r="B3235" s="5"/>
      <c r="C3235" s="5"/>
    </row>
    <row r="3236" spans="1:3" x14ac:dyDescent="0.25">
      <c r="A3236" s="21"/>
      <c r="B3236" s="5"/>
      <c r="C3236" s="5"/>
    </row>
    <row r="3237" spans="1:3" x14ac:dyDescent="0.25">
      <c r="A3237" s="21"/>
      <c r="B3237" s="5"/>
      <c r="C3237" s="5"/>
    </row>
    <row r="3238" spans="1:3" x14ac:dyDescent="0.25">
      <c r="A3238" s="21"/>
      <c r="B3238" s="5"/>
      <c r="C3238" s="5"/>
    </row>
    <row r="3239" spans="1:3" x14ac:dyDescent="0.25">
      <c r="A3239" s="21"/>
      <c r="B3239" s="5"/>
      <c r="C3239" s="5"/>
    </row>
    <row r="3240" spans="1:3" x14ac:dyDescent="0.25">
      <c r="A3240" s="21"/>
      <c r="B3240" s="5"/>
      <c r="C3240" s="5"/>
    </row>
    <row r="3241" spans="1:3" x14ac:dyDescent="0.25">
      <c r="A3241" s="21"/>
      <c r="B3241" s="5"/>
      <c r="C3241" s="5"/>
    </row>
    <row r="3242" spans="1:3" x14ac:dyDescent="0.25">
      <c r="A3242" s="21"/>
      <c r="B3242" s="5"/>
      <c r="C3242" s="5"/>
    </row>
    <row r="3243" spans="1:3" x14ac:dyDescent="0.25">
      <c r="A3243" s="21"/>
      <c r="B3243" s="5"/>
      <c r="C3243" s="5"/>
    </row>
    <row r="3244" spans="1:3" x14ac:dyDescent="0.25">
      <c r="A3244" s="21"/>
      <c r="B3244" s="5"/>
      <c r="C3244" s="5"/>
    </row>
    <row r="3245" spans="1:3" x14ac:dyDescent="0.25">
      <c r="A3245" s="21"/>
      <c r="B3245" s="5"/>
      <c r="C3245" s="5"/>
    </row>
    <row r="3246" spans="1:3" x14ac:dyDescent="0.25">
      <c r="A3246" s="21"/>
      <c r="B3246" s="5"/>
      <c r="C3246" s="5"/>
    </row>
    <row r="3247" spans="1:3" x14ac:dyDescent="0.25">
      <c r="A3247" s="21"/>
      <c r="B3247" s="5"/>
      <c r="C3247" s="5"/>
    </row>
    <row r="3248" spans="1:3" x14ac:dyDescent="0.25">
      <c r="A3248" s="21"/>
      <c r="B3248" s="5"/>
      <c r="C3248" s="5"/>
    </row>
    <row r="3249" spans="1:3" x14ac:dyDescent="0.25">
      <c r="A3249" s="21"/>
      <c r="B3249" s="5"/>
      <c r="C3249" s="5"/>
    </row>
    <row r="3250" spans="1:3" x14ac:dyDescent="0.25">
      <c r="A3250" s="21"/>
      <c r="B3250" s="5"/>
      <c r="C3250" s="5"/>
    </row>
    <row r="3251" spans="1:3" x14ac:dyDescent="0.25">
      <c r="A3251" s="21"/>
      <c r="B3251" s="5"/>
      <c r="C3251" s="5"/>
    </row>
    <row r="3252" spans="1:3" x14ac:dyDescent="0.25">
      <c r="A3252" s="21"/>
      <c r="B3252" s="5"/>
      <c r="C3252" s="5"/>
    </row>
    <row r="3253" spans="1:3" x14ac:dyDescent="0.25">
      <c r="A3253" s="21"/>
      <c r="B3253" s="5"/>
      <c r="C3253" s="5"/>
    </row>
    <row r="3254" spans="1:3" x14ac:dyDescent="0.25">
      <c r="A3254" s="21"/>
      <c r="B3254" s="5"/>
      <c r="C3254" s="5"/>
    </row>
    <row r="3255" spans="1:3" x14ac:dyDescent="0.25">
      <c r="A3255" s="21"/>
      <c r="B3255" s="5"/>
      <c r="C3255" s="5"/>
    </row>
    <row r="3256" spans="1:3" x14ac:dyDescent="0.25">
      <c r="A3256" s="21"/>
      <c r="B3256" s="5"/>
      <c r="C3256" s="5"/>
    </row>
    <row r="3257" spans="1:3" x14ac:dyDescent="0.25">
      <c r="A3257" s="21"/>
      <c r="B3257" s="5"/>
      <c r="C3257" s="5"/>
    </row>
    <row r="3258" spans="1:3" x14ac:dyDescent="0.25">
      <c r="A3258" s="21"/>
      <c r="B3258" s="5"/>
      <c r="C3258" s="5"/>
    </row>
    <row r="3259" spans="1:3" x14ac:dyDescent="0.25">
      <c r="A3259" s="21"/>
      <c r="B3259" s="5"/>
      <c r="C3259" s="5"/>
    </row>
    <row r="3260" spans="1:3" x14ac:dyDescent="0.25">
      <c r="A3260" s="21"/>
      <c r="B3260" s="5"/>
      <c r="C3260" s="5"/>
    </row>
    <row r="3261" spans="1:3" x14ac:dyDescent="0.25">
      <c r="A3261" s="21"/>
      <c r="B3261" s="5"/>
      <c r="C3261" s="5"/>
    </row>
    <row r="3262" spans="1:3" x14ac:dyDescent="0.25">
      <c r="A3262" s="21"/>
      <c r="B3262" s="5"/>
      <c r="C3262" s="5"/>
    </row>
    <row r="3263" spans="1:3" x14ac:dyDescent="0.25">
      <c r="A3263" s="21"/>
      <c r="B3263" s="5"/>
      <c r="C3263" s="5"/>
    </row>
    <row r="3264" spans="1:3" x14ac:dyDescent="0.25">
      <c r="A3264" s="21"/>
      <c r="B3264" s="5"/>
      <c r="C3264" s="5"/>
    </row>
    <row r="3265" spans="1:3" x14ac:dyDescent="0.25">
      <c r="A3265" s="21"/>
      <c r="B3265" s="5"/>
      <c r="C3265" s="5"/>
    </row>
    <row r="3266" spans="1:3" x14ac:dyDescent="0.25">
      <c r="A3266" s="21"/>
      <c r="B3266" s="5"/>
      <c r="C3266" s="5"/>
    </row>
    <row r="3267" spans="1:3" x14ac:dyDescent="0.25">
      <c r="A3267" s="21"/>
      <c r="B3267" s="5"/>
      <c r="C3267" s="5"/>
    </row>
    <row r="3268" spans="1:3" x14ac:dyDescent="0.25">
      <c r="A3268" s="21"/>
      <c r="B3268" s="5"/>
      <c r="C3268" s="5"/>
    </row>
    <row r="3269" spans="1:3" x14ac:dyDescent="0.25">
      <c r="A3269" s="21"/>
      <c r="B3269" s="5"/>
      <c r="C3269" s="5"/>
    </row>
    <row r="3270" spans="1:3" x14ac:dyDescent="0.25">
      <c r="A3270" s="21"/>
      <c r="B3270" s="5"/>
      <c r="C3270" s="5"/>
    </row>
    <row r="3271" spans="1:3" x14ac:dyDescent="0.25">
      <c r="A3271" s="21"/>
      <c r="B3271" s="5"/>
      <c r="C3271" s="5"/>
    </row>
    <row r="3272" spans="1:3" x14ac:dyDescent="0.25">
      <c r="A3272" s="21"/>
      <c r="B3272" s="5"/>
      <c r="C3272" s="5"/>
    </row>
    <row r="3273" spans="1:3" x14ac:dyDescent="0.25">
      <c r="A3273" s="21"/>
      <c r="B3273" s="5"/>
      <c r="C3273" s="5"/>
    </row>
    <row r="3274" spans="1:3" x14ac:dyDescent="0.25">
      <c r="A3274" s="21"/>
      <c r="B3274" s="5"/>
      <c r="C3274" s="5"/>
    </row>
    <row r="3275" spans="1:3" x14ac:dyDescent="0.25">
      <c r="A3275" s="21"/>
      <c r="B3275" s="5"/>
      <c r="C3275" s="5"/>
    </row>
    <row r="3276" spans="1:3" x14ac:dyDescent="0.25">
      <c r="A3276" s="21"/>
      <c r="B3276" s="5"/>
      <c r="C3276" s="5"/>
    </row>
    <row r="3277" spans="1:3" x14ac:dyDescent="0.25">
      <c r="A3277" s="21"/>
      <c r="B3277" s="5"/>
      <c r="C3277" s="5"/>
    </row>
    <row r="3278" spans="1:3" x14ac:dyDescent="0.25">
      <c r="A3278" s="21"/>
      <c r="B3278" s="5"/>
      <c r="C3278" s="5"/>
    </row>
    <row r="3279" spans="1:3" x14ac:dyDescent="0.25">
      <c r="A3279" s="21"/>
      <c r="B3279" s="5"/>
      <c r="C3279" s="5"/>
    </row>
    <row r="3280" spans="1:3" x14ac:dyDescent="0.25">
      <c r="A3280" s="21"/>
      <c r="B3280" s="5"/>
      <c r="C3280" s="5"/>
    </row>
    <row r="3281" spans="1:3" x14ac:dyDescent="0.25">
      <c r="A3281" s="21"/>
      <c r="B3281" s="5"/>
      <c r="C3281" s="5"/>
    </row>
    <row r="3282" spans="1:3" x14ac:dyDescent="0.25">
      <c r="A3282" s="21"/>
      <c r="B3282" s="5"/>
      <c r="C3282" s="5"/>
    </row>
    <row r="3283" spans="1:3" x14ac:dyDescent="0.25">
      <c r="A3283" s="21"/>
      <c r="B3283" s="5"/>
      <c r="C3283" s="5"/>
    </row>
    <row r="3284" spans="1:3" x14ac:dyDescent="0.25">
      <c r="A3284" s="21"/>
      <c r="B3284" s="5"/>
      <c r="C3284" s="5"/>
    </row>
    <row r="3285" spans="1:3" x14ac:dyDescent="0.25">
      <c r="A3285" s="21"/>
      <c r="B3285" s="5"/>
      <c r="C3285" s="5"/>
    </row>
    <row r="3286" spans="1:3" x14ac:dyDescent="0.25">
      <c r="A3286" s="21"/>
      <c r="B3286" s="5"/>
      <c r="C3286" s="5"/>
    </row>
    <row r="3287" spans="1:3" x14ac:dyDescent="0.25">
      <c r="A3287" s="21"/>
      <c r="B3287" s="5"/>
      <c r="C3287" s="5"/>
    </row>
    <row r="3288" spans="1:3" x14ac:dyDescent="0.25">
      <c r="A3288" s="21"/>
      <c r="B3288" s="5"/>
      <c r="C3288" s="5"/>
    </row>
    <row r="3289" spans="1:3" x14ac:dyDescent="0.25">
      <c r="A3289" s="21"/>
      <c r="B3289" s="5"/>
      <c r="C3289" s="5"/>
    </row>
    <row r="3290" spans="1:3" x14ac:dyDescent="0.25">
      <c r="A3290" s="21"/>
      <c r="B3290" s="5"/>
      <c r="C3290" s="5"/>
    </row>
    <row r="3291" spans="1:3" x14ac:dyDescent="0.25">
      <c r="A3291" s="21"/>
      <c r="B3291" s="5"/>
      <c r="C3291" s="5"/>
    </row>
    <row r="3292" spans="1:3" x14ac:dyDescent="0.25">
      <c r="A3292" s="21"/>
      <c r="B3292" s="5"/>
      <c r="C3292" s="5"/>
    </row>
    <row r="3293" spans="1:3" x14ac:dyDescent="0.25">
      <c r="A3293" s="21"/>
      <c r="B3293" s="5"/>
      <c r="C3293" s="5"/>
    </row>
    <row r="3294" spans="1:3" x14ac:dyDescent="0.25">
      <c r="A3294" s="21"/>
      <c r="B3294" s="5"/>
      <c r="C3294" s="5"/>
    </row>
    <row r="3295" spans="1:3" x14ac:dyDescent="0.25">
      <c r="A3295" s="21"/>
      <c r="B3295" s="5"/>
      <c r="C3295" s="5"/>
    </row>
    <row r="3296" spans="1:3" x14ac:dyDescent="0.25">
      <c r="A3296" s="21"/>
      <c r="B3296" s="5"/>
      <c r="C3296" s="5"/>
    </row>
    <row r="3297" spans="1:3" x14ac:dyDescent="0.25">
      <c r="A3297" s="21"/>
      <c r="B3297" s="5"/>
      <c r="C3297" s="5"/>
    </row>
    <row r="3298" spans="1:3" x14ac:dyDescent="0.25">
      <c r="A3298" s="21"/>
      <c r="B3298" s="5"/>
      <c r="C3298" s="5"/>
    </row>
    <row r="3299" spans="1:3" x14ac:dyDescent="0.25">
      <c r="A3299" s="21"/>
      <c r="B3299" s="5"/>
      <c r="C3299" s="5"/>
    </row>
    <row r="3300" spans="1:3" x14ac:dyDescent="0.25">
      <c r="A3300" s="21"/>
      <c r="B3300" s="5"/>
      <c r="C3300" s="5"/>
    </row>
    <row r="3301" spans="1:3" x14ac:dyDescent="0.25">
      <c r="A3301" s="21"/>
      <c r="B3301" s="5"/>
      <c r="C3301" s="5"/>
    </row>
    <row r="3302" spans="1:3" x14ac:dyDescent="0.25">
      <c r="A3302" s="21"/>
      <c r="B3302" s="5"/>
      <c r="C3302" s="5"/>
    </row>
    <row r="3303" spans="1:3" x14ac:dyDescent="0.25">
      <c r="A3303" s="21"/>
      <c r="B3303" s="5"/>
      <c r="C3303" s="5"/>
    </row>
    <row r="3304" spans="1:3" x14ac:dyDescent="0.25">
      <c r="A3304" s="21"/>
      <c r="B3304" s="5"/>
      <c r="C3304" s="5"/>
    </row>
    <row r="3305" spans="1:3" x14ac:dyDescent="0.25">
      <c r="A3305" s="21"/>
      <c r="B3305" s="5"/>
      <c r="C3305" s="5"/>
    </row>
    <row r="3306" spans="1:3" x14ac:dyDescent="0.25">
      <c r="A3306" s="21"/>
      <c r="B3306" s="5"/>
      <c r="C3306" s="5"/>
    </row>
    <row r="3307" spans="1:3" x14ac:dyDescent="0.25">
      <c r="A3307" s="21"/>
      <c r="B3307" s="5"/>
      <c r="C3307" s="5"/>
    </row>
    <row r="3308" spans="1:3" x14ac:dyDescent="0.25">
      <c r="A3308" s="21"/>
      <c r="B3308" s="5"/>
      <c r="C3308" s="5"/>
    </row>
    <row r="3309" spans="1:3" x14ac:dyDescent="0.25">
      <c r="A3309" s="21"/>
      <c r="B3309" s="5"/>
      <c r="C3309" s="5"/>
    </row>
    <row r="3310" spans="1:3" x14ac:dyDescent="0.25">
      <c r="A3310" s="21"/>
      <c r="B3310" s="5"/>
      <c r="C3310" s="5"/>
    </row>
    <row r="3311" spans="1:3" x14ac:dyDescent="0.25">
      <c r="A3311" s="21"/>
      <c r="B3311" s="5"/>
      <c r="C3311" s="5"/>
    </row>
    <row r="3312" spans="1:3" x14ac:dyDescent="0.25">
      <c r="A3312" s="21"/>
      <c r="B3312" s="5"/>
      <c r="C3312" s="5"/>
    </row>
    <row r="3313" spans="1:3" x14ac:dyDescent="0.25">
      <c r="A3313" s="21"/>
      <c r="B3313" s="5"/>
      <c r="C3313" s="5"/>
    </row>
    <row r="3314" spans="1:3" x14ac:dyDescent="0.25">
      <c r="A3314" s="21"/>
      <c r="B3314" s="5"/>
      <c r="C3314" s="5"/>
    </row>
    <row r="3315" spans="1:3" x14ac:dyDescent="0.25">
      <c r="A3315" s="21"/>
      <c r="B3315" s="5"/>
      <c r="C3315" s="5"/>
    </row>
    <row r="3316" spans="1:3" x14ac:dyDescent="0.25">
      <c r="A3316" s="21"/>
      <c r="B3316" s="5"/>
      <c r="C3316" s="5"/>
    </row>
    <row r="3317" spans="1:3" x14ac:dyDescent="0.25">
      <c r="A3317" s="21"/>
      <c r="B3317" s="5"/>
      <c r="C3317" s="5"/>
    </row>
    <row r="3318" spans="1:3" x14ac:dyDescent="0.25">
      <c r="A3318" s="21"/>
      <c r="B3318" s="5"/>
      <c r="C3318" s="5"/>
    </row>
    <row r="3319" spans="1:3" x14ac:dyDescent="0.25">
      <c r="A3319" s="21"/>
      <c r="B3319" s="5"/>
      <c r="C3319" s="5"/>
    </row>
    <row r="3320" spans="1:3" x14ac:dyDescent="0.25">
      <c r="A3320" s="21"/>
      <c r="B3320" s="5"/>
      <c r="C3320" s="5"/>
    </row>
    <row r="3321" spans="1:3" x14ac:dyDescent="0.25">
      <c r="A3321" s="21"/>
      <c r="B3321" s="5"/>
      <c r="C3321" s="5"/>
    </row>
    <row r="3322" spans="1:3" x14ac:dyDescent="0.25">
      <c r="A3322" s="21"/>
      <c r="B3322" s="5"/>
      <c r="C3322" s="5"/>
    </row>
    <row r="3323" spans="1:3" x14ac:dyDescent="0.25">
      <c r="A3323" s="21"/>
      <c r="B3323" s="5"/>
      <c r="C3323" s="5"/>
    </row>
    <row r="3324" spans="1:3" x14ac:dyDescent="0.25">
      <c r="A3324" s="21"/>
      <c r="B3324" s="5"/>
      <c r="C3324" s="5"/>
    </row>
    <row r="3325" spans="1:3" x14ac:dyDescent="0.25">
      <c r="A3325" s="21"/>
      <c r="B3325" s="5"/>
      <c r="C3325" s="5"/>
    </row>
    <row r="3326" spans="1:3" x14ac:dyDescent="0.25">
      <c r="A3326" s="21"/>
      <c r="B3326" s="5"/>
      <c r="C3326" s="5"/>
    </row>
    <row r="3327" spans="1:3" x14ac:dyDescent="0.25">
      <c r="A3327" s="21"/>
      <c r="B3327" s="5"/>
      <c r="C3327" s="5"/>
    </row>
    <row r="3328" spans="1:3" x14ac:dyDescent="0.25">
      <c r="A3328" s="21"/>
      <c r="B3328" s="5"/>
      <c r="C3328" s="5"/>
    </row>
    <row r="3329" spans="1:3" x14ac:dyDescent="0.25">
      <c r="A3329" s="21"/>
      <c r="B3329" s="5"/>
      <c r="C3329" s="5"/>
    </row>
    <row r="3330" spans="1:3" x14ac:dyDescent="0.25">
      <c r="A3330" s="21"/>
      <c r="B3330" s="5"/>
      <c r="C3330" s="5"/>
    </row>
    <row r="3331" spans="1:3" x14ac:dyDescent="0.25">
      <c r="A3331" s="21"/>
      <c r="B3331" s="5"/>
      <c r="C3331" s="5"/>
    </row>
    <row r="3332" spans="1:3" x14ac:dyDescent="0.25">
      <c r="A3332" s="21"/>
      <c r="B3332" s="5"/>
      <c r="C3332" s="5"/>
    </row>
    <row r="3333" spans="1:3" x14ac:dyDescent="0.25">
      <c r="A3333" s="21"/>
      <c r="B3333" s="5"/>
      <c r="C3333" s="5"/>
    </row>
    <row r="3334" spans="1:3" x14ac:dyDescent="0.25">
      <c r="A3334" s="21"/>
      <c r="B3334" s="5"/>
      <c r="C3334" s="5"/>
    </row>
    <row r="3335" spans="1:3" x14ac:dyDescent="0.25">
      <c r="A3335" s="21"/>
      <c r="B3335" s="5"/>
      <c r="C3335" s="5"/>
    </row>
    <row r="3336" spans="1:3" x14ac:dyDescent="0.25">
      <c r="A3336" s="21"/>
      <c r="B3336" s="5"/>
      <c r="C3336" s="5"/>
    </row>
    <row r="3337" spans="1:3" x14ac:dyDescent="0.25">
      <c r="A3337" s="21"/>
      <c r="B3337" s="5"/>
      <c r="C3337" s="5"/>
    </row>
    <row r="3338" spans="1:3" x14ac:dyDescent="0.25">
      <c r="A3338" s="21"/>
      <c r="B3338" s="5"/>
      <c r="C3338" s="5"/>
    </row>
    <row r="3339" spans="1:3" x14ac:dyDescent="0.25">
      <c r="A3339" s="21"/>
      <c r="B3339" s="5"/>
      <c r="C3339" s="5"/>
    </row>
    <row r="3340" spans="1:3" x14ac:dyDescent="0.25">
      <c r="A3340" s="21"/>
      <c r="B3340" s="5"/>
      <c r="C3340" s="5"/>
    </row>
    <row r="3341" spans="1:3" x14ac:dyDescent="0.25">
      <c r="A3341" s="21"/>
      <c r="B3341" s="5"/>
      <c r="C3341" s="5"/>
    </row>
    <row r="3342" spans="1:3" x14ac:dyDescent="0.25">
      <c r="A3342" s="21"/>
      <c r="B3342" s="5"/>
      <c r="C3342" s="5"/>
    </row>
    <row r="3343" spans="1:3" x14ac:dyDescent="0.25">
      <c r="A3343" s="21"/>
      <c r="B3343" s="5"/>
      <c r="C3343" s="5"/>
    </row>
    <row r="3344" spans="1:3" x14ac:dyDescent="0.25">
      <c r="A3344" s="21"/>
      <c r="B3344" s="5"/>
      <c r="C3344" s="5"/>
    </row>
    <row r="3345" spans="1:3" x14ac:dyDescent="0.25">
      <c r="A3345" s="21"/>
      <c r="B3345" s="5"/>
      <c r="C3345" s="5"/>
    </row>
    <row r="3346" spans="1:3" x14ac:dyDescent="0.25">
      <c r="A3346" s="21"/>
      <c r="B3346" s="5"/>
      <c r="C3346" s="5"/>
    </row>
    <row r="3347" spans="1:3" x14ac:dyDescent="0.25">
      <c r="A3347" s="21"/>
      <c r="B3347" s="5"/>
      <c r="C3347" s="5"/>
    </row>
    <row r="3348" spans="1:3" x14ac:dyDescent="0.25">
      <c r="A3348" s="21"/>
      <c r="B3348" s="5"/>
      <c r="C3348" s="5"/>
    </row>
    <row r="3349" spans="1:3" x14ac:dyDescent="0.25">
      <c r="A3349" s="21"/>
      <c r="B3349" s="5"/>
      <c r="C3349" s="5"/>
    </row>
    <row r="3350" spans="1:3" x14ac:dyDescent="0.25">
      <c r="A3350" s="21"/>
      <c r="B3350" s="5"/>
      <c r="C3350" s="5"/>
    </row>
    <row r="3351" spans="1:3" x14ac:dyDescent="0.25">
      <c r="A3351" s="21"/>
      <c r="B3351" s="5"/>
      <c r="C3351" s="5"/>
    </row>
    <row r="3352" spans="1:3" x14ac:dyDescent="0.25">
      <c r="A3352" s="21"/>
      <c r="B3352" s="5"/>
      <c r="C3352" s="5"/>
    </row>
    <row r="3353" spans="1:3" x14ac:dyDescent="0.25">
      <c r="A3353" s="21"/>
      <c r="B3353" s="5"/>
      <c r="C3353" s="5"/>
    </row>
    <row r="3354" spans="1:3" x14ac:dyDescent="0.25">
      <c r="A3354" s="21"/>
      <c r="B3354" s="5"/>
      <c r="C3354" s="5"/>
    </row>
    <row r="3355" spans="1:3" x14ac:dyDescent="0.25">
      <c r="A3355" s="21"/>
      <c r="B3355" s="5"/>
      <c r="C3355" s="5"/>
    </row>
    <row r="3356" spans="1:3" x14ac:dyDescent="0.25">
      <c r="A3356" s="21"/>
      <c r="B3356" s="5"/>
      <c r="C3356" s="5"/>
    </row>
    <row r="3357" spans="1:3" x14ac:dyDescent="0.25">
      <c r="A3357" s="21"/>
      <c r="B3357" s="5"/>
      <c r="C3357" s="5"/>
    </row>
    <row r="3358" spans="1:3" x14ac:dyDescent="0.25">
      <c r="A3358" s="21"/>
      <c r="B3358" s="5"/>
      <c r="C3358" s="5"/>
    </row>
    <row r="3359" spans="1:3" x14ac:dyDescent="0.25">
      <c r="A3359" s="21"/>
      <c r="B3359" s="5"/>
      <c r="C3359" s="5"/>
    </row>
    <row r="3360" spans="1:3" x14ac:dyDescent="0.25">
      <c r="A3360" s="21"/>
      <c r="B3360" s="5"/>
      <c r="C3360" s="5"/>
    </row>
    <row r="3361" spans="1:3" x14ac:dyDescent="0.25">
      <c r="A3361" s="21"/>
      <c r="B3361" s="5"/>
      <c r="C3361" s="5"/>
    </row>
    <row r="3362" spans="1:3" x14ac:dyDescent="0.25">
      <c r="A3362" s="21"/>
      <c r="B3362" s="5"/>
      <c r="C3362" s="5"/>
    </row>
    <row r="3363" spans="1:3" x14ac:dyDescent="0.25">
      <c r="A3363" s="21"/>
      <c r="B3363" s="5"/>
      <c r="C3363" s="5"/>
    </row>
    <row r="3364" spans="1:3" x14ac:dyDescent="0.25">
      <c r="A3364" s="21"/>
      <c r="B3364" s="5"/>
      <c r="C3364" s="5"/>
    </row>
    <row r="3365" spans="1:3" x14ac:dyDescent="0.25">
      <c r="A3365" s="21"/>
      <c r="B3365" s="5"/>
      <c r="C3365" s="5"/>
    </row>
    <row r="3366" spans="1:3" x14ac:dyDescent="0.25">
      <c r="A3366" s="21"/>
      <c r="B3366" s="5"/>
      <c r="C3366" s="5"/>
    </row>
    <row r="3367" spans="1:3" x14ac:dyDescent="0.25">
      <c r="A3367" s="21"/>
      <c r="B3367" s="5"/>
      <c r="C3367" s="5"/>
    </row>
    <row r="3368" spans="1:3" x14ac:dyDescent="0.25">
      <c r="A3368" s="21"/>
      <c r="B3368" s="5"/>
      <c r="C3368" s="5"/>
    </row>
    <row r="3369" spans="1:3" x14ac:dyDescent="0.25">
      <c r="A3369" s="21"/>
      <c r="B3369" s="5"/>
      <c r="C3369" s="5"/>
    </row>
    <row r="3370" spans="1:3" x14ac:dyDescent="0.25">
      <c r="A3370" s="21"/>
      <c r="B3370" s="5"/>
      <c r="C3370" s="5"/>
    </row>
    <row r="3371" spans="1:3" x14ac:dyDescent="0.25">
      <c r="A3371" s="21"/>
      <c r="B3371" s="5"/>
      <c r="C3371" s="5"/>
    </row>
    <row r="3372" spans="1:3" x14ac:dyDescent="0.25">
      <c r="A3372" s="21"/>
      <c r="B3372" s="5"/>
      <c r="C3372" s="5"/>
    </row>
    <row r="3373" spans="1:3" x14ac:dyDescent="0.25">
      <c r="A3373" s="21"/>
      <c r="B3373" s="5"/>
      <c r="C3373" s="5"/>
    </row>
    <row r="3374" spans="1:3" x14ac:dyDescent="0.25">
      <c r="A3374" s="21"/>
      <c r="B3374" s="5"/>
      <c r="C3374" s="5"/>
    </row>
    <row r="3375" spans="1:3" x14ac:dyDescent="0.25">
      <c r="A3375" s="21"/>
      <c r="B3375" s="5"/>
      <c r="C3375" s="5"/>
    </row>
    <row r="3376" spans="1:3" x14ac:dyDescent="0.25">
      <c r="A3376" s="21"/>
      <c r="B3376" s="5"/>
      <c r="C3376" s="5"/>
    </row>
    <row r="3377" spans="1:3" x14ac:dyDescent="0.25">
      <c r="A3377" s="21"/>
      <c r="B3377" s="5"/>
      <c r="C3377" s="5"/>
    </row>
    <row r="3378" spans="1:3" x14ac:dyDescent="0.25">
      <c r="A3378" s="21"/>
      <c r="B3378" s="5"/>
      <c r="C3378" s="5"/>
    </row>
    <row r="3379" spans="1:3" x14ac:dyDescent="0.25">
      <c r="A3379" s="21"/>
      <c r="B3379" s="5"/>
      <c r="C3379" s="5"/>
    </row>
    <row r="3380" spans="1:3" x14ac:dyDescent="0.25">
      <c r="A3380" s="21"/>
      <c r="B3380" s="5"/>
      <c r="C3380" s="5"/>
    </row>
    <row r="3381" spans="1:3" x14ac:dyDescent="0.25">
      <c r="A3381" s="21"/>
      <c r="B3381" s="5"/>
      <c r="C3381" s="5"/>
    </row>
    <row r="3382" spans="1:3" x14ac:dyDescent="0.25">
      <c r="A3382" s="21"/>
      <c r="B3382" s="5"/>
      <c r="C3382" s="5"/>
    </row>
    <row r="3383" spans="1:3" x14ac:dyDescent="0.25">
      <c r="A3383" s="21"/>
      <c r="B3383" s="5"/>
      <c r="C3383" s="5"/>
    </row>
    <row r="3384" spans="1:3" x14ac:dyDescent="0.25">
      <c r="A3384" s="21"/>
      <c r="B3384" s="5"/>
      <c r="C3384" s="5"/>
    </row>
    <row r="3385" spans="1:3" x14ac:dyDescent="0.25">
      <c r="A3385" s="21"/>
      <c r="B3385" s="5"/>
      <c r="C3385" s="5"/>
    </row>
    <row r="3386" spans="1:3" x14ac:dyDescent="0.25">
      <c r="A3386" s="21"/>
      <c r="B3386" s="5"/>
      <c r="C3386" s="5"/>
    </row>
    <row r="3387" spans="1:3" x14ac:dyDescent="0.25">
      <c r="A3387" s="21"/>
      <c r="B3387" s="5"/>
      <c r="C3387" s="5"/>
    </row>
    <row r="3388" spans="1:3" x14ac:dyDescent="0.25">
      <c r="A3388" s="21"/>
      <c r="B3388" s="5"/>
      <c r="C3388" s="5"/>
    </row>
    <row r="3389" spans="1:3" x14ac:dyDescent="0.25">
      <c r="A3389" s="21"/>
      <c r="B3389" s="5"/>
      <c r="C3389" s="5"/>
    </row>
    <row r="3390" spans="1:3" x14ac:dyDescent="0.25">
      <c r="A3390" s="21"/>
      <c r="B3390" s="5"/>
      <c r="C3390" s="5"/>
    </row>
    <row r="3391" spans="1:3" x14ac:dyDescent="0.25">
      <c r="A3391" s="21"/>
      <c r="B3391" s="5"/>
      <c r="C3391" s="5"/>
    </row>
    <row r="3392" spans="1:3" x14ac:dyDescent="0.25">
      <c r="A3392" s="21"/>
      <c r="B3392" s="5"/>
      <c r="C3392" s="5"/>
    </row>
    <row r="3393" spans="1:3" x14ac:dyDescent="0.25">
      <c r="A3393" s="21"/>
      <c r="B3393" s="5"/>
      <c r="C3393" s="5"/>
    </row>
    <row r="3394" spans="1:3" x14ac:dyDescent="0.25">
      <c r="A3394" s="21"/>
      <c r="B3394" s="5"/>
      <c r="C3394" s="5"/>
    </row>
    <row r="3395" spans="1:3" x14ac:dyDescent="0.25">
      <c r="A3395" s="21"/>
      <c r="B3395" s="5"/>
      <c r="C3395" s="5"/>
    </row>
    <row r="3396" spans="1:3" x14ac:dyDescent="0.25">
      <c r="A3396" s="21"/>
      <c r="B3396" s="5"/>
      <c r="C3396" s="5"/>
    </row>
    <row r="3397" spans="1:3" x14ac:dyDescent="0.25">
      <c r="A3397" s="21"/>
      <c r="B3397" s="5"/>
      <c r="C3397" s="5"/>
    </row>
    <row r="3398" spans="1:3" x14ac:dyDescent="0.25">
      <c r="A3398" s="21"/>
      <c r="B3398" s="5"/>
      <c r="C3398" s="5"/>
    </row>
    <row r="3399" spans="1:3" x14ac:dyDescent="0.25">
      <c r="A3399" s="21"/>
      <c r="B3399" s="5"/>
      <c r="C3399" s="5"/>
    </row>
    <row r="3400" spans="1:3" x14ac:dyDescent="0.25">
      <c r="A3400" s="21"/>
      <c r="B3400" s="5"/>
      <c r="C3400" s="5"/>
    </row>
    <row r="3401" spans="1:3" x14ac:dyDescent="0.25">
      <c r="A3401" s="21"/>
      <c r="B3401" s="5"/>
      <c r="C3401" s="5"/>
    </row>
    <row r="3402" spans="1:3" x14ac:dyDescent="0.25">
      <c r="A3402" s="21"/>
      <c r="B3402" s="5"/>
      <c r="C3402" s="5"/>
    </row>
    <row r="3403" spans="1:3" x14ac:dyDescent="0.25">
      <c r="A3403" s="21"/>
      <c r="B3403" s="5"/>
      <c r="C3403" s="5"/>
    </row>
    <row r="3404" spans="1:3" x14ac:dyDescent="0.25">
      <c r="A3404" s="21"/>
      <c r="B3404" s="5"/>
      <c r="C3404" s="5"/>
    </row>
    <row r="3405" spans="1:3" x14ac:dyDescent="0.25">
      <c r="A3405" s="21"/>
      <c r="B3405" s="5"/>
      <c r="C3405" s="5"/>
    </row>
    <row r="3406" spans="1:3" x14ac:dyDescent="0.25">
      <c r="A3406" s="21"/>
      <c r="B3406" s="5"/>
      <c r="C3406" s="5"/>
    </row>
    <row r="3407" spans="1:3" x14ac:dyDescent="0.25">
      <c r="A3407" s="21"/>
      <c r="B3407" s="5"/>
      <c r="C3407" s="5"/>
    </row>
    <row r="3408" spans="1:3" x14ac:dyDescent="0.25">
      <c r="A3408" s="21"/>
      <c r="B3408" s="5"/>
      <c r="C3408" s="5"/>
    </row>
    <row r="3409" spans="1:3" x14ac:dyDescent="0.25">
      <c r="A3409" s="21"/>
      <c r="B3409" s="5"/>
      <c r="C3409" s="5"/>
    </row>
    <row r="3410" spans="1:3" x14ac:dyDescent="0.25">
      <c r="A3410" s="21"/>
      <c r="B3410" s="5"/>
      <c r="C3410" s="5"/>
    </row>
    <row r="3411" spans="1:3" x14ac:dyDescent="0.25">
      <c r="A3411" s="21"/>
      <c r="B3411" s="5"/>
      <c r="C3411" s="5"/>
    </row>
    <row r="3412" spans="1:3" x14ac:dyDescent="0.25">
      <c r="A3412" s="21"/>
      <c r="B3412" s="5"/>
      <c r="C3412" s="5"/>
    </row>
    <row r="3413" spans="1:3" x14ac:dyDescent="0.25">
      <c r="A3413" s="21"/>
      <c r="B3413" s="5"/>
      <c r="C3413" s="5"/>
    </row>
    <row r="3414" spans="1:3" x14ac:dyDescent="0.25">
      <c r="A3414" s="21"/>
      <c r="B3414" s="5"/>
      <c r="C3414" s="5"/>
    </row>
    <row r="3415" spans="1:3" x14ac:dyDescent="0.25">
      <c r="A3415" s="21"/>
      <c r="B3415" s="5"/>
      <c r="C3415" s="5"/>
    </row>
    <row r="3416" spans="1:3" x14ac:dyDescent="0.25">
      <c r="A3416" s="21"/>
      <c r="B3416" s="5"/>
      <c r="C3416" s="5"/>
    </row>
    <row r="3417" spans="1:3" x14ac:dyDescent="0.25">
      <c r="A3417" s="21"/>
      <c r="B3417" s="5"/>
      <c r="C3417" s="5"/>
    </row>
    <row r="3418" spans="1:3" x14ac:dyDescent="0.25">
      <c r="A3418" s="21"/>
      <c r="B3418" s="5"/>
      <c r="C3418" s="5"/>
    </row>
    <row r="3419" spans="1:3" x14ac:dyDescent="0.25">
      <c r="A3419" s="21"/>
      <c r="B3419" s="5"/>
      <c r="C3419" s="5"/>
    </row>
    <row r="3420" spans="1:3" x14ac:dyDescent="0.25">
      <c r="A3420" s="21"/>
      <c r="B3420" s="5"/>
      <c r="C3420" s="5"/>
    </row>
    <row r="3421" spans="1:3" x14ac:dyDescent="0.25">
      <c r="A3421" s="21"/>
      <c r="B3421" s="5"/>
      <c r="C3421" s="5"/>
    </row>
    <row r="3422" spans="1:3" x14ac:dyDescent="0.25">
      <c r="A3422" s="21"/>
      <c r="B3422" s="5"/>
      <c r="C3422" s="5"/>
    </row>
    <row r="3423" spans="1:3" x14ac:dyDescent="0.25">
      <c r="A3423" s="21"/>
      <c r="B3423" s="5"/>
      <c r="C3423" s="5"/>
    </row>
    <row r="3424" spans="1:3" x14ac:dyDescent="0.25">
      <c r="A3424" s="21"/>
      <c r="B3424" s="5"/>
      <c r="C3424" s="5"/>
    </row>
    <row r="3425" spans="1:3" x14ac:dyDescent="0.25">
      <c r="A3425" s="21"/>
      <c r="B3425" s="5"/>
      <c r="C3425" s="5"/>
    </row>
    <row r="3426" spans="1:3" x14ac:dyDescent="0.25">
      <c r="A3426" s="21"/>
      <c r="B3426" s="5"/>
      <c r="C3426" s="5"/>
    </row>
    <row r="3427" spans="1:3" x14ac:dyDescent="0.25">
      <c r="A3427" s="21"/>
      <c r="B3427" s="5"/>
      <c r="C3427" s="5"/>
    </row>
    <row r="3428" spans="1:3" x14ac:dyDescent="0.25">
      <c r="A3428" s="21"/>
      <c r="B3428" s="5"/>
      <c r="C3428" s="5"/>
    </row>
    <row r="3429" spans="1:3" x14ac:dyDescent="0.25">
      <c r="A3429" s="21"/>
      <c r="B3429" s="5"/>
      <c r="C3429" s="5"/>
    </row>
    <row r="3430" spans="1:3" x14ac:dyDescent="0.25">
      <c r="A3430" s="21"/>
      <c r="B3430" s="5"/>
      <c r="C3430" s="5"/>
    </row>
    <row r="3431" spans="1:3" x14ac:dyDescent="0.25">
      <c r="A3431" s="21"/>
      <c r="B3431" s="5"/>
      <c r="C3431" s="5"/>
    </row>
    <row r="3432" spans="1:3" x14ac:dyDescent="0.25">
      <c r="A3432" s="21"/>
      <c r="B3432" s="5"/>
      <c r="C3432" s="5"/>
    </row>
    <row r="3433" spans="1:3" x14ac:dyDescent="0.25">
      <c r="A3433" s="21"/>
      <c r="B3433" s="5"/>
      <c r="C3433" s="5"/>
    </row>
    <row r="3434" spans="1:3" x14ac:dyDescent="0.25">
      <c r="A3434" s="21"/>
      <c r="B3434" s="5"/>
      <c r="C3434" s="5"/>
    </row>
    <row r="3435" spans="1:3" x14ac:dyDescent="0.25">
      <c r="A3435" s="21"/>
      <c r="B3435" s="5"/>
      <c r="C3435" s="5"/>
    </row>
    <row r="3436" spans="1:3" x14ac:dyDescent="0.25">
      <c r="A3436" s="21"/>
      <c r="B3436" s="5"/>
      <c r="C3436" s="5"/>
    </row>
    <row r="3437" spans="1:3" x14ac:dyDescent="0.25">
      <c r="A3437" s="21"/>
      <c r="B3437" s="5"/>
      <c r="C3437" s="5"/>
    </row>
    <row r="3438" spans="1:3" x14ac:dyDescent="0.25">
      <c r="A3438" s="21"/>
      <c r="B3438" s="5"/>
      <c r="C3438" s="5"/>
    </row>
    <row r="3439" spans="1:3" x14ac:dyDescent="0.25">
      <c r="A3439" s="21"/>
      <c r="B3439" s="5"/>
      <c r="C3439" s="5"/>
    </row>
    <row r="3440" spans="1:3" x14ac:dyDescent="0.25">
      <c r="A3440" s="21"/>
      <c r="B3440" s="5"/>
      <c r="C3440" s="5"/>
    </row>
    <row r="3441" spans="1:3" x14ac:dyDescent="0.25">
      <c r="A3441" s="21"/>
      <c r="B3441" s="5"/>
      <c r="C3441" s="5"/>
    </row>
    <row r="3442" spans="1:3" x14ac:dyDescent="0.25">
      <c r="A3442" s="21"/>
      <c r="B3442" s="5"/>
      <c r="C3442" s="5"/>
    </row>
    <row r="3443" spans="1:3" x14ac:dyDescent="0.25">
      <c r="A3443" s="21"/>
      <c r="B3443" s="5"/>
      <c r="C3443" s="5"/>
    </row>
    <row r="3444" spans="1:3" x14ac:dyDescent="0.25">
      <c r="A3444" s="21"/>
      <c r="B3444" s="5"/>
      <c r="C3444" s="5"/>
    </row>
    <row r="3445" spans="1:3" x14ac:dyDescent="0.25">
      <c r="A3445" s="21"/>
      <c r="B3445" s="5"/>
      <c r="C3445" s="5"/>
    </row>
    <row r="3446" spans="1:3" x14ac:dyDescent="0.25">
      <c r="A3446" s="21"/>
      <c r="B3446" s="5"/>
      <c r="C3446" s="5"/>
    </row>
    <row r="3447" spans="1:3" x14ac:dyDescent="0.25">
      <c r="A3447" s="21"/>
      <c r="B3447" s="5"/>
      <c r="C3447" s="5"/>
    </row>
    <row r="3448" spans="1:3" x14ac:dyDescent="0.25">
      <c r="A3448" s="21"/>
      <c r="B3448" s="5"/>
      <c r="C3448" s="5"/>
    </row>
    <row r="3449" spans="1:3" x14ac:dyDescent="0.25">
      <c r="A3449" s="21"/>
      <c r="B3449" s="5"/>
      <c r="C3449" s="5"/>
    </row>
    <row r="3450" spans="1:3" x14ac:dyDescent="0.25">
      <c r="A3450" s="21"/>
      <c r="B3450" s="5"/>
      <c r="C3450" s="5"/>
    </row>
    <row r="3451" spans="1:3" x14ac:dyDescent="0.25">
      <c r="A3451" s="21"/>
      <c r="B3451" s="5"/>
      <c r="C3451" s="5"/>
    </row>
    <row r="3452" spans="1:3" x14ac:dyDescent="0.25">
      <c r="A3452" s="21"/>
      <c r="B3452" s="5"/>
      <c r="C3452" s="5"/>
    </row>
    <row r="3453" spans="1:3" x14ac:dyDescent="0.25">
      <c r="A3453" s="21"/>
      <c r="B3453" s="5"/>
      <c r="C3453" s="5"/>
    </row>
    <row r="3454" spans="1:3" x14ac:dyDescent="0.25">
      <c r="A3454" s="21"/>
      <c r="B3454" s="5"/>
      <c r="C3454" s="5"/>
    </row>
    <row r="3455" spans="1:3" x14ac:dyDescent="0.25">
      <c r="A3455" s="21"/>
      <c r="B3455" s="5"/>
      <c r="C3455" s="5"/>
    </row>
    <row r="3456" spans="1:3" x14ac:dyDescent="0.25">
      <c r="A3456" s="21"/>
      <c r="B3456" s="5"/>
      <c r="C3456" s="5"/>
    </row>
    <row r="3457" spans="1:3" x14ac:dyDescent="0.25">
      <c r="A3457" s="21"/>
      <c r="B3457" s="5"/>
      <c r="C3457" s="5"/>
    </row>
    <row r="3458" spans="1:3" x14ac:dyDescent="0.25">
      <c r="A3458" s="21"/>
      <c r="B3458" s="5"/>
      <c r="C3458" s="5"/>
    </row>
    <row r="3459" spans="1:3" x14ac:dyDescent="0.25">
      <c r="A3459" s="21"/>
      <c r="B3459" s="5"/>
      <c r="C3459" s="5"/>
    </row>
    <row r="3460" spans="1:3" x14ac:dyDescent="0.25">
      <c r="A3460" s="21"/>
      <c r="B3460" s="5"/>
      <c r="C3460" s="5"/>
    </row>
    <row r="3461" spans="1:3" x14ac:dyDescent="0.25">
      <c r="A3461" s="21"/>
      <c r="B3461" s="5"/>
      <c r="C3461" s="5"/>
    </row>
    <row r="3462" spans="1:3" x14ac:dyDescent="0.25">
      <c r="A3462" s="21"/>
      <c r="B3462" s="5"/>
      <c r="C3462" s="5"/>
    </row>
    <row r="3463" spans="1:3" x14ac:dyDescent="0.25">
      <c r="A3463" s="21"/>
      <c r="B3463" s="5"/>
      <c r="C3463" s="5"/>
    </row>
    <row r="3464" spans="1:3" x14ac:dyDescent="0.25">
      <c r="A3464" s="21"/>
      <c r="B3464" s="5"/>
      <c r="C3464" s="5"/>
    </row>
    <row r="3465" spans="1:3" x14ac:dyDescent="0.25">
      <c r="A3465" s="21"/>
      <c r="B3465" s="5"/>
      <c r="C3465" s="5"/>
    </row>
    <row r="3466" spans="1:3" x14ac:dyDescent="0.25">
      <c r="A3466" s="21"/>
      <c r="B3466" s="5"/>
      <c r="C3466" s="5"/>
    </row>
    <row r="3467" spans="1:3" x14ac:dyDescent="0.25">
      <c r="A3467" s="21"/>
      <c r="B3467" s="5"/>
      <c r="C3467" s="5"/>
    </row>
    <row r="3468" spans="1:3" x14ac:dyDescent="0.25">
      <c r="A3468" s="21"/>
      <c r="B3468" s="5"/>
      <c r="C3468" s="5"/>
    </row>
    <row r="3469" spans="1:3" x14ac:dyDescent="0.25">
      <c r="A3469" s="21"/>
      <c r="B3469" s="5"/>
      <c r="C3469" s="5"/>
    </row>
    <row r="3470" spans="1:3" x14ac:dyDescent="0.25">
      <c r="A3470" s="21"/>
      <c r="B3470" s="5"/>
      <c r="C3470" s="5"/>
    </row>
    <row r="3471" spans="1:3" x14ac:dyDescent="0.25">
      <c r="A3471" s="21"/>
      <c r="B3471" s="5"/>
      <c r="C3471" s="5"/>
    </row>
    <row r="3472" spans="1:3" x14ac:dyDescent="0.25">
      <c r="A3472" s="21"/>
      <c r="B3472" s="5"/>
      <c r="C3472" s="5"/>
    </row>
    <row r="3473" spans="1:3" x14ac:dyDescent="0.25">
      <c r="A3473" s="21"/>
      <c r="B3473" s="5"/>
      <c r="C3473" s="5"/>
    </row>
    <row r="3474" spans="1:3" x14ac:dyDescent="0.25">
      <c r="A3474" s="21"/>
      <c r="B3474" s="5"/>
      <c r="C3474" s="5"/>
    </row>
    <row r="3475" spans="1:3" x14ac:dyDescent="0.25">
      <c r="A3475" s="21"/>
      <c r="B3475" s="5"/>
      <c r="C3475" s="5"/>
    </row>
    <row r="3476" spans="1:3" x14ac:dyDescent="0.25">
      <c r="A3476" s="21"/>
      <c r="B3476" s="5"/>
      <c r="C3476" s="5"/>
    </row>
    <row r="3477" spans="1:3" x14ac:dyDescent="0.25">
      <c r="A3477" s="21"/>
      <c r="B3477" s="5"/>
      <c r="C3477" s="5"/>
    </row>
    <row r="3478" spans="1:3" x14ac:dyDescent="0.25">
      <c r="A3478" s="21"/>
      <c r="B3478" s="5"/>
      <c r="C3478" s="5"/>
    </row>
    <row r="3479" spans="1:3" x14ac:dyDescent="0.25">
      <c r="A3479" s="21"/>
      <c r="B3479" s="5"/>
      <c r="C3479" s="5"/>
    </row>
    <row r="3480" spans="1:3" x14ac:dyDescent="0.25">
      <c r="A3480" s="21"/>
      <c r="B3480" s="5"/>
      <c r="C3480" s="5"/>
    </row>
    <row r="3481" spans="1:3" x14ac:dyDescent="0.25">
      <c r="A3481" s="21"/>
      <c r="B3481" s="5"/>
      <c r="C3481" s="5"/>
    </row>
    <row r="3482" spans="1:3" x14ac:dyDescent="0.25">
      <c r="A3482" s="21"/>
      <c r="B3482" s="5"/>
      <c r="C3482" s="5"/>
    </row>
    <row r="3483" spans="1:3" x14ac:dyDescent="0.25">
      <c r="A3483" s="21"/>
      <c r="B3483" s="5"/>
      <c r="C3483" s="5"/>
    </row>
    <row r="3484" spans="1:3" x14ac:dyDescent="0.25">
      <c r="A3484" s="21"/>
      <c r="B3484" s="5"/>
      <c r="C3484" s="5"/>
    </row>
    <row r="3485" spans="1:3" x14ac:dyDescent="0.25">
      <c r="A3485" s="21"/>
      <c r="B3485" s="5"/>
      <c r="C3485" s="5"/>
    </row>
    <row r="3486" spans="1:3" x14ac:dyDescent="0.25">
      <c r="A3486" s="21"/>
      <c r="B3486" s="5"/>
      <c r="C3486" s="5"/>
    </row>
    <row r="3487" spans="1:3" x14ac:dyDescent="0.25">
      <c r="A3487" s="21"/>
      <c r="B3487" s="5"/>
      <c r="C3487" s="5"/>
    </row>
    <row r="3488" spans="1:3" x14ac:dyDescent="0.25">
      <c r="A3488" s="21"/>
      <c r="B3488" s="5"/>
      <c r="C3488" s="5"/>
    </row>
    <row r="3489" spans="1:3" x14ac:dyDescent="0.25">
      <c r="A3489" s="21"/>
      <c r="B3489" s="5"/>
      <c r="C3489" s="5"/>
    </row>
    <row r="3490" spans="1:3" x14ac:dyDescent="0.25">
      <c r="A3490" s="21"/>
      <c r="B3490" s="5"/>
      <c r="C3490" s="5"/>
    </row>
    <row r="3491" spans="1:3" x14ac:dyDescent="0.25">
      <c r="A3491" s="21"/>
      <c r="B3491" s="5"/>
      <c r="C3491" s="5"/>
    </row>
    <row r="3492" spans="1:3" x14ac:dyDescent="0.25">
      <c r="A3492" s="21"/>
      <c r="B3492" s="5"/>
      <c r="C3492" s="5"/>
    </row>
    <row r="3493" spans="1:3" x14ac:dyDescent="0.25">
      <c r="A3493" s="21"/>
      <c r="B3493" s="5"/>
      <c r="C3493" s="5"/>
    </row>
    <row r="3494" spans="1:3" x14ac:dyDescent="0.25">
      <c r="A3494" s="21"/>
      <c r="B3494" s="5"/>
      <c r="C3494" s="5"/>
    </row>
    <row r="3495" spans="1:3" x14ac:dyDescent="0.25">
      <c r="A3495" s="21"/>
      <c r="B3495" s="5"/>
      <c r="C3495" s="5"/>
    </row>
    <row r="3496" spans="1:3" x14ac:dyDescent="0.25">
      <c r="A3496" s="21"/>
      <c r="B3496" s="5"/>
      <c r="C3496" s="5"/>
    </row>
    <row r="3497" spans="1:3" x14ac:dyDescent="0.25">
      <c r="A3497" s="21"/>
      <c r="B3497" s="5"/>
      <c r="C3497" s="5"/>
    </row>
    <row r="3498" spans="1:3" x14ac:dyDescent="0.25">
      <c r="A3498" s="21"/>
      <c r="B3498" s="5"/>
      <c r="C3498" s="5"/>
    </row>
    <row r="3499" spans="1:3" x14ac:dyDescent="0.25">
      <c r="A3499" s="21"/>
      <c r="B3499" s="5"/>
      <c r="C3499" s="5"/>
    </row>
    <row r="3500" spans="1:3" x14ac:dyDescent="0.25">
      <c r="A3500" s="21"/>
      <c r="B3500" s="5"/>
      <c r="C3500" s="5"/>
    </row>
    <row r="3501" spans="1:3" x14ac:dyDescent="0.25">
      <c r="A3501" s="21"/>
      <c r="B3501" s="5"/>
      <c r="C3501" s="5"/>
    </row>
    <row r="3502" spans="1:3" x14ac:dyDescent="0.25">
      <c r="A3502" s="21"/>
      <c r="B3502" s="5"/>
      <c r="C3502" s="5"/>
    </row>
    <row r="3503" spans="1:3" x14ac:dyDescent="0.25">
      <c r="A3503" s="21"/>
      <c r="B3503" s="5"/>
      <c r="C3503" s="5"/>
    </row>
    <row r="3504" spans="1:3" x14ac:dyDescent="0.25">
      <c r="A3504" s="21"/>
      <c r="B3504" s="5"/>
      <c r="C3504" s="5"/>
    </row>
    <row r="3505" spans="1:3" x14ac:dyDescent="0.25">
      <c r="A3505" s="21"/>
      <c r="B3505" s="5"/>
      <c r="C3505" s="5"/>
    </row>
    <row r="3506" spans="1:3" x14ac:dyDescent="0.25">
      <c r="A3506" s="21"/>
      <c r="B3506" s="5"/>
      <c r="C3506" s="5"/>
    </row>
    <row r="3507" spans="1:3" x14ac:dyDescent="0.25">
      <c r="A3507" s="21"/>
      <c r="B3507" s="5"/>
      <c r="C3507" s="5"/>
    </row>
    <row r="3508" spans="1:3" x14ac:dyDescent="0.25">
      <c r="A3508" s="21"/>
      <c r="B3508" s="5"/>
      <c r="C3508" s="5"/>
    </row>
    <row r="3509" spans="1:3" x14ac:dyDescent="0.25">
      <c r="A3509" s="21"/>
      <c r="B3509" s="5"/>
      <c r="C3509" s="5"/>
    </row>
    <row r="3510" spans="1:3" x14ac:dyDescent="0.25">
      <c r="A3510" s="21"/>
      <c r="B3510" s="5"/>
      <c r="C3510" s="5"/>
    </row>
    <row r="3511" spans="1:3" x14ac:dyDescent="0.25">
      <c r="A3511" s="21"/>
      <c r="B3511" s="5"/>
      <c r="C3511" s="5"/>
    </row>
    <row r="3512" spans="1:3" x14ac:dyDescent="0.25">
      <c r="A3512" s="21"/>
      <c r="B3512" s="5"/>
      <c r="C3512" s="5"/>
    </row>
    <row r="3513" spans="1:3" x14ac:dyDescent="0.25">
      <c r="A3513" s="21"/>
      <c r="B3513" s="5"/>
      <c r="C3513" s="5"/>
    </row>
    <row r="3514" spans="1:3" x14ac:dyDescent="0.25">
      <c r="A3514" s="21"/>
      <c r="B3514" s="5"/>
      <c r="C3514" s="5"/>
    </row>
    <row r="3515" spans="1:3" x14ac:dyDescent="0.25">
      <c r="A3515" s="21"/>
      <c r="B3515" s="5"/>
      <c r="C3515" s="5"/>
    </row>
    <row r="3516" spans="1:3" x14ac:dyDescent="0.25">
      <c r="A3516" s="21"/>
      <c r="B3516" s="5"/>
      <c r="C3516" s="5"/>
    </row>
    <row r="3517" spans="1:3" x14ac:dyDescent="0.25">
      <c r="A3517" s="21"/>
      <c r="B3517" s="5"/>
      <c r="C3517" s="5"/>
    </row>
    <row r="3518" spans="1:3" x14ac:dyDescent="0.25">
      <c r="A3518" s="21"/>
      <c r="B3518" s="5"/>
      <c r="C3518" s="5"/>
    </row>
    <row r="3519" spans="1:3" x14ac:dyDescent="0.25">
      <c r="A3519" s="21"/>
      <c r="B3519" s="5"/>
      <c r="C3519" s="5"/>
    </row>
    <row r="3520" spans="1:3" x14ac:dyDescent="0.25">
      <c r="A3520" s="21"/>
      <c r="B3520" s="5"/>
      <c r="C3520" s="5"/>
    </row>
    <row r="3521" spans="1:3" x14ac:dyDescent="0.25">
      <c r="A3521" s="21"/>
      <c r="B3521" s="5"/>
      <c r="C3521" s="5"/>
    </row>
    <row r="3522" spans="1:3" x14ac:dyDescent="0.25">
      <c r="A3522" s="21"/>
      <c r="B3522" s="5"/>
      <c r="C3522" s="5"/>
    </row>
    <row r="3523" spans="1:3" x14ac:dyDescent="0.25">
      <c r="A3523" s="21"/>
      <c r="B3523" s="5"/>
      <c r="C3523" s="5"/>
    </row>
    <row r="3524" spans="1:3" x14ac:dyDescent="0.25">
      <c r="A3524" s="21"/>
      <c r="B3524" s="5"/>
      <c r="C3524" s="5"/>
    </row>
    <row r="3525" spans="1:3" x14ac:dyDescent="0.25">
      <c r="A3525" s="21"/>
      <c r="B3525" s="5"/>
      <c r="C3525" s="5"/>
    </row>
    <row r="3526" spans="1:3" x14ac:dyDescent="0.25">
      <c r="A3526" s="21"/>
      <c r="B3526" s="5"/>
      <c r="C3526" s="5"/>
    </row>
    <row r="3527" spans="1:3" x14ac:dyDescent="0.25">
      <c r="A3527" s="21"/>
      <c r="B3527" s="5"/>
      <c r="C3527" s="5"/>
    </row>
    <row r="3528" spans="1:3" x14ac:dyDescent="0.25">
      <c r="A3528" s="21"/>
      <c r="B3528" s="5"/>
      <c r="C3528" s="5"/>
    </row>
    <row r="3529" spans="1:3" x14ac:dyDescent="0.25">
      <c r="A3529" s="21"/>
      <c r="B3529" s="5"/>
      <c r="C3529" s="5"/>
    </row>
    <row r="3530" spans="1:3" x14ac:dyDescent="0.25">
      <c r="A3530" s="21"/>
      <c r="B3530" s="5"/>
      <c r="C3530" s="5"/>
    </row>
    <row r="3531" spans="1:3" x14ac:dyDescent="0.25">
      <c r="A3531" s="21"/>
      <c r="B3531" s="5"/>
      <c r="C3531" s="5"/>
    </row>
    <row r="3532" spans="1:3" x14ac:dyDescent="0.25">
      <c r="A3532" s="21"/>
      <c r="B3532" s="5"/>
      <c r="C3532" s="5"/>
    </row>
    <row r="3533" spans="1:3" x14ac:dyDescent="0.25">
      <c r="A3533" s="21"/>
      <c r="B3533" s="5"/>
      <c r="C3533" s="5"/>
    </row>
    <row r="3534" spans="1:3" x14ac:dyDescent="0.25">
      <c r="A3534" s="21"/>
      <c r="B3534" s="5"/>
      <c r="C3534" s="5"/>
    </row>
    <row r="3535" spans="1:3" x14ac:dyDescent="0.25">
      <c r="A3535" s="21"/>
      <c r="B3535" s="5"/>
      <c r="C3535" s="5"/>
    </row>
    <row r="3536" spans="1:3" x14ac:dyDescent="0.25">
      <c r="A3536" s="21"/>
      <c r="B3536" s="5"/>
      <c r="C3536" s="5"/>
    </row>
    <row r="3537" spans="1:3" x14ac:dyDescent="0.25">
      <c r="A3537" s="21"/>
      <c r="B3537" s="5"/>
      <c r="C3537" s="5"/>
    </row>
    <row r="3538" spans="1:3" x14ac:dyDescent="0.25">
      <c r="A3538" s="21"/>
      <c r="B3538" s="5"/>
      <c r="C3538" s="5"/>
    </row>
    <row r="3539" spans="1:3" x14ac:dyDescent="0.25">
      <c r="A3539" s="21"/>
      <c r="B3539" s="5"/>
      <c r="C3539" s="5"/>
    </row>
    <row r="3540" spans="1:3" x14ac:dyDescent="0.25">
      <c r="A3540" s="21"/>
      <c r="B3540" s="5"/>
      <c r="C3540" s="5"/>
    </row>
    <row r="3541" spans="1:3" x14ac:dyDescent="0.25">
      <c r="A3541" s="21"/>
      <c r="B3541" s="5"/>
      <c r="C3541" s="5"/>
    </row>
    <row r="3542" spans="1:3" x14ac:dyDescent="0.25">
      <c r="A3542" s="21"/>
      <c r="B3542" s="5"/>
      <c r="C3542" s="5"/>
    </row>
    <row r="3543" spans="1:3" x14ac:dyDescent="0.25">
      <c r="A3543" s="21"/>
      <c r="B3543" s="5"/>
      <c r="C3543" s="5"/>
    </row>
    <row r="3544" spans="1:3" x14ac:dyDescent="0.25">
      <c r="A3544" s="21"/>
      <c r="B3544" s="5"/>
      <c r="C3544" s="5"/>
    </row>
    <row r="3545" spans="1:3" x14ac:dyDescent="0.25">
      <c r="A3545" s="21"/>
      <c r="B3545" s="5"/>
      <c r="C3545" s="5"/>
    </row>
    <row r="3546" spans="1:3" x14ac:dyDescent="0.25">
      <c r="A3546" s="21"/>
      <c r="B3546" s="5"/>
      <c r="C3546" s="5"/>
    </row>
    <row r="3547" spans="1:3" x14ac:dyDescent="0.25">
      <c r="A3547" s="21"/>
      <c r="B3547" s="5"/>
      <c r="C3547" s="5"/>
    </row>
    <row r="3548" spans="1:3" x14ac:dyDescent="0.25">
      <c r="A3548" s="21"/>
      <c r="B3548" s="5"/>
      <c r="C3548" s="5"/>
    </row>
    <row r="3549" spans="1:3" x14ac:dyDescent="0.25">
      <c r="A3549" s="21"/>
      <c r="B3549" s="5"/>
      <c r="C3549" s="5"/>
    </row>
    <row r="3550" spans="1:3" x14ac:dyDescent="0.25">
      <c r="A3550" s="21"/>
      <c r="B3550" s="5"/>
      <c r="C3550" s="5"/>
    </row>
    <row r="3551" spans="1:3" x14ac:dyDescent="0.25">
      <c r="A3551" s="21"/>
      <c r="B3551" s="5"/>
      <c r="C3551" s="5"/>
    </row>
    <row r="3552" spans="1:3" x14ac:dyDescent="0.25">
      <c r="A3552" s="21"/>
      <c r="B3552" s="5"/>
      <c r="C3552" s="5"/>
    </row>
    <row r="3553" spans="1:3" x14ac:dyDescent="0.25">
      <c r="A3553" s="21"/>
      <c r="B3553" s="5"/>
      <c r="C3553" s="5"/>
    </row>
    <row r="3554" spans="1:3" x14ac:dyDescent="0.25">
      <c r="A3554" s="21"/>
      <c r="B3554" s="5"/>
      <c r="C3554" s="5"/>
    </row>
    <row r="3555" spans="1:3" x14ac:dyDescent="0.25">
      <c r="A3555" s="21"/>
      <c r="B3555" s="5"/>
      <c r="C3555" s="5"/>
    </row>
    <row r="3556" spans="1:3" x14ac:dyDescent="0.25">
      <c r="A3556" s="21"/>
      <c r="B3556" s="5"/>
      <c r="C3556" s="5"/>
    </row>
    <row r="3557" spans="1:3" x14ac:dyDescent="0.25">
      <c r="A3557" s="21"/>
      <c r="B3557" s="5"/>
      <c r="C3557" s="5"/>
    </row>
    <row r="3558" spans="1:3" x14ac:dyDescent="0.25">
      <c r="A3558" s="21"/>
      <c r="B3558" s="5"/>
      <c r="C3558" s="5"/>
    </row>
    <row r="3559" spans="1:3" x14ac:dyDescent="0.25">
      <c r="A3559" s="21"/>
      <c r="B3559" s="5"/>
      <c r="C3559" s="5"/>
    </row>
    <row r="3560" spans="1:3" x14ac:dyDescent="0.25">
      <c r="A3560" s="21"/>
      <c r="B3560" s="5"/>
      <c r="C3560" s="5"/>
    </row>
    <row r="3561" spans="1:3" x14ac:dyDescent="0.25">
      <c r="A3561" s="21"/>
      <c r="B3561" s="5"/>
      <c r="C3561" s="5"/>
    </row>
    <row r="3562" spans="1:3" x14ac:dyDescent="0.25">
      <c r="A3562" s="21"/>
      <c r="B3562" s="5"/>
      <c r="C3562" s="5"/>
    </row>
    <row r="3563" spans="1:3" x14ac:dyDescent="0.25">
      <c r="A3563" s="21"/>
      <c r="B3563" s="5"/>
      <c r="C3563" s="5"/>
    </row>
    <row r="3564" spans="1:3" x14ac:dyDescent="0.25">
      <c r="A3564" s="21"/>
      <c r="B3564" s="5"/>
      <c r="C3564" s="5"/>
    </row>
    <row r="3565" spans="1:3" x14ac:dyDescent="0.25">
      <c r="A3565" s="21"/>
      <c r="B3565" s="5"/>
      <c r="C3565" s="5"/>
    </row>
    <row r="3566" spans="1:3" x14ac:dyDescent="0.25">
      <c r="A3566" s="21"/>
      <c r="B3566" s="5"/>
      <c r="C3566" s="5"/>
    </row>
    <row r="3567" spans="1:3" x14ac:dyDescent="0.25">
      <c r="A3567" s="21"/>
      <c r="B3567" s="5"/>
      <c r="C3567" s="5"/>
    </row>
    <row r="3568" spans="1:3" x14ac:dyDescent="0.25">
      <c r="A3568" s="21"/>
      <c r="B3568" s="5"/>
      <c r="C3568" s="5"/>
    </row>
    <row r="3569" spans="1:3" x14ac:dyDescent="0.25">
      <c r="A3569" s="21"/>
      <c r="B3569" s="5"/>
      <c r="C3569" s="5"/>
    </row>
    <row r="3570" spans="1:3" x14ac:dyDescent="0.25">
      <c r="A3570" s="21"/>
      <c r="B3570" s="5"/>
      <c r="C3570" s="5"/>
    </row>
    <row r="3571" spans="1:3" x14ac:dyDescent="0.25">
      <c r="A3571" s="21"/>
      <c r="B3571" s="5"/>
      <c r="C3571" s="5"/>
    </row>
    <row r="3572" spans="1:3" x14ac:dyDescent="0.25">
      <c r="A3572" s="21"/>
      <c r="B3572" s="5"/>
      <c r="C3572" s="5"/>
    </row>
    <row r="3573" spans="1:3" x14ac:dyDescent="0.25">
      <c r="A3573" s="21"/>
      <c r="B3573" s="5"/>
      <c r="C3573" s="5"/>
    </row>
    <row r="3574" spans="1:3" x14ac:dyDescent="0.25">
      <c r="A3574" s="21"/>
      <c r="B3574" s="5"/>
      <c r="C3574" s="5"/>
    </row>
    <row r="3575" spans="1:3" x14ac:dyDescent="0.25">
      <c r="A3575" s="21"/>
      <c r="B3575" s="5"/>
      <c r="C3575" s="5"/>
    </row>
    <row r="3576" spans="1:3" x14ac:dyDescent="0.25">
      <c r="A3576" s="21"/>
      <c r="B3576" s="5"/>
      <c r="C3576" s="5"/>
    </row>
    <row r="3577" spans="1:3" x14ac:dyDescent="0.25">
      <c r="A3577" s="21"/>
      <c r="B3577" s="5"/>
      <c r="C3577" s="5"/>
    </row>
    <row r="3578" spans="1:3" x14ac:dyDescent="0.25">
      <c r="A3578" s="21"/>
      <c r="B3578" s="5"/>
      <c r="C3578" s="5"/>
    </row>
    <row r="3579" spans="1:3" x14ac:dyDescent="0.25">
      <c r="A3579" s="21"/>
      <c r="B3579" s="5"/>
      <c r="C3579" s="5"/>
    </row>
    <row r="3580" spans="1:3" x14ac:dyDescent="0.25">
      <c r="A3580" s="21"/>
      <c r="B3580" s="5"/>
      <c r="C3580" s="5"/>
    </row>
    <row r="3581" spans="1:3" x14ac:dyDescent="0.25">
      <c r="A3581" s="21"/>
      <c r="B3581" s="5"/>
      <c r="C3581" s="5"/>
    </row>
    <row r="3582" spans="1:3" x14ac:dyDescent="0.25">
      <c r="A3582" s="21"/>
      <c r="B3582" s="5"/>
      <c r="C3582" s="5"/>
    </row>
    <row r="3583" spans="1:3" x14ac:dyDescent="0.25">
      <c r="A3583" s="21"/>
      <c r="B3583" s="5"/>
      <c r="C3583" s="5"/>
    </row>
    <row r="3584" spans="1:3" x14ac:dyDescent="0.25">
      <c r="A3584" s="21"/>
      <c r="B3584" s="5"/>
      <c r="C3584" s="5"/>
    </row>
    <row r="3585" spans="1:3" x14ac:dyDescent="0.25">
      <c r="A3585" s="21"/>
      <c r="B3585" s="5"/>
      <c r="C3585" s="5"/>
    </row>
    <row r="3586" spans="1:3" x14ac:dyDescent="0.25">
      <c r="A3586" s="21"/>
      <c r="B3586" s="5"/>
      <c r="C3586" s="5"/>
    </row>
    <row r="3587" spans="1:3" x14ac:dyDescent="0.25">
      <c r="A3587" s="21"/>
      <c r="B3587" s="5"/>
      <c r="C3587" s="5"/>
    </row>
    <row r="3588" spans="1:3" x14ac:dyDescent="0.25">
      <c r="A3588" s="21"/>
      <c r="B3588" s="5"/>
      <c r="C3588" s="5"/>
    </row>
    <row r="3589" spans="1:3" x14ac:dyDescent="0.25">
      <c r="A3589" s="21"/>
      <c r="B3589" s="5"/>
      <c r="C3589" s="5"/>
    </row>
    <row r="3590" spans="1:3" x14ac:dyDescent="0.25">
      <c r="A3590" s="21"/>
      <c r="B3590" s="5"/>
      <c r="C3590" s="5"/>
    </row>
    <row r="3591" spans="1:3" x14ac:dyDescent="0.25">
      <c r="A3591" s="21"/>
      <c r="B3591" s="5"/>
      <c r="C3591" s="5"/>
    </row>
    <row r="3592" spans="1:3" x14ac:dyDescent="0.25">
      <c r="A3592" s="21"/>
      <c r="B3592" s="5"/>
      <c r="C3592" s="5"/>
    </row>
    <row r="3593" spans="1:3" x14ac:dyDescent="0.25">
      <c r="A3593" s="21"/>
      <c r="B3593" s="5"/>
      <c r="C3593" s="5"/>
    </row>
    <row r="3594" spans="1:3" x14ac:dyDescent="0.25">
      <c r="A3594" s="21"/>
      <c r="B3594" s="5"/>
      <c r="C3594" s="5"/>
    </row>
    <row r="3595" spans="1:3" x14ac:dyDescent="0.25">
      <c r="A3595" s="21"/>
      <c r="B3595" s="5"/>
      <c r="C3595" s="5"/>
    </row>
    <row r="3596" spans="1:3" x14ac:dyDescent="0.25">
      <c r="A3596" s="21"/>
      <c r="B3596" s="5"/>
      <c r="C3596" s="5"/>
    </row>
    <row r="3597" spans="1:3" x14ac:dyDescent="0.25">
      <c r="A3597" s="21"/>
      <c r="B3597" s="5"/>
      <c r="C3597" s="5"/>
    </row>
    <row r="3598" spans="1:3" x14ac:dyDescent="0.25">
      <c r="A3598" s="21"/>
      <c r="B3598" s="5"/>
      <c r="C3598" s="5"/>
    </row>
    <row r="3599" spans="1:3" x14ac:dyDescent="0.25">
      <c r="A3599" s="21"/>
      <c r="B3599" s="5"/>
      <c r="C3599" s="5"/>
    </row>
    <row r="3600" spans="1:3" x14ac:dyDescent="0.25">
      <c r="A3600" s="21"/>
      <c r="B3600" s="5"/>
      <c r="C3600" s="5"/>
    </row>
    <row r="3601" spans="1:3" x14ac:dyDescent="0.25">
      <c r="A3601" s="21"/>
      <c r="B3601" s="5"/>
      <c r="C360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6895-9E92-4557-A139-3AA8377068FC}">
  <dimension ref="A1:G3601"/>
  <sheetViews>
    <sheetView workbookViewId="0">
      <selection activeCell="H18" sqref="H18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7" bestFit="1" customWidth="1"/>
  </cols>
  <sheetData>
    <row r="1" spans="1:7" x14ac:dyDescent="0.25">
      <c r="A1" s="10" t="s">
        <v>35</v>
      </c>
      <c r="B1" s="10" t="s">
        <v>29</v>
      </c>
      <c r="C1" s="10" t="s">
        <v>30</v>
      </c>
      <c r="D1" s="10" t="s">
        <v>40</v>
      </c>
      <c r="E1" s="10" t="s">
        <v>41</v>
      </c>
      <c r="F1" s="10" t="s">
        <v>42</v>
      </c>
      <c r="G1" s="10" t="s">
        <v>43</v>
      </c>
    </row>
    <row r="2" spans="1:7" x14ac:dyDescent="0.25">
      <c r="A2" s="21">
        <v>44202</v>
      </c>
      <c r="B2" s="5">
        <v>35939.269999999997</v>
      </c>
      <c r="C2" s="5">
        <v>36565</v>
      </c>
      <c r="D2" s="5">
        <f t="shared" ref="D2:E29" si="0">LN(B2)</f>
        <v>10.48958584850077</v>
      </c>
      <c r="E2" s="5">
        <f t="shared" si="0"/>
        <v>10.506846777705052</v>
      </c>
      <c r="F2" s="5"/>
      <c r="G2" s="5"/>
    </row>
    <row r="3" spans="1:7" x14ac:dyDescent="0.25">
      <c r="A3" s="21">
        <v>44209</v>
      </c>
      <c r="B3" s="5">
        <v>37283.480000000003</v>
      </c>
      <c r="C3" s="5">
        <v>36375</v>
      </c>
      <c r="D3" s="5">
        <f t="shared" si="0"/>
        <v>10.526305612082393</v>
      </c>
      <c r="E3" s="5">
        <f t="shared" si="0"/>
        <v>10.501637004473794</v>
      </c>
      <c r="F3" s="5">
        <f t="shared" ref="F3:G14" si="1">D3-D2</f>
        <v>3.6719763581622544E-2</v>
      </c>
      <c r="G3" s="5">
        <f t="shared" si="1"/>
        <v>-5.2097732312574863E-3</v>
      </c>
    </row>
    <row r="4" spans="1:7" x14ac:dyDescent="0.25">
      <c r="A4" s="21">
        <v>44216</v>
      </c>
      <c r="B4" s="5">
        <v>34913.07</v>
      </c>
      <c r="C4" s="5">
        <v>35035</v>
      </c>
      <c r="D4" s="5">
        <f t="shared" si="0"/>
        <v>10.460616536650768</v>
      </c>
      <c r="E4" s="5">
        <f t="shared" si="0"/>
        <v>10.464102840804633</v>
      </c>
      <c r="F4" s="5">
        <f t="shared" si="1"/>
        <v>-6.5689075431624389E-2</v>
      </c>
      <c r="G4" s="5">
        <f t="shared" si="1"/>
        <v>-3.7534163669160847E-2</v>
      </c>
    </row>
    <row r="5" spans="1:7" x14ac:dyDescent="0.25">
      <c r="A5" s="21">
        <v>44223</v>
      </c>
      <c r="B5" s="5">
        <v>31005.85</v>
      </c>
      <c r="C5" s="5">
        <v>31475</v>
      </c>
      <c r="D5" s="5">
        <f t="shared" si="0"/>
        <v>10.341931175341271</v>
      </c>
      <c r="E5" s="5">
        <f t="shared" si="0"/>
        <v>10.356948858912547</v>
      </c>
      <c r="F5" s="5">
        <f t="shared" si="1"/>
        <v>-0.11868536130949714</v>
      </c>
      <c r="G5" s="5">
        <f t="shared" si="1"/>
        <v>-0.10715398189208614</v>
      </c>
    </row>
    <row r="6" spans="1:7" x14ac:dyDescent="0.25">
      <c r="A6" s="21">
        <v>44230</v>
      </c>
      <c r="B6" s="5">
        <v>37294.949999999997</v>
      </c>
      <c r="C6" s="5">
        <v>37390</v>
      </c>
      <c r="D6" s="5">
        <f t="shared" si="0"/>
        <v>10.526613207726077</v>
      </c>
      <c r="E6" s="5">
        <f t="shared" si="0"/>
        <v>10.529158567971159</v>
      </c>
      <c r="F6" s="5">
        <f t="shared" si="1"/>
        <v>0.1846820323848064</v>
      </c>
      <c r="G6" s="5">
        <f t="shared" si="1"/>
        <v>0.17220970905861144</v>
      </c>
    </row>
    <row r="7" spans="1:7" x14ac:dyDescent="0.25">
      <c r="A7" s="21">
        <v>44237</v>
      </c>
      <c r="B7" s="5">
        <v>45039.51</v>
      </c>
      <c r="C7" s="5">
        <v>44915</v>
      </c>
      <c r="D7" s="5">
        <f t="shared" si="0"/>
        <v>10.715295383535921</v>
      </c>
      <c r="E7" s="5">
        <f t="shared" si="0"/>
        <v>10.712527093663306</v>
      </c>
      <c r="F7" s="5">
        <f t="shared" si="1"/>
        <v>0.18868217580984314</v>
      </c>
      <c r="G7" s="5">
        <f t="shared" si="1"/>
        <v>0.18336852569214734</v>
      </c>
    </row>
    <row r="8" spans="1:7" x14ac:dyDescent="0.25">
      <c r="A8" s="21">
        <v>44244</v>
      </c>
      <c r="B8" s="5">
        <v>52400.42</v>
      </c>
      <c r="C8" s="5">
        <v>52785</v>
      </c>
      <c r="D8" s="5">
        <f t="shared" si="0"/>
        <v>10.866669885544187</v>
      </c>
      <c r="E8" s="5">
        <f t="shared" si="0"/>
        <v>10.873982338423795</v>
      </c>
      <c r="F8" s="5">
        <f t="shared" si="1"/>
        <v>0.15137450200826663</v>
      </c>
      <c r="G8" s="5">
        <f t="shared" si="1"/>
        <v>0.16145524476048934</v>
      </c>
    </row>
    <row r="9" spans="1:7" x14ac:dyDescent="0.25">
      <c r="A9" s="21">
        <v>44251</v>
      </c>
      <c r="B9" s="5">
        <v>48758.53</v>
      </c>
      <c r="C9" s="5">
        <v>49135</v>
      </c>
      <c r="D9" s="5">
        <f t="shared" si="0"/>
        <v>10.794635435478741</v>
      </c>
      <c r="E9" s="5">
        <f t="shared" si="0"/>
        <v>10.802326890796527</v>
      </c>
      <c r="F9" s="5">
        <f t="shared" si="1"/>
        <v>-7.203445006544662E-2</v>
      </c>
      <c r="G9" s="5">
        <f t="shared" si="1"/>
        <v>-7.1655447627268387E-2</v>
      </c>
    </row>
    <row r="10" spans="1:7" x14ac:dyDescent="0.25">
      <c r="A10" s="21">
        <v>44258</v>
      </c>
      <c r="B10" s="5">
        <v>50952.74</v>
      </c>
      <c r="C10" s="5">
        <v>50900</v>
      </c>
      <c r="D10" s="5">
        <f t="shared" si="0"/>
        <v>10.838653815418811</v>
      </c>
      <c r="E10" s="5">
        <f t="shared" si="0"/>
        <v>10.837618202538614</v>
      </c>
      <c r="F10" s="5">
        <f t="shared" si="1"/>
        <v>4.4018379940069963E-2</v>
      </c>
      <c r="G10" s="5">
        <f t="shared" si="1"/>
        <v>3.5291311742087217E-2</v>
      </c>
    </row>
    <row r="11" spans="1:7" x14ac:dyDescent="0.25">
      <c r="A11" s="21">
        <v>44265</v>
      </c>
      <c r="B11" s="5">
        <v>56931.78</v>
      </c>
      <c r="C11" s="5">
        <v>56620</v>
      </c>
      <c r="D11" s="5">
        <f t="shared" si="0"/>
        <v>10.949608987923934</v>
      </c>
      <c r="E11" s="5">
        <f t="shared" si="0"/>
        <v>10.944117558665891</v>
      </c>
      <c r="F11" s="5">
        <f t="shared" si="1"/>
        <v>0.11095517250512366</v>
      </c>
      <c r="G11" s="5">
        <f t="shared" si="1"/>
        <v>0.10649935612727646</v>
      </c>
    </row>
    <row r="12" spans="1:7" x14ac:dyDescent="0.25">
      <c r="A12" s="21">
        <v>44272</v>
      </c>
      <c r="B12" s="5">
        <v>57751.66</v>
      </c>
      <c r="C12" s="5">
        <v>57980</v>
      </c>
      <c r="D12" s="5">
        <f t="shared" si="0"/>
        <v>10.963907372559667</v>
      </c>
      <c r="E12" s="5">
        <f t="shared" si="0"/>
        <v>10.967853402475647</v>
      </c>
      <c r="F12" s="5">
        <f t="shared" si="1"/>
        <v>1.4298384635733186E-2</v>
      </c>
      <c r="G12" s="5">
        <f t="shared" si="1"/>
        <v>2.3735843809756574E-2</v>
      </c>
    </row>
    <row r="13" spans="1:7" x14ac:dyDescent="0.25">
      <c r="A13" s="21">
        <v>44279</v>
      </c>
      <c r="B13" s="5">
        <v>54050.57</v>
      </c>
      <c r="C13" s="5">
        <v>54645</v>
      </c>
      <c r="D13" s="5">
        <f t="shared" si="0"/>
        <v>10.897675368802682</v>
      </c>
      <c r="E13" s="5">
        <f t="shared" si="0"/>
        <v>10.908612998110774</v>
      </c>
      <c r="F13" s="5">
        <f t="shared" si="1"/>
        <v>-6.6232003756985236E-2</v>
      </c>
      <c r="G13" s="5">
        <f t="shared" si="1"/>
        <v>-5.92404043648731E-2</v>
      </c>
    </row>
    <row r="14" spans="1:7" x14ac:dyDescent="0.25">
      <c r="A14" s="21">
        <v>44286</v>
      </c>
      <c r="B14" s="5">
        <v>58960.2</v>
      </c>
      <c r="C14" s="5">
        <v>59285</v>
      </c>
      <c r="D14" s="5">
        <f t="shared" si="0"/>
        <v>10.984617918987723</v>
      </c>
      <c r="E14" s="5">
        <f t="shared" si="0"/>
        <v>10.990111601892171</v>
      </c>
      <c r="F14" s="5">
        <f t="shared" si="1"/>
        <v>8.6942550185041156E-2</v>
      </c>
      <c r="G14" s="5">
        <f t="shared" si="1"/>
        <v>8.1498603781396284E-2</v>
      </c>
    </row>
    <row r="15" spans="1:7" x14ac:dyDescent="0.25">
      <c r="A15" s="21">
        <v>44293</v>
      </c>
      <c r="B15" s="5">
        <v>56227.64</v>
      </c>
      <c r="C15" s="5">
        <v>56310</v>
      </c>
      <c r="D15" s="5">
        <f t="shared" si="0"/>
        <v>10.93716372992707</v>
      </c>
      <c r="E15" s="5">
        <f t="shared" si="0"/>
        <v>10.938627418248664</v>
      </c>
      <c r="F15" s="5">
        <f t="shared" ref="F15:G78" si="2">D15-D14</f>
        <v>-4.7454189060653462E-2</v>
      </c>
      <c r="G15" s="5">
        <f t="shared" si="2"/>
        <v>-5.1484183643506043E-2</v>
      </c>
    </row>
    <row r="16" spans="1:7" x14ac:dyDescent="0.25">
      <c r="A16" s="21">
        <v>44300</v>
      </c>
      <c r="B16" s="5">
        <v>62384.19</v>
      </c>
      <c r="C16" s="5">
        <v>62400</v>
      </c>
      <c r="D16" s="5">
        <f t="shared" si="0"/>
        <v>11.041067156870472</v>
      </c>
      <c r="E16" s="5">
        <f t="shared" si="0"/>
        <v>11.041320554357519</v>
      </c>
      <c r="F16" s="5">
        <f t="shared" si="2"/>
        <v>0.10390342694340227</v>
      </c>
      <c r="G16" s="5">
        <f t="shared" si="2"/>
        <v>0.10269313610885433</v>
      </c>
    </row>
    <row r="17" spans="1:7" x14ac:dyDescent="0.25">
      <c r="A17" s="21">
        <v>44307</v>
      </c>
      <c r="B17" s="5">
        <v>54996.31</v>
      </c>
      <c r="C17" s="5">
        <v>55610</v>
      </c>
      <c r="D17" s="5">
        <f t="shared" si="0"/>
        <v>10.915021371054822</v>
      </c>
      <c r="E17" s="5">
        <f t="shared" si="0"/>
        <v>10.92611832018161</v>
      </c>
      <c r="F17" s="5">
        <f t="shared" si="2"/>
        <v>-0.12604578581565029</v>
      </c>
      <c r="G17" s="5">
        <f t="shared" si="2"/>
        <v>-0.11520223417590891</v>
      </c>
    </row>
    <row r="18" spans="1:7" x14ac:dyDescent="0.25">
      <c r="A18" s="21">
        <v>44314</v>
      </c>
      <c r="B18" s="5">
        <v>54438.68</v>
      </c>
      <c r="C18" s="5">
        <v>55410</v>
      </c>
      <c r="D18" s="5">
        <f t="shared" si="0"/>
        <v>10.904830209594145</v>
      </c>
      <c r="E18" s="5">
        <f t="shared" si="0"/>
        <v>10.922515361861395</v>
      </c>
      <c r="F18" s="5">
        <f t="shared" si="2"/>
        <v>-1.0191161460676668E-2</v>
      </c>
      <c r="G18" s="5">
        <f t="shared" si="2"/>
        <v>-3.6029583202150661E-3</v>
      </c>
    </row>
    <row r="19" spans="1:7" x14ac:dyDescent="0.25">
      <c r="A19" s="21">
        <v>44321</v>
      </c>
      <c r="B19" s="5">
        <v>56895.44</v>
      </c>
      <c r="C19" s="5">
        <v>57295</v>
      </c>
      <c r="D19" s="5">
        <f t="shared" si="0"/>
        <v>10.948970476305453</v>
      </c>
      <c r="E19" s="5">
        <f t="shared" si="0"/>
        <v>10.955968638860549</v>
      </c>
      <c r="F19" s="5">
        <f t="shared" si="2"/>
        <v>4.4140266711307774E-2</v>
      </c>
      <c r="G19" s="5">
        <f t="shared" si="2"/>
        <v>3.3453276999154014E-2</v>
      </c>
    </row>
    <row r="20" spans="1:7" x14ac:dyDescent="0.25">
      <c r="A20" s="21">
        <v>44328</v>
      </c>
      <c r="B20" s="5">
        <v>54482.81</v>
      </c>
      <c r="C20" s="5">
        <v>54445</v>
      </c>
      <c r="D20" s="5">
        <f t="shared" si="0"/>
        <v>10.905640518054206</v>
      </c>
      <c r="E20" s="5">
        <f t="shared" si="0"/>
        <v>10.904946296780162</v>
      </c>
      <c r="F20" s="5">
        <f t="shared" si="2"/>
        <v>-4.3329958251247191E-2</v>
      </c>
      <c r="G20" s="5">
        <f t="shared" si="2"/>
        <v>-5.1022342080386807E-2</v>
      </c>
    </row>
    <row r="21" spans="1:7" x14ac:dyDescent="0.25">
      <c r="A21" s="21">
        <v>44335</v>
      </c>
      <c r="B21" s="5">
        <v>38336.11</v>
      </c>
      <c r="C21" s="5">
        <v>39340</v>
      </c>
      <c r="D21" s="5">
        <f t="shared" si="0"/>
        <v>10.554147550836614</v>
      </c>
      <c r="E21" s="5">
        <f t="shared" si="0"/>
        <v>10.579997091943049</v>
      </c>
      <c r="F21" s="5">
        <f t="shared" si="2"/>
        <v>-0.35149296721759171</v>
      </c>
      <c r="G21" s="5">
        <f t="shared" si="2"/>
        <v>-0.32494920483711276</v>
      </c>
    </row>
    <row r="22" spans="1:7" x14ac:dyDescent="0.25">
      <c r="A22" s="21">
        <v>44342</v>
      </c>
      <c r="B22" s="5">
        <v>38774.5</v>
      </c>
      <c r="C22" s="5">
        <v>38545</v>
      </c>
      <c r="D22" s="5">
        <f t="shared" si="0"/>
        <v>10.565518093055088</v>
      </c>
      <c r="E22" s="5">
        <f t="shared" si="0"/>
        <v>10.559581668893362</v>
      </c>
      <c r="F22" s="5">
        <f t="shared" si="2"/>
        <v>1.1370542218474E-2</v>
      </c>
      <c r="G22" s="5">
        <f t="shared" si="2"/>
        <v>-2.0415423049687575E-2</v>
      </c>
    </row>
    <row r="23" spans="1:7" x14ac:dyDescent="0.25">
      <c r="A23" s="21">
        <v>44349</v>
      </c>
      <c r="B23" s="5">
        <v>37745.129999999997</v>
      </c>
      <c r="C23" s="5">
        <v>38040</v>
      </c>
      <c r="D23" s="5">
        <f t="shared" si="0"/>
        <v>10.538611739732584</v>
      </c>
      <c r="E23" s="5">
        <f t="shared" si="0"/>
        <v>10.546393516659327</v>
      </c>
      <c r="F23" s="5">
        <f t="shared" si="2"/>
        <v>-2.6906353322504017E-2</v>
      </c>
      <c r="G23" s="5">
        <f t="shared" si="2"/>
        <v>-1.3188152234034689E-2</v>
      </c>
    </row>
    <row r="24" spans="1:7" x14ac:dyDescent="0.25">
      <c r="A24" s="21">
        <v>44356</v>
      </c>
      <c r="B24" s="5">
        <v>36408.39</v>
      </c>
      <c r="C24" s="5">
        <v>36375</v>
      </c>
      <c r="D24" s="5">
        <f t="shared" si="0"/>
        <v>10.502554521570548</v>
      </c>
      <c r="E24" s="5">
        <f t="shared" si="0"/>
        <v>10.501637004473794</v>
      </c>
      <c r="F24" s="5">
        <f t="shared" si="2"/>
        <v>-3.6057218162035554E-2</v>
      </c>
      <c r="G24" s="5">
        <f t="shared" si="2"/>
        <v>-4.4756512185532671E-2</v>
      </c>
    </row>
    <row r="25" spans="1:7" x14ac:dyDescent="0.25">
      <c r="A25" s="21">
        <v>44363</v>
      </c>
      <c r="B25" s="5">
        <v>38532.5</v>
      </c>
      <c r="C25" s="5">
        <v>38565</v>
      </c>
      <c r="D25" s="5">
        <f t="shared" si="0"/>
        <v>10.559257320020874</v>
      </c>
      <c r="E25" s="5">
        <f t="shared" si="0"/>
        <v>10.560100408368099</v>
      </c>
      <c r="F25" s="5">
        <f t="shared" si="2"/>
        <v>5.6702798450325886E-2</v>
      </c>
      <c r="G25" s="5">
        <f t="shared" si="2"/>
        <v>5.8463403894304378E-2</v>
      </c>
    </row>
    <row r="26" spans="1:7" x14ac:dyDescent="0.25">
      <c r="A26" s="21">
        <v>44370</v>
      </c>
      <c r="B26" s="5">
        <v>33059.18</v>
      </c>
      <c r="C26" s="5">
        <v>32900</v>
      </c>
      <c r="D26" s="5">
        <f t="shared" si="0"/>
        <v>10.406054567679627</v>
      </c>
      <c r="E26" s="5">
        <f t="shared" si="0"/>
        <v>10.401227936753463</v>
      </c>
      <c r="F26" s="5">
        <f t="shared" si="2"/>
        <v>-0.15320275234124736</v>
      </c>
      <c r="G26" s="5">
        <f t="shared" si="2"/>
        <v>-0.15887247161463591</v>
      </c>
    </row>
    <row r="27" spans="1:7" x14ac:dyDescent="0.25">
      <c r="A27" s="21">
        <v>44377</v>
      </c>
      <c r="B27" s="5">
        <v>34585</v>
      </c>
      <c r="C27" s="5">
        <v>34725</v>
      </c>
      <c r="D27" s="5">
        <f t="shared" si="0"/>
        <v>10.451175341034686</v>
      </c>
      <c r="E27" s="5">
        <f t="shared" si="0"/>
        <v>10.455215167622544</v>
      </c>
      <c r="F27" s="5">
        <f t="shared" si="2"/>
        <v>4.512077335505893E-2</v>
      </c>
      <c r="G27" s="5">
        <f t="shared" si="2"/>
        <v>5.3987230869081415E-2</v>
      </c>
    </row>
    <row r="28" spans="1:7" x14ac:dyDescent="0.25">
      <c r="A28" s="21">
        <v>44384</v>
      </c>
      <c r="B28" s="5">
        <v>34544.86</v>
      </c>
      <c r="C28" s="5">
        <v>34700</v>
      </c>
      <c r="D28" s="5">
        <f t="shared" si="0"/>
        <v>10.450014048229779</v>
      </c>
      <c r="E28" s="5">
        <f t="shared" si="0"/>
        <v>10.45449496593495</v>
      </c>
      <c r="F28" s="5">
        <f t="shared" si="2"/>
        <v>-1.1612928049071769E-3</v>
      </c>
      <c r="G28" s="5">
        <f t="shared" si="2"/>
        <v>-7.2020168759401315E-4</v>
      </c>
    </row>
    <row r="29" spans="1:7" x14ac:dyDescent="0.25">
      <c r="A29" s="21">
        <v>44391</v>
      </c>
      <c r="B29" s="5">
        <v>32813.83</v>
      </c>
      <c r="C29" s="5">
        <v>32740</v>
      </c>
      <c r="D29" s="5">
        <f t="shared" si="0"/>
        <v>10.398605351845859</v>
      </c>
      <c r="E29" s="5">
        <f t="shared" si="0"/>
        <v>10.396352850925126</v>
      </c>
      <c r="F29" s="5">
        <f t="shared" si="2"/>
        <v>-5.1408696383919761E-2</v>
      </c>
      <c r="G29" s="5">
        <f t="shared" si="2"/>
        <v>-5.8142115009824025E-2</v>
      </c>
    </row>
    <row r="30" spans="1:7" x14ac:dyDescent="0.25">
      <c r="A30" s="21">
        <v>44398</v>
      </c>
      <c r="B30" s="5">
        <v>31818.67</v>
      </c>
      <c r="C30" s="5">
        <v>31620</v>
      </c>
      <c r="D30" s="5">
        <f t="shared" ref="D30:E93" si="3">LN(B30)</f>
        <v>10.367808503406668</v>
      </c>
      <c r="E30" s="5">
        <f t="shared" si="3"/>
        <v>10.361545110763464</v>
      </c>
      <c r="F30" s="5">
        <f t="shared" si="2"/>
        <v>-3.0796848439191393E-2</v>
      </c>
      <c r="G30" s="5">
        <f t="shared" si="2"/>
        <v>-3.4807740161662437E-2</v>
      </c>
    </row>
    <row r="31" spans="1:7" x14ac:dyDescent="0.25">
      <c r="A31" s="21">
        <v>44405</v>
      </c>
      <c r="B31" s="5">
        <v>39985.949999999997</v>
      </c>
      <c r="C31" s="5">
        <v>40370</v>
      </c>
      <c r="D31" s="5">
        <f t="shared" si="3"/>
        <v>10.596283421393343</v>
      </c>
      <c r="E31" s="5">
        <f t="shared" si="3"/>
        <v>10.605842213846987</v>
      </c>
      <c r="F31" s="5">
        <f t="shared" si="2"/>
        <v>0.22847491798667541</v>
      </c>
      <c r="G31" s="5">
        <f t="shared" si="2"/>
        <v>0.24429710308352348</v>
      </c>
    </row>
    <row r="32" spans="1:7" x14ac:dyDescent="0.25">
      <c r="A32" s="21">
        <v>44412</v>
      </c>
      <c r="B32" s="5">
        <v>39754.379999999997</v>
      </c>
      <c r="C32" s="5">
        <v>39840</v>
      </c>
      <c r="D32" s="5">
        <f t="shared" si="3"/>
        <v>10.590475302691397</v>
      </c>
      <c r="E32" s="5">
        <f t="shared" si="3"/>
        <v>10.592626711698534</v>
      </c>
      <c r="F32" s="5">
        <f t="shared" si="2"/>
        <v>-5.8081187019460856E-3</v>
      </c>
      <c r="G32" s="5">
        <f t="shared" si="2"/>
        <v>-1.321550214845324E-2</v>
      </c>
    </row>
    <row r="33" spans="1:7" x14ac:dyDescent="0.25">
      <c r="A33" s="21">
        <v>44419</v>
      </c>
      <c r="B33" s="5">
        <v>46345.49</v>
      </c>
      <c r="C33" s="5">
        <v>46455</v>
      </c>
      <c r="D33" s="5">
        <f t="shared" si="3"/>
        <v>10.743879263131374</v>
      </c>
      <c r="E33" s="5">
        <f t="shared" si="3"/>
        <v>10.746239381075412</v>
      </c>
      <c r="F33" s="5">
        <f t="shared" si="2"/>
        <v>0.15340396043997728</v>
      </c>
      <c r="G33" s="5">
        <f t="shared" si="2"/>
        <v>0.15361266937687823</v>
      </c>
    </row>
    <row r="34" spans="1:7" x14ac:dyDescent="0.25">
      <c r="A34" s="21">
        <v>44426</v>
      </c>
      <c r="B34" s="5">
        <v>44546.67</v>
      </c>
      <c r="C34" s="5">
        <v>44855</v>
      </c>
      <c r="D34" s="5">
        <f t="shared" si="3"/>
        <v>10.704292682630475</v>
      </c>
      <c r="E34" s="5">
        <f t="shared" si="3"/>
        <v>10.711190343993383</v>
      </c>
      <c r="F34" s="5">
        <f t="shared" si="2"/>
        <v>-3.9586580500898805E-2</v>
      </c>
      <c r="G34" s="5">
        <f t="shared" si="2"/>
        <v>-3.5049037082028889E-2</v>
      </c>
    </row>
    <row r="35" spans="1:7" x14ac:dyDescent="0.25">
      <c r="A35" s="21">
        <v>44433</v>
      </c>
      <c r="B35" s="5">
        <v>48712.63</v>
      </c>
      <c r="C35" s="5">
        <v>48705</v>
      </c>
      <c r="D35" s="5">
        <f t="shared" si="3"/>
        <v>10.793693618362932</v>
      </c>
      <c r="E35" s="5">
        <f t="shared" si="3"/>
        <v>10.793536973205056</v>
      </c>
      <c r="F35" s="5">
        <f t="shared" si="2"/>
        <v>8.9400935732456333E-2</v>
      </c>
      <c r="G35" s="5">
        <f t="shared" si="2"/>
        <v>8.2346629211672351E-2</v>
      </c>
    </row>
    <row r="36" spans="1:7" x14ac:dyDescent="0.25">
      <c r="A36" s="21">
        <v>44440</v>
      </c>
      <c r="B36" s="5">
        <v>48272.51</v>
      </c>
      <c r="C36" s="5">
        <v>48320</v>
      </c>
      <c r="D36" s="5">
        <f t="shared" si="3"/>
        <v>10.784617526473957</v>
      </c>
      <c r="E36" s="5">
        <f t="shared" si="3"/>
        <v>10.785600832608697</v>
      </c>
      <c r="F36" s="5">
        <f t="shared" si="2"/>
        <v>-9.0760918889749576E-3</v>
      </c>
      <c r="G36" s="5">
        <f t="shared" si="2"/>
        <v>-7.9361405963584986E-3</v>
      </c>
    </row>
    <row r="37" spans="1:7" x14ac:dyDescent="0.25">
      <c r="A37" s="21">
        <v>44447</v>
      </c>
      <c r="B37" s="5">
        <v>46060.72</v>
      </c>
      <c r="C37" s="5">
        <v>46520</v>
      </c>
      <c r="D37" s="5">
        <f t="shared" si="3"/>
        <v>10.73771580503713</v>
      </c>
      <c r="E37" s="5">
        <f t="shared" si="3"/>
        <v>10.747637606632601</v>
      </c>
      <c r="F37" s="5">
        <f t="shared" si="2"/>
        <v>-4.6901721436826804E-2</v>
      </c>
      <c r="G37" s="5">
        <f t="shared" si="2"/>
        <v>-3.7963225976096027E-2</v>
      </c>
    </row>
    <row r="38" spans="1:7" x14ac:dyDescent="0.25">
      <c r="A38" s="21">
        <v>44454</v>
      </c>
      <c r="B38" s="5">
        <v>47941.58</v>
      </c>
      <c r="C38" s="5">
        <v>48190</v>
      </c>
      <c r="D38" s="5">
        <f t="shared" si="3"/>
        <v>10.777738465309273</v>
      </c>
      <c r="E38" s="5">
        <f t="shared" si="3"/>
        <v>10.782906809634378</v>
      </c>
      <c r="F38" s="5">
        <f t="shared" si="2"/>
        <v>4.0022660272143185E-2</v>
      </c>
      <c r="G38" s="5">
        <f t="shared" si="2"/>
        <v>3.5269203001776717E-2</v>
      </c>
    </row>
    <row r="39" spans="1:7" x14ac:dyDescent="0.25">
      <c r="A39" s="21">
        <v>44461</v>
      </c>
      <c r="B39" s="5">
        <v>43451.15</v>
      </c>
      <c r="C39" s="5">
        <v>43385</v>
      </c>
      <c r="D39" s="5">
        <f t="shared" si="3"/>
        <v>10.67939259754697</v>
      </c>
      <c r="E39" s="5">
        <f t="shared" si="3"/>
        <v>10.677869038227589</v>
      </c>
      <c r="F39" s="5">
        <f t="shared" si="2"/>
        <v>-9.834586776230303E-2</v>
      </c>
      <c r="G39" s="5">
        <f t="shared" si="2"/>
        <v>-0.10503777140678849</v>
      </c>
    </row>
    <row r="40" spans="1:7" x14ac:dyDescent="0.25">
      <c r="A40" s="21">
        <v>44468</v>
      </c>
      <c r="B40" s="5">
        <v>41125.06</v>
      </c>
      <c r="C40" s="5">
        <v>41155</v>
      </c>
      <c r="D40" s="5">
        <f t="shared" si="3"/>
        <v>10.624372947033175</v>
      </c>
      <c r="E40" s="5">
        <f t="shared" si="3"/>
        <v>10.625100705406744</v>
      </c>
      <c r="F40" s="5">
        <f t="shared" si="2"/>
        <v>-5.5019650513795426E-2</v>
      </c>
      <c r="G40" s="5">
        <f t="shared" si="2"/>
        <v>-5.2768332820845032E-2</v>
      </c>
    </row>
    <row r="41" spans="1:7" x14ac:dyDescent="0.25">
      <c r="A41" s="21">
        <v>44475</v>
      </c>
      <c r="B41" s="5">
        <v>54936.9</v>
      </c>
      <c r="C41" s="5">
        <v>55700</v>
      </c>
      <c r="D41" s="5">
        <f t="shared" si="3"/>
        <v>10.913940532866187</v>
      </c>
      <c r="E41" s="5">
        <f t="shared" si="3"/>
        <v>10.927735425915376</v>
      </c>
      <c r="F41" s="5">
        <f t="shared" si="2"/>
        <v>0.28956758583301223</v>
      </c>
      <c r="G41" s="5">
        <f t="shared" si="2"/>
        <v>0.30263472050863172</v>
      </c>
    </row>
    <row r="42" spans="1:7" x14ac:dyDescent="0.25">
      <c r="A42" s="21">
        <v>44482</v>
      </c>
      <c r="B42" s="5">
        <v>56982.87</v>
      </c>
      <c r="C42" s="5">
        <v>57750</v>
      </c>
      <c r="D42" s="5">
        <f t="shared" si="3"/>
        <v>10.950505975333815</v>
      </c>
      <c r="E42" s="5">
        <f t="shared" si="3"/>
        <v>10.963878628384039</v>
      </c>
      <c r="F42" s="5">
        <f t="shared" si="2"/>
        <v>3.6565442467628273E-2</v>
      </c>
      <c r="G42" s="5">
        <f t="shared" si="2"/>
        <v>3.6143202468663205E-2</v>
      </c>
    </row>
    <row r="43" spans="1:7" x14ac:dyDescent="0.25">
      <c r="A43" s="21">
        <v>44489</v>
      </c>
      <c r="B43" s="5">
        <v>65996.350000000006</v>
      </c>
      <c r="C43" s="5">
        <v>66665</v>
      </c>
      <c r="D43" s="5">
        <f t="shared" si="3"/>
        <v>11.09735471644899</v>
      </c>
      <c r="E43" s="5">
        <f t="shared" si="3"/>
        <v>11.107435356549558</v>
      </c>
      <c r="F43" s="5">
        <f t="shared" si="2"/>
        <v>0.14684874111517487</v>
      </c>
      <c r="G43" s="5">
        <f t="shared" si="2"/>
        <v>0.14355672816551923</v>
      </c>
    </row>
    <row r="44" spans="1:7" x14ac:dyDescent="0.25">
      <c r="A44" s="21">
        <v>44496</v>
      </c>
      <c r="B44" s="5">
        <v>58924.76</v>
      </c>
      <c r="C44" s="5">
        <v>59065</v>
      </c>
      <c r="D44" s="5">
        <f t="shared" si="3"/>
        <v>10.984016654821918</v>
      </c>
      <c r="E44" s="5">
        <f t="shared" si="3"/>
        <v>10.986393811382621</v>
      </c>
      <c r="F44" s="5">
        <f t="shared" si="2"/>
        <v>-0.11333806162707205</v>
      </c>
      <c r="G44" s="5">
        <f t="shared" si="2"/>
        <v>-0.12104154516693733</v>
      </c>
    </row>
    <row r="45" spans="1:7" x14ac:dyDescent="0.25">
      <c r="A45" s="21">
        <v>44503</v>
      </c>
      <c r="B45" s="5">
        <v>62776.06</v>
      </c>
      <c r="C45" s="5">
        <v>63065</v>
      </c>
      <c r="D45" s="5">
        <f t="shared" si="3"/>
        <v>11.047329069586132</v>
      </c>
      <c r="E45" s="5">
        <f t="shared" si="3"/>
        <v>11.051921219521294</v>
      </c>
      <c r="F45" s="5">
        <f t="shared" si="2"/>
        <v>6.3312414764213898E-2</v>
      </c>
      <c r="G45" s="5">
        <f t="shared" si="2"/>
        <v>6.5527408138672527E-2</v>
      </c>
    </row>
    <row r="46" spans="1:7" x14ac:dyDescent="0.25">
      <c r="A46" s="21">
        <v>44510</v>
      </c>
      <c r="B46" s="5">
        <v>64293.61</v>
      </c>
      <c r="C46" s="5">
        <v>66075</v>
      </c>
      <c r="D46" s="5">
        <f t="shared" si="3"/>
        <v>11.071215527371379</v>
      </c>
      <c r="E46" s="5">
        <f t="shared" si="3"/>
        <v>11.09854573947249</v>
      </c>
      <c r="F46" s="5">
        <f t="shared" si="2"/>
        <v>2.3886457785247117E-2</v>
      </c>
      <c r="G46" s="5">
        <f t="shared" si="2"/>
        <v>4.6624519951196319E-2</v>
      </c>
    </row>
    <row r="47" spans="1:7" x14ac:dyDescent="0.25">
      <c r="A47" s="21">
        <v>44517</v>
      </c>
      <c r="B47" s="5">
        <v>60117.19</v>
      </c>
      <c r="C47" s="5">
        <v>60485</v>
      </c>
      <c r="D47" s="5">
        <f t="shared" si="3"/>
        <v>11.004051102920943</v>
      </c>
      <c r="E47" s="5">
        <f t="shared" si="3"/>
        <v>11.010150679393949</v>
      </c>
      <c r="F47" s="5">
        <f t="shared" si="2"/>
        <v>-6.7164424450435689E-2</v>
      </c>
      <c r="G47" s="5">
        <f t="shared" si="2"/>
        <v>-8.8395060078541476E-2</v>
      </c>
    </row>
    <row r="48" spans="1:7" x14ac:dyDescent="0.25">
      <c r="A48" s="21">
        <v>44524</v>
      </c>
      <c r="B48" s="5">
        <v>57331.67</v>
      </c>
      <c r="C48" s="5">
        <v>57415</v>
      </c>
      <c r="D48" s="5">
        <f t="shared" si="3"/>
        <v>10.956608455078728</v>
      </c>
      <c r="E48" s="5">
        <f t="shared" si="3"/>
        <v>10.958060872210289</v>
      </c>
      <c r="F48" s="5">
        <f t="shared" si="2"/>
        <v>-4.7442647842215635E-2</v>
      </c>
      <c r="G48" s="5">
        <f t="shared" si="2"/>
        <v>-5.2089807183659076E-2</v>
      </c>
    </row>
    <row r="49" spans="1:7" x14ac:dyDescent="0.25">
      <c r="A49" s="21">
        <v>44531</v>
      </c>
      <c r="B49" s="5">
        <v>57029.49</v>
      </c>
      <c r="C49" s="5">
        <v>56990</v>
      </c>
      <c r="D49" s="5">
        <f t="shared" si="3"/>
        <v>10.951323781448842</v>
      </c>
      <c r="E49" s="5">
        <f t="shared" si="3"/>
        <v>10.950631092829045</v>
      </c>
      <c r="F49" s="5">
        <f t="shared" si="2"/>
        <v>-5.2846736298857167E-3</v>
      </c>
      <c r="G49" s="5">
        <f t="shared" si="2"/>
        <v>-7.4297793812441171E-3</v>
      </c>
    </row>
    <row r="50" spans="1:7" x14ac:dyDescent="0.25">
      <c r="A50" s="21">
        <v>44538</v>
      </c>
      <c r="B50" s="5">
        <v>50635.11</v>
      </c>
      <c r="C50" s="5">
        <v>50925</v>
      </c>
      <c r="D50" s="5">
        <f t="shared" si="3"/>
        <v>10.832400488174414</v>
      </c>
      <c r="E50" s="5">
        <f t="shared" si="3"/>
        <v>10.838109241095006</v>
      </c>
      <c r="F50" s="5">
        <f t="shared" si="2"/>
        <v>-0.11892329327442752</v>
      </c>
      <c r="G50" s="5">
        <f t="shared" si="2"/>
        <v>-0.11252185173403895</v>
      </c>
    </row>
    <row r="51" spans="1:7" x14ac:dyDescent="0.25">
      <c r="A51" s="21">
        <v>44545</v>
      </c>
      <c r="B51" s="5">
        <v>49192.58</v>
      </c>
      <c r="C51" s="5">
        <v>49350</v>
      </c>
      <c r="D51" s="5">
        <f t="shared" si="3"/>
        <v>10.803498078098844</v>
      </c>
      <c r="E51" s="5">
        <f t="shared" si="3"/>
        <v>10.806693044861628</v>
      </c>
      <c r="F51" s="5">
        <f t="shared" si="2"/>
        <v>-2.8902410075570373E-2</v>
      </c>
      <c r="G51" s="5">
        <f t="shared" si="2"/>
        <v>-3.1416196233378102E-2</v>
      </c>
    </row>
    <row r="52" spans="1:7" x14ac:dyDescent="0.25">
      <c r="A52" s="21">
        <v>44552</v>
      </c>
      <c r="B52" s="5">
        <v>49073.95</v>
      </c>
      <c r="C52" s="5">
        <v>49045</v>
      </c>
      <c r="D52" s="5">
        <f t="shared" si="3"/>
        <v>10.801083623093048</v>
      </c>
      <c r="E52" s="5">
        <f t="shared" si="3"/>
        <v>10.800493522998416</v>
      </c>
      <c r="F52" s="5">
        <f t="shared" si="2"/>
        <v>-2.414455005796512E-3</v>
      </c>
      <c r="G52" s="5">
        <f t="shared" si="2"/>
        <v>-6.1995218632127091E-3</v>
      </c>
    </row>
    <row r="53" spans="1:7" x14ac:dyDescent="0.25">
      <c r="A53" s="21">
        <v>44559</v>
      </c>
      <c r="B53" s="5">
        <v>47232.15</v>
      </c>
      <c r="C53" s="5">
        <v>47370</v>
      </c>
      <c r="D53" s="5">
        <f t="shared" si="3"/>
        <v>10.76283008376811</v>
      </c>
      <c r="E53" s="5">
        <f t="shared" si="3"/>
        <v>10.765744395917798</v>
      </c>
      <c r="F53" s="5">
        <f t="shared" si="2"/>
        <v>-3.8253539324937691E-2</v>
      </c>
      <c r="G53" s="5">
        <f t="shared" si="2"/>
        <v>-3.4749127080617725E-2</v>
      </c>
    </row>
    <row r="54" spans="1:7" x14ac:dyDescent="0.25">
      <c r="A54" s="21">
        <v>44566</v>
      </c>
      <c r="B54" s="5">
        <v>43603.88</v>
      </c>
      <c r="C54" s="5">
        <v>43830</v>
      </c>
      <c r="D54" s="5">
        <f t="shared" si="3"/>
        <v>10.682901416203364</v>
      </c>
      <c r="E54" s="5">
        <f t="shared" si="3"/>
        <v>10.688073793412855</v>
      </c>
      <c r="F54" s="5">
        <f t="shared" si="2"/>
        <v>-7.9928667564745481E-2</v>
      </c>
      <c r="G54" s="5">
        <f t="shared" si="2"/>
        <v>-7.7670602504943176E-2</v>
      </c>
    </row>
    <row r="55" spans="1:7" x14ac:dyDescent="0.25">
      <c r="A55" s="21">
        <v>44573</v>
      </c>
      <c r="B55" s="5">
        <v>43793.81</v>
      </c>
      <c r="C55" s="5">
        <v>43825</v>
      </c>
      <c r="D55" s="5">
        <f t="shared" si="3"/>
        <v>10.687247762176419</v>
      </c>
      <c r="E55" s="5">
        <f t="shared" si="3"/>
        <v>10.687959709789435</v>
      </c>
      <c r="F55" s="5">
        <f t="shared" si="2"/>
        <v>4.3463459730546106E-3</v>
      </c>
      <c r="G55" s="5">
        <f t="shared" si="2"/>
        <v>-1.1408362341924771E-4</v>
      </c>
    </row>
    <row r="56" spans="1:7" x14ac:dyDescent="0.25">
      <c r="A56" s="21">
        <v>44580</v>
      </c>
      <c r="B56" s="5">
        <v>41724.22</v>
      </c>
      <c r="C56" s="5">
        <v>41575</v>
      </c>
      <c r="D56" s="5">
        <f t="shared" si="3"/>
        <v>10.638837054526665</v>
      </c>
      <c r="E56" s="5">
        <f t="shared" si="3"/>
        <v>10.635254304061128</v>
      </c>
      <c r="F56" s="5">
        <f t="shared" si="2"/>
        <v>-4.8410707649754414E-2</v>
      </c>
      <c r="G56" s="5">
        <f t="shared" si="2"/>
        <v>-5.2705405728307397E-2</v>
      </c>
    </row>
    <row r="57" spans="1:7" x14ac:dyDescent="0.25">
      <c r="A57" s="21">
        <v>44587</v>
      </c>
      <c r="B57" s="5">
        <v>36356.699999999997</v>
      </c>
      <c r="C57" s="5">
        <v>37060</v>
      </c>
      <c r="D57" s="5">
        <f t="shared" si="3"/>
        <v>10.501133785096654</v>
      </c>
      <c r="E57" s="5">
        <f t="shared" si="3"/>
        <v>10.520293499839351</v>
      </c>
      <c r="F57" s="5">
        <f t="shared" si="2"/>
        <v>-0.13770326943001088</v>
      </c>
      <c r="G57" s="5">
        <f t="shared" si="2"/>
        <v>-0.11496080422177712</v>
      </c>
    </row>
    <row r="58" spans="1:7" x14ac:dyDescent="0.25">
      <c r="A58" s="21">
        <v>44594</v>
      </c>
      <c r="B58" s="5">
        <v>36936.93</v>
      </c>
      <c r="C58" s="5">
        <v>37535</v>
      </c>
      <c r="D58" s="5">
        <f t="shared" si="3"/>
        <v>10.516967142557306</v>
      </c>
      <c r="E58" s="5">
        <f t="shared" si="3"/>
        <v>10.533029110007103</v>
      </c>
      <c r="F58" s="5">
        <f t="shared" si="2"/>
        <v>1.5833357460651953E-2</v>
      </c>
      <c r="G58" s="5">
        <f t="shared" si="2"/>
        <v>1.2735610167752043E-2</v>
      </c>
    </row>
    <row r="59" spans="1:7" x14ac:dyDescent="0.25">
      <c r="A59" s="21">
        <v>44601</v>
      </c>
      <c r="B59" s="5">
        <v>44497.51</v>
      </c>
      <c r="C59" s="5">
        <v>44855</v>
      </c>
      <c r="D59" s="5">
        <f t="shared" si="3"/>
        <v>10.703188511532609</v>
      </c>
      <c r="E59" s="5">
        <f t="shared" si="3"/>
        <v>10.711190343993383</v>
      </c>
      <c r="F59" s="5">
        <f t="shared" si="2"/>
        <v>0.18622136897530339</v>
      </c>
      <c r="G59" s="5">
        <f t="shared" si="2"/>
        <v>0.17816123398628037</v>
      </c>
    </row>
    <row r="60" spans="1:7" x14ac:dyDescent="0.25">
      <c r="A60" s="21">
        <v>44608</v>
      </c>
      <c r="B60" s="5">
        <v>44092.86</v>
      </c>
      <c r="C60" s="5">
        <v>44175</v>
      </c>
      <c r="D60" s="5">
        <f t="shared" si="3"/>
        <v>10.694053143565041</v>
      </c>
      <c r="E60" s="5">
        <f t="shared" si="3"/>
        <v>10.695914297187898</v>
      </c>
      <c r="F60" s="5">
        <f t="shared" si="2"/>
        <v>-9.1353679675680866E-3</v>
      </c>
      <c r="G60" s="5">
        <f t="shared" si="2"/>
        <v>-1.5276046805485777E-2</v>
      </c>
    </row>
    <row r="61" spans="1:7" x14ac:dyDescent="0.25">
      <c r="A61" s="21">
        <v>44615</v>
      </c>
      <c r="B61" s="5">
        <v>37543.5</v>
      </c>
      <c r="C61" s="5">
        <v>37660</v>
      </c>
      <c r="D61" s="5">
        <f t="shared" si="3"/>
        <v>10.533255539678349</v>
      </c>
      <c r="E61" s="5">
        <f t="shared" si="3"/>
        <v>10.536353802211144</v>
      </c>
      <c r="F61" s="5">
        <f t="shared" si="2"/>
        <v>-0.16079760388669229</v>
      </c>
      <c r="G61" s="5">
        <f t="shared" si="2"/>
        <v>-0.15956049497675373</v>
      </c>
    </row>
    <row r="62" spans="1:7" x14ac:dyDescent="0.25">
      <c r="A62" s="21">
        <v>44622</v>
      </c>
      <c r="B62" s="5">
        <v>44090.720000000001</v>
      </c>
      <c r="C62" s="5">
        <v>43925</v>
      </c>
      <c r="D62" s="5">
        <f t="shared" si="3"/>
        <v>10.694004608452259</v>
      </c>
      <c r="E62" s="5">
        <f t="shared" si="3"/>
        <v>10.690238913055298</v>
      </c>
      <c r="F62" s="5">
        <f t="shared" si="2"/>
        <v>0.16074906877391015</v>
      </c>
      <c r="G62" s="5">
        <f t="shared" si="2"/>
        <v>0.15388511084415413</v>
      </c>
    </row>
    <row r="63" spans="1:7" x14ac:dyDescent="0.25">
      <c r="A63" s="21">
        <v>44629</v>
      </c>
      <c r="B63" s="5">
        <v>41893.74</v>
      </c>
      <c r="C63" s="5">
        <v>41920</v>
      </c>
      <c r="D63" s="5">
        <f t="shared" si="3"/>
        <v>10.642891691407149</v>
      </c>
      <c r="E63" s="5">
        <f t="shared" si="3"/>
        <v>10.643518318994923</v>
      </c>
      <c r="F63" s="5">
        <f t="shared" si="2"/>
        <v>-5.1112917045109896E-2</v>
      </c>
      <c r="G63" s="5">
        <f t="shared" si="2"/>
        <v>-4.6720594060374765E-2</v>
      </c>
    </row>
    <row r="64" spans="1:7" x14ac:dyDescent="0.25">
      <c r="A64" s="21">
        <v>44636</v>
      </c>
      <c r="B64" s="5">
        <v>41258.79</v>
      </c>
      <c r="C64" s="5">
        <v>40920</v>
      </c>
      <c r="D64" s="5">
        <f t="shared" si="3"/>
        <v>10.627619459971275</v>
      </c>
      <c r="E64" s="5">
        <f t="shared" si="3"/>
        <v>10.619374220065563</v>
      </c>
      <c r="F64" s="5">
        <f t="shared" si="2"/>
        <v>-1.5272231435874417E-2</v>
      </c>
      <c r="G64" s="5">
        <f t="shared" si="2"/>
        <v>-2.4144098929360425E-2</v>
      </c>
    </row>
    <row r="65" spans="1:7" x14ac:dyDescent="0.25">
      <c r="A65" s="21">
        <v>44643</v>
      </c>
      <c r="B65" s="5">
        <v>42368.58</v>
      </c>
      <c r="C65" s="5">
        <v>42250</v>
      </c>
      <c r="D65" s="5">
        <f t="shared" si="3"/>
        <v>10.654162328780018</v>
      </c>
      <c r="E65" s="5">
        <f t="shared" si="3"/>
        <v>10.65135963278532</v>
      </c>
      <c r="F65" s="5">
        <f t="shared" si="2"/>
        <v>2.6542868808743236E-2</v>
      </c>
      <c r="G65" s="5">
        <f t="shared" si="2"/>
        <v>3.1985412719757633E-2</v>
      </c>
    </row>
    <row r="66" spans="1:7" x14ac:dyDescent="0.25">
      <c r="A66" s="21">
        <v>44650</v>
      </c>
      <c r="B66" s="5">
        <v>47277.24</v>
      </c>
      <c r="C66" s="5">
        <v>47240</v>
      </c>
      <c r="D66" s="5">
        <f t="shared" si="3"/>
        <v>10.763784274741539</v>
      </c>
      <c r="E66" s="5">
        <f t="shared" si="3"/>
        <v>10.762996270311298</v>
      </c>
      <c r="F66" s="5">
        <f t="shared" si="2"/>
        <v>0.10962194596152131</v>
      </c>
      <c r="G66" s="5">
        <f t="shared" si="2"/>
        <v>0.11163663752597763</v>
      </c>
    </row>
    <row r="67" spans="1:7" x14ac:dyDescent="0.25">
      <c r="A67" s="21">
        <v>44657</v>
      </c>
      <c r="B67" s="5">
        <v>43885.38</v>
      </c>
      <c r="C67" s="5">
        <v>43775</v>
      </c>
      <c r="D67" s="5">
        <f t="shared" si="3"/>
        <v>10.689336513983831</v>
      </c>
      <c r="E67" s="5">
        <f t="shared" si="3"/>
        <v>10.686818157154052</v>
      </c>
      <c r="F67" s="5">
        <f t="shared" si="2"/>
        <v>-7.4447760757708537E-2</v>
      </c>
      <c r="G67" s="5">
        <f t="shared" si="2"/>
        <v>-7.6178113157245875E-2</v>
      </c>
    </row>
    <row r="68" spans="1:7" x14ac:dyDescent="0.25">
      <c r="A68" s="21">
        <v>44664</v>
      </c>
      <c r="B68" s="5">
        <v>41254.519999999997</v>
      </c>
      <c r="C68" s="5">
        <v>41120</v>
      </c>
      <c r="D68" s="5">
        <f t="shared" si="3"/>
        <v>10.627515961517418</v>
      </c>
      <c r="E68" s="5">
        <f t="shared" si="3"/>
        <v>10.624249900129048</v>
      </c>
      <c r="F68" s="5">
        <f t="shared" si="2"/>
        <v>-6.1820552466413048E-2</v>
      </c>
      <c r="G68" s="5">
        <f t="shared" si="2"/>
        <v>-6.256825702500457E-2</v>
      </c>
    </row>
    <row r="69" spans="1:7" x14ac:dyDescent="0.25">
      <c r="A69" s="21">
        <v>44671</v>
      </c>
      <c r="B69" s="5">
        <v>41430.79</v>
      </c>
      <c r="C69" s="5">
        <v>41235</v>
      </c>
      <c r="D69" s="5">
        <f t="shared" si="3"/>
        <v>10.631779603197639</v>
      </c>
      <c r="E69" s="5">
        <f t="shared" si="3"/>
        <v>10.627042689267455</v>
      </c>
      <c r="F69" s="5">
        <f t="shared" si="2"/>
        <v>4.2636416802217525E-3</v>
      </c>
      <c r="G69" s="5">
        <f t="shared" si="2"/>
        <v>2.7927891384074144E-3</v>
      </c>
    </row>
    <row r="70" spans="1:7" x14ac:dyDescent="0.25">
      <c r="A70" s="21">
        <v>44678</v>
      </c>
      <c r="B70" s="5">
        <v>39106.93</v>
      </c>
      <c r="C70" s="5">
        <v>38900</v>
      </c>
      <c r="D70" s="5">
        <f t="shared" si="3"/>
        <v>10.574054968120347</v>
      </c>
      <c r="E70" s="5">
        <f t="shared" si="3"/>
        <v>10.568749529606537</v>
      </c>
      <c r="F70" s="5">
        <f t="shared" si="2"/>
        <v>-5.7724635077292419E-2</v>
      </c>
      <c r="G70" s="5">
        <f t="shared" si="2"/>
        <v>-5.8293159660918192E-2</v>
      </c>
    </row>
    <row r="71" spans="1:7" x14ac:dyDescent="0.25">
      <c r="A71" s="21">
        <v>44685</v>
      </c>
      <c r="B71" s="5">
        <v>39800.33</v>
      </c>
      <c r="C71" s="5">
        <v>39900</v>
      </c>
      <c r="D71" s="5">
        <f t="shared" si="3"/>
        <v>10.591630482695441</v>
      </c>
      <c r="E71" s="5">
        <f t="shared" si="3"/>
        <v>10.594131602877955</v>
      </c>
      <c r="F71" s="5">
        <f t="shared" si="2"/>
        <v>1.7575514575094431E-2</v>
      </c>
      <c r="G71" s="5">
        <f t="shared" si="2"/>
        <v>2.5382073271417838E-2</v>
      </c>
    </row>
    <row r="72" spans="1:7" x14ac:dyDescent="0.25">
      <c r="A72" s="21">
        <v>44692</v>
      </c>
      <c r="B72" s="5">
        <v>28402.78</v>
      </c>
      <c r="C72" s="5">
        <v>29195</v>
      </c>
      <c r="D72" s="5">
        <f t="shared" si="3"/>
        <v>10.25424230668259</v>
      </c>
      <c r="E72" s="5">
        <f t="shared" si="3"/>
        <v>10.281752740717637</v>
      </c>
      <c r="F72" s="5">
        <f t="shared" si="2"/>
        <v>-0.3373881760128512</v>
      </c>
      <c r="G72" s="5">
        <f t="shared" si="2"/>
        <v>-0.31237886216031718</v>
      </c>
    </row>
    <row r="73" spans="1:7" x14ac:dyDescent="0.25">
      <c r="A73" s="21">
        <v>44699</v>
      </c>
      <c r="B73" s="5">
        <v>29205.89</v>
      </c>
      <c r="C73" s="5">
        <v>29185</v>
      </c>
      <c r="D73" s="5">
        <f t="shared" si="3"/>
        <v>10.282125680243944</v>
      </c>
      <c r="E73" s="5">
        <f t="shared" si="3"/>
        <v>10.281410157637891</v>
      </c>
      <c r="F73" s="5">
        <f t="shared" si="2"/>
        <v>2.7883373561353508E-2</v>
      </c>
      <c r="G73" s="5">
        <f t="shared" si="2"/>
        <v>-3.4258307974610602E-4</v>
      </c>
    </row>
    <row r="74" spans="1:7" x14ac:dyDescent="0.25">
      <c r="A74" s="21">
        <v>44706</v>
      </c>
      <c r="B74" s="5">
        <v>29764.46</v>
      </c>
      <c r="C74" s="5">
        <v>29535</v>
      </c>
      <c r="D74" s="5">
        <f t="shared" si="3"/>
        <v>10.3010703433097</v>
      </c>
      <c r="E74" s="5">
        <f t="shared" si="3"/>
        <v>10.293331279741336</v>
      </c>
      <c r="F74" s="5">
        <f t="shared" si="2"/>
        <v>1.8944663065756373E-2</v>
      </c>
      <c r="G74" s="5">
        <f t="shared" si="2"/>
        <v>1.1921122103444759E-2</v>
      </c>
    </row>
    <row r="75" spans="1:7" x14ac:dyDescent="0.25">
      <c r="A75" s="21">
        <v>44713</v>
      </c>
      <c r="B75" s="5">
        <v>29621.61</v>
      </c>
      <c r="C75" s="5">
        <v>30035</v>
      </c>
      <c r="D75" s="5">
        <f t="shared" si="3"/>
        <v>10.296259441510029</v>
      </c>
      <c r="E75" s="5">
        <f t="shared" si="3"/>
        <v>10.310118647284261</v>
      </c>
      <c r="F75" s="5">
        <f t="shared" si="2"/>
        <v>-4.810901799670475E-3</v>
      </c>
      <c r="G75" s="5">
        <f t="shared" si="2"/>
        <v>1.6787367542924869E-2</v>
      </c>
    </row>
    <row r="76" spans="1:7" x14ac:dyDescent="0.25">
      <c r="A76" s="21">
        <v>44720</v>
      </c>
      <c r="B76" s="5">
        <v>30179.77</v>
      </c>
      <c r="C76" s="5">
        <v>30080</v>
      </c>
      <c r="D76" s="5">
        <f t="shared" si="3"/>
        <v>10.31492711135178</v>
      </c>
      <c r="E76" s="5">
        <f t="shared" si="3"/>
        <v>10.311615778063777</v>
      </c>
      <c r="F76" s="5">
        <f t="shared" si="2"/>
        <v>1.8667669841750723E-2</v>
      </c>
      <c r="G76" s="5">
        <f t="shared" si="2"/>
        <v>1.4971307795157429E-3</v>
      </c>
    </row>
    <row r="77" spans="1:7" x14ac:dyDescent="0.25">
      <c r="A77" s="21">
        <v>44727</v>
      </c>
      <c r="B77" s="5">
        <v>21640.29</v>
      </c>
      <c r="C77" s="5">
        <v>21625</v>
      </c>
      <c r="D77" s="5">
        <f t="shared" si="3"/>
        <v>9.982312133979681</v>
      </c>
      <c r="E77" s="5">
        <f t="shared" si="3"/>
        <v>9.9816053318000808</v>
      </c>
      <c r="F77" s="5">
        <f t="shared" si="2"/>
        <v>-0.33261497737209922</v>
      </c>
      <c r="G77" s="5">
        <f t="shared" si="2"/>
        <v>-0.33001044626369591</v>
      </c>
    </row>
    <row r="78" spans="1:7" x14ac:dyDescent="0.25">
      <c r="A78" s="21">
        <v>44734</v>
      </c>
      <c r="B78" s="5">
        <v>19857.05</v>
      </c>
      <c r="C78" s="5">
        <v>20105</v>
      </c>
      <c r="D78" s="5">
        <f t="shared" si="3"/>
        <v>9.8963143867875889</v>
      </c>
      <c r="E78" s="5">
        <f t="shared" si="3"/>
        <v>9.9087238193313745</v>
      </c>
      <c r="F78" s="5">
        <f t="shared" si="2"/>
        <v>-8.5997747192092078E-2</v>
      </c>
      <c r="G78" s="5">
        <f t="shared" si="2"/>
        <v>-7.2881512468706333E-2</v>
      </c>
    </row>
    <row r="79" spans="1:7" x14ac:dyDescent="0.25">
      <c r="A79" s="21">
        <v>44741</v>
      </c>
      <c r="B79" s="5">
        <v>20197.75</v>
      </c>
      <c r="C79" s="5">
        <v>20185</v>
      </c>
      <c r="D79" s="5">
        <f t="shared" si="3"/>
        <v>9.9133264910467851</v>
      </c>
      <c r="E79" s="5">
        <f t="shared" si="3"/>
        <v>9.9126950332870418</v>
      </c>
      <c r="F79" s="5">
        <f t="shared" ref="F79:G142" si="4">D79-D78</f>
        <v>1.7012104259196192E-2</v>
      </c>
      <c r="G79" s="5">
        <f t="shared" si="4"/>
        <v>3.971213955667352E-3</v>
      </c>
    </row>
    <row r="80" spans="1:7" x14ac:dyDescent="0.25">
      <c r="A80" s="21">
        <v>44748</v>
      </c>
      <c r="B80" s="5">
        <v>20380</v>
      </c>
      <c r="C80" s="5">
        <v>20275</v>
      </c>
      <c r="D80" s="5">
        <f t="shared" si="3"/>
        <v>9.9223093067767163</v>
      </c>
      <c r="E80" s="5">
        <f t="shared" si="3"/>
        <v>9.9171438789836142</v>
      </c>
      <c r="F80" s="5">
        <f t="shared" si="4"/>
        <v>8.9828157299312039E-3</v>
      </c>
      <c r="G80" s="5">
        <f t="shared" si="4"/>
        <v>4.4488456965723344E-3</v>
      </c>
    </row>
    <row r="81" spans="1:7" x14ac:dyDescent="0.25">
      <c r="A81" s="21">
        <v>44755</v>
      </c>
      <c r="B81" s="5">
        <v>19657.009999999998</v>
      </c>
      <c r="C81" s="5">
        <v>19615</v>
      </c>
      <c r="D81" s="5">
        <f t="shared" si="3"/>
        <v>9.8861892966822964</v>
      </c>
      <c r="E81" s="5">
        <f t="shared" si="3"/>
        <v>9.8840498586436532</v>
      </c>
      <c r="F81" s="5">
        <f t="shared" si="4"/>
        <v>-3.6120010094419897E-2</v>
      </c>
      <c r="G81" s="5">
        <f t="shared" si="4"/>
        <v>-3.3094020339961006E-2</v>
      </c>
    </row>
    <row r="82" spans="1:7" x14ac:dyDescent="0.25">
      <c r="A82" s="21">
        <v>44762</v>
      </c>
      <c r="B82" s="5">
        <v>23258.12</v>
      </c>
      <c r="C82" s="5">
        <v>23695</v>
      </c>
      <c r="D82" s="5">
        <f t="shared" si="3"/>
        <v>10.054409597354685</v>
      </c>
      <c r="E82" s="5">
        <f t="shared" si="3"/>
        <v>10.073019334401689</v>
      </c>
      <c r="F82" s="5">
        <f t="shared" si="4"/>
        <v>0.16822030067238813</v>
      </c>
      <c r="G82" s="5">
        <f t="shared" si="4"/>
        <v>0.1889694757580358</v>
      </c>
    </row>
    <row r="83" spans="1:7" x14ac:dyDescent="0.25">
      <c r="A83" s="21">
        <v>44769</v>
      </c>
      <c r="B83" s="5">
        <v>22784.97</v>
      </c>
      <c r="C83" s="5">
        <v>22780</v>
      </c>
      <c r="D83" s="5">
        <f t="shared" si="3"/>
        <v>10.033856387041421</v>
      </c>
      <c r="E83" s="5">
        <f t="shared" si="3"/>
        <v>10.033638237001172</v>
      </c>
      <c r="F83" s="5">
        <f t="shared" si="4"/>
        <v>-2.0553210313263293E-2</v>
      </c>
      <c r="G83" s="5">
        <f t="shared" si="4"/>
        <v>-3.9381097400516651E-2</v>
      </c>
    </row>
    <row r="84" spans="1:7" x14ac:dyDescent="0.25">
      <c r="A84" s="21">
        <v>44776</v>
      </c>
      <c r="B84" s="5">
        <v>23327.08</v>
      </c>
      <c r="C84" s="5">
        <v>23540</v>
      </c>
      <c r="D84" s="5">
        <f t="shared" si="3"/>
        <v>10.057370196444969</v>
      </c>
      <c r="E84" s="5">
        <f t="shared" si="3"/>
        <v>10.066456380814268</v>
      </c>
      <c r="F84" s="5">
        <f t="shared" si="4"/>
        <v>2.351380940354808E-2</v>
      </c>
      <c r="G84" s="5">
        <f t="shared" si="4"/>
        <v>3.2818143813095446E-2</v>
      </c>
    </row>
    <row r="85" spans="1:7" x14ac:dyDescent="0.25">
      <c r="A85" s="21">
        <v>44783</v>
      </c>
      <c r="B85" s="5">
        <v>23904.94</v>
      </c>
      <c r="C85" s="5">
        <v>23655</v>
      </c>
      <c r="D85" s="5">
        <f t="shared" si="3"/>
        <v>10.081840411121894</v>
      </c>
      <c r="E85" s="5">
        <f t="shared" si="3"/>
        <v>10.071329788065249</v>
      </c>
      <c r="F85" s="5">
        <f t="shared" si="4"/>
        <v>2.4470214676924229E-2</v>
      </c>
      <c r="G85" s="5">
        <f t="shared" si="4"/>
        <v>4.8734072509812876E-3</v>
      </c>
    </row>
    <row r="86" spans="1:7" x14ac:dyDescent="0.25">
      <c r="A86" s="21">
        <v>44790</v>
      </c>
      <c r="B86" s="5">
        <v>23407.4</v>
      </c>
      <c r="C86" s="5">
        <v>23230</v>
      </c>
      <c r="D86" s="5">
        <f t="shared" si="3"/>
        <v>10.060807490668919</v>
      </c>
      <c r="E86" s="5">
        <f t="shared" si="3"/>
        <v>10.053199825764455</v>
      </c>
      <c r="F86" s="5">
        <f t="shared" si="4"/>
        <v>-2.1032920452974224E-2</v>
      </c>
      <c r="G86" s="5">
        <f t="shared" si="4"/>
        <v>-1.8129962300793778E-2</v>
      </c>
    </row>
    <row r="87" spans="1:7" x14ac:dyDescent="0.25">
      <c r="A87" s="21">
        <v>44797</v>
      </c>
      <c r="B87" s="5">
        <v>21692.74</v>
      </c>
      <c r="C87" s="5">
        <v>21710</v>
      </c>
      <c r="D87" s="5">
        <f t="shared" si="3"/>
        <v>9.9847329213381464</v>
      </c>
      <c r="E87" s="5">
        <f t="shared" si="3"/>
        <v>9.9855282628723376</v>
      </c>
      <c r="F87" s="5">
        <f t="shared" si="4"/>
        <v>-7.6074569330772945E-2</v>
      </c>
      <c r="G87" s="5">
        <f t="shared" si="4"/>
        <v>-6.767156289211762E-2</v>
      </c>
    </row>
    <row r="88" spans="1:7" x14ac:dyDescent="0.25">
      <c r="A88" s="21">
        <v>44804</v>
      </c>
      <c r="B88" s="5">
        <v>20196.669999999998</v>
      </c>
      <c r="C88" s="5">
        <v>20065</v>
      </c>
      <c r="D88" s="5">
        <f t="shared" si="3"/>
        <v>9.9132730183146478</v>
      </c>
      <c r="E88" s="5">
        <f t="shared" si="3"/>
        <v>9.9067322827010162</v>
      </c>
      <c r="F88" s="5">
        <f t="shared" si="4"/>
        <v>-7.1459903023498583E-2</v>
      </c>
      <c r="G88" s="5">
        <f t="shared" si="4"/>
        <v>-7.8795980171321389E-2</v>
      </c>
    </row>
    <row r="89" spans="1:7" x14ac:dyDescent="0.25">
      <c r="A89" s="21">
        <v>44811</v>
      </c>
      <c r="B89" s="5">
        <v>19387.150000000001</v>
      </c>
      <c r="C89" s="5">
        <v>18925</v>
      </c>
      <c r="D89" s="5">
        <f t="shared" si="3"/>
        <v>9.8723657544527228</v>
      </c>
      <c r="E89" s="5">
        <f t="shared" si="3"/>
        <v>9.8482390783056495</v>
      </c>
      <c r="F89" s="5">
        <f t="shared" si="4"/>
        <v>-4.0907263861925003E-2</v>
      </c>
      <c r="G89" s="5">
        <f t="shared" si="4"/>
        <v>-5.849320439536676E-2</v>
      </c>
    </row>
    <row r="90" spans="1:7" x14ac:dyDescent="0.25">
      <c r="A90" s="21">
        <v>44818</v>
      </c>
      <c r="B90" s="5">
        <v>19946.38</v>
      </c>
      <c r="C90" s="5">
        <v>19925</v>
      </c>
      <c r="D90" s="5">
        <f t="shared" si="3"/>
        <v>9.9008029522192214</v>
      </c>
      <c r="E90" s="5">
        <f t="shared" si="3"/>
        <v>9.8997305036584162</v>
      </c>
      <c r="F90" s="5">
        <f t="shared" si="4"/>
        <v>2.8437197766498556E-2</v>
      </c>
      <c r="G90" s="5">
        <f t="shared" si="4"/>
        <v>5.149142535276674E-2</v>
      </c>
    </row>
    <row r="91" spans="1:7" x14ac:dyDescent="0.25">
      <c r="A91" s="21">
        <v>44825</v>
      </c>
      <c r="B91" s="5">
        <v>18926.45</v>
      </c>
      <c r="C91" s="5">
        <v>18980</v>
      </c>
      <c r="D91" s="5">
        <f t="shared" si="3"/>
        <v>9.8483156936004779</v>
      </c>
      <c r="E91" s="5">
        <f t="shared" si="3"/>
        <v>9.8511410721639194</v>
      </c>
      <c r="F91" s="5">
        <f t="shared" si="4"/>
        <v>-5.2487258618743482E-2</v>
      </c>
      <c r="G91" s="5">
        <f t="shared" si="4"/>
        <v>-4.8589431494496793E-2</v>
      </c>
    </row>
    <row r="92" spans="1:7" x14ac:dyDescent="0.25">
      <c r="A92" s="21">
        <v>44832</v>
      </c>
      <c r="B92" s="5">
        <v>19567.79</v>
      </c>
      <c r="C92" s="5">
        <v>19565</v>
      </c>
      <c r="D92" s="5">
        <f t="shared" si="3"/>
        <v>9.8816401260623348</v>
      </c>
      <c r="E92" s="5">
        <f t="shared" si="3"/>
        <v>9.8814975346445131</v>
      </c>
      <c r="F92" s="5">
        <f t="shared" si="4"/>
        <v>3.3324432461856901E-2</v>
      </c>
      <c r="G92" s="5">
        <f t="shared" si="4"/>
        <v>3.0356462480593649E-2</v>
      </c>
    </row>
    <row r="93" spans="1:7" x14ac:dyDescent="0.25">
      <c r="A93" s="21">
        <v>44839</v>
      </c>
      <c r="B93" s="5">
        <v>19988.419999999998</v>
      </c>
      <c r="C93" s="5">
        <v>20140</v>
      </c>
      <c r="D93" s="5">
        <f t="shared" si="3"/>
        <v>9.9029083848508979</v>
      </c>
      <c r="E93" s="5">
        <f t="shared" si="3"/>
        <v>9.9104631662725531</v>
      </c>
      <c r="F93" s="5">
        <f t="shared" si="4"/>
        <v>2.1268258788563088E-2</v>
      </c>
      <c r="G93" s="5">
        <f t="shared" si="4"/>
        <v>2.8965631628040001E-2</v>
      </c>
    </row>
    <row r="94" spans="1:7" x14ac:dyDescent="0.25">
      <c r="A94" s="21">
        <v>44846</v>
      </c>
      <c r="B94" s="5">
        <v>19169.43</v>
      </c>
      <c r="C94" s="5">
        <v>19095</v>
      </c>
      <c r="D94" s="5">
        <f t="shared" ref="D94:E157" si="5">LN(B94)</f>
        <v>9.8610721016383156</v>
      </c>
      <c r="E94" s="5">
        <f t="shared" si="5"/>
        <v>9.8571817996596174</v>
      </c>
      <c r="F94" s="5">
        <f t="shared" si="4"/>
        <v>-4.1836283212582259E-2</v>
      </c>
      <c r="G94" s="5">
        <f t="shared" si="4"/>
        <v>-5.3281366612935699E-2</v>
      </c>
    </row>
    <row r="95" spans="1:7" x14ac:dyDescent="0.25">
      <c r="A95" s="21">
        <v>44853</v>
      </c>
      <c r="B95" s="5">
        <v>19196.47</v>
      </c>
      <c r="C95" s="5">
        <v>19200</v>
      </c>
      <c r="D95" s="5">
        <f t="shared" si="5"/>
        <v>9.8624816869459568</v>
      </c>
      <c r="E95" s="5">
        <f t="shared" si="5"/>
        <v>9.8626655580158733</v>
      </c>
      <c r="F95" s="5">
        <f t="shared" si="4"/>
        <v>1.4095853076412368E-3</v>
      </c>
      <c r="G95" s="5">
        <f t="shared" si="4"/>
        <v>5.4837583562559189E-3</v>
      </c>
    </row>
    <row r="96" spans="1:7" x14ac:dyDescent="0.25">
      <c r="A96" s="21">
        <v>44860</v>
      </c>
      <c r="B96" s="5">
        <v>20752.38</v>
      </c>
      <c r="C96" s="5">
        <v>20780</v>
      </c>
      <c r="D96" s="5">
        <f t="shared" si="5"/>
        <v>9.9404162178766207</v>
      </c>
      <c r="E96" s="5">
        <f t="shared" si="5"/>
        <v>9.9417462646532186</v>
      </c>
      <c r="F96" s="5">
        <f t="shared" si="4"/>
        <v>7.7934530930663826E-2</v>
      </c>
      <c r="G96" s="5">
        <f t="shared" si="4"/>
        <v>7.9080706637345344E-2</v>
      </c>
    </row>
    <row r="97" spans="1:7" x14ac:dyDescent="0.25">
      <c r="A97" s="21">
        <v>44867</v>
      </c>
      <c r="B97" s="5">
        <v>20175.79</v>
      </c>
      <c r="C97" s="5">
        <v>20265</v>
      </c>
      <c r="D97" s="5">
        <f t="shared" si="5"/>
        <v>9.9122386497445056</v>
      </c>
      <c r="E97" s="5">
        <f t="shared" si="5"/>
        <v>9.9166505390624096</v>
      </c>
      <c r="F97" s="5">
        <f t="shared" si="4"/>
        <v>-2.8177568132115027E-2</v>
      </c>
      <c r="G97" s="5">
        <f t="shared" si="4"/>
        <v>-2.5095725590809081E-2</v>
      </c>
    </row>
    <row r="98" spans="1:7" x14ac:dyDescent="0.25">
      <c r="A98" s="21">
        <v>44874</v>
      </c>
      <c r="B98" s="5">
        <v>15731.3</v>
      </c>
      <c r="C98" s="5">
        <v>15615</v>
      </c>
      <c r="D98" s="5">
        <f t="shared" si="5"/>
        <v>9.6634076372655429</v>
      </c>
      <c r="E98" s="5">
        <f t="shared" si="5"/>
        <v>9.6559872697171798</v>
      </c>
      <c r="F98" s="5">
        <f t="shared" si="4"/>
        <v>-0.24883101247896278</v>
      </c>
      <c r="G98" s="5">
        <f t="shared" si="4"/>
        <v>-0.26066326934522976</v>
      </c>
    </row>
    <row r="99" spans="1:7" x14ac:dyDescent="0.25">
      <c r="A99" s="21">
        <v>44881</v>
      </c>
      <c r="B99" s="5">
        <v>16531.47</v>
      </c>
      <c r="C99" s="5">
        <v>16285</v>
      </c>
      <c r="D99" s="5">
        <f t="shared" si="5"/>
        <v>9.7130211160807018</v>
      </c>
      <c r="E99" s="5">
        <f t="shared" si="5"/>
        <v>9.6979997177103332</v>
      </c>
      <c r="F99" s="5">
        <f t="shared" si="4"/>
        <v>4.9613478815158985E-2</v>
      </c>
      <c r="G99" s="5">
        <f t="shared" si="4"/>
        <v>4.2012447993153401E-2</v>
      </c>
    </row>
    <row r="100" spans="1:7" x14ac:dyDescent="0.25">
      <c r="A100" s="21">
        <v>44888</v>
      </c>
      <c r="B100" s="5">
        <v>16471.900000000001</v>
      </c>
      <c r="C100" s="5">
        <v>16610</v>
      </c>
      <c r="D100" s="5">
        <f t="shared" si="5"/>
        <v>9.7094111777809893</v>
      </c>
      <c r="E100" s="5">
        <f t="shared" si="5"/>
        <v>9.7177602026073409</v>
      </c>
      <c r="F100" s="5">
        <f t="shared" si="4"/>
        <v>-3.6099382997125673E-3</v>
      </c>
      <c r="G100" s="5">
        <f t="shared" si="4"/>
        <v>1.9760484897007657E-2</v>
      </c>
    </row>
    <row r="101" spans="1:7" x14ac:dyDescent="0.25">
      <c r="A101" s="21">
        <v>44895</v>
      </c>
      <c r="B101" s="5">
        <v>17104.5</v>
      </c>
      <c r="C101" s="5">
        <v>17080</v>
      </c>
      <c r="D101" s="5">
        <f t="shared" si="5"/>
        <v>9.7470968657655224</v>
      </c>
      <c r="E101" s="5">
        <f t="shared" si="5"/>
        <v>9.7456634673425615</v>
      </c>
      <c r="F101" s="5">
        <f t="shared" si="4"/>
        <v>3.7685687984533089E-2</v>
      </c>
      <c r="G101" s="5">
        <f t="shared" si="4"/>
        <v>2.7903264735220645E-2</v>
      </c>
    </row>
    <row r="102" spans="1:7" x14ac:dyDescent="0.25">
      <c r="A102" s="21">
        <v>44902</v>
      </c>
      <c r="B102" s="5">
        <v>16830.68</v>
      </c>
      <c r="C102" s="5">
        <v>16725</v>
      </c>
      <c r="D102" s="5">
        <f t="shared" si="5"/>
        <v>9.7309586904090342</v>
      </c>
      <c r="E102" s="5">
        <f t="shared" si="5"/>
        <v>9.724659884996429</v>
      </c>
      <c r="F102" s="5">
        <f t="shared" si="4"/>
        <v>-1.6138175356488205E-2</v>
      </c>
      <c r="G102" s="5">
        <f t="shared" si="4"/>
        <v>-2.1003582346132532E-2</v>
      </c>
    </row>
    <row r="103" spans="1:7" x14ac:dyDescent="0.25">
      <c r="A103" s="21">
        <v>44909</v>
      </c>
      <c r="B103" s="5">
        <v>17828.900000000001</v>
      </c>
      <c r="C103" s="5">
        <v>17795</v>
      </c>
      <c r="D103" s="5">
        <f t="shared" si="5"/>
        <v>9.78857601517951</v>
      </c>
      <c r="E103" s="5">
        <f t="shared" si="5"/>
        <v>9.7866727979442931</v>
      </c>
      <c r="F103" s="5">
        <f t="shared" si="4"/>
        <v>5.7617324770475875E-2</v>
      </c>
      <c r="G103" s="5">
        <f t="shared" si="4"/>
        <v>6.2012912947864152E-2</v>
      </c>
    </row>
    <row r="104" spans="1:7" x14ac:dyDescent="0.25">
      <c r="A104" s="21">
        <v>44916</v>
      </c>
      <c r="B104" s="5">
        <v>16793.099999999999</v>
      </c>
      <c r="C104" s="5">
        <v>16735</v>
      </c>
      <c r="D104" s="5">
        <f t="shared" si="5"/>
        <v>9.7287233667394233</v>
      </c>
      <c r="E104" s="5">
        <f t="shared" si="5"/>
        <v>9.725257613645427</v>
      </c>
      <c r="F104" s="5">
        <f t="shared" si="4"/>
        <v>-5.9852648440086753E-2</v>
      </c>
      <c r="G104" s="5">
        <f t="shared" si="4"/>
        <v>-6.1415184298866166E-2</v>
      </c>
    </row>
    <row r="105" spans="1:7" x14ac:dyDescent="0.25">
      <c r="A105" s="21">
        <v>44923</v>
      </c>
      <c r="B105" s="5">
        <v>16517.32</v>
      </c>
      <c r="C105" s="5">
        <v>16570</v>
      </c>
      <c r="D105" s="5">
        <f t="shared" si="5"/>
        <v>9.7121648063117423</v>
      </c>
      <c r="E105" s="5">
        <f t="shared" si="5"/>
        <v>9.7153491104206093</v>
      </c>
      <c r="F105" s="5">
        <f t="shared" si="4"/>
        <v>-1.6558560427681002E-2</v>
      </c>
      <c r="G105" s="5">
        <f t="shared" si="4"/>
        <v>-9.9085032248176219E-3</v>
      </c>
    </row>
    <row r="106" spans="1:7" x14ac:dyDescent="0.25">
      <c r="A106" s="21">
        <v>44930</v>
      </c>
      <c r="B106" s="5">
        <v>16821.82</v>
      </c>
      <c r="C106" s="5">
        <v>16780</v>
      </c>
      <c r="D106" s="5">
        <f t="shared" si="5"/>
        <v>9.730432132191682</v>
      </c>
      <c r="E106" s="5">
        <f t="shared" si="5"/>
        <v>9.7279429800211972</v>
      </c>
      <c r="F106" s="5">
        <f t="shared" si="4"/>
        <v>1.8267325879939733E-2</v>
      </c>
      <c r="G106" s="5">
        <f t="shared" si="4"/>
        <v>1.2593869600587837E-2</v>
      </c>
    </row>
    <row r="107" spans="1:7" x14ac:dyDescent="0.25">
      <c r="A107" s="21">
        <v>44937</v>
      </c>
      <c r="B107" s="5">
        <v>17560.599999999999</v>
      </c>
      <c r="C107" s="5">
        <v>17615</v>
      </c>
      <c r="D107" s="5">
        <f t="shared" si="5"/>
        <v>9.7734130351702966</v>
      </c>
      <c r="E107" s="5">
        <f t="shared" si="5"/>
        <v>9.7765060907753387</v>
      </c>
      <c r="F107" s="5">
        <f t="shared" si="4"/>
        <v>4.2980902978614566E-2</v>
      </c>
      <c r="G107" s="5">
        <f t="shared" si="4"/>
        <v>4.8563110754141547E-2</v>
      </c>
    </row>
    <row r="108" spans="1:7" x14ac:dyDescent="0.25">
      <c r="A108" s="21">
        <v>44944</v>
      </c>
      <c r="B108" s="5">
        <v>20778.650000000001</v>
      </c>
      <c r="C108" s="5">
        <v>20800</v>
      </c>
      <c r="D108" s="5">
        <f t="shared" si="5"/>
        <v>9.9416812962290528</v>
      </c>
      <c r="E108" s="5">
        <f t="shared" si="5"/>
        <v>9.9427082656894097</v>
      </c>
      <c r="F108" s="5">
        <f t="shared" si="4"/>
        <v>0.16826826105875625</v>
      </c>
      <c r="G108" s="5">
        <f t="shared" si="4"/>
        <v>0.16620217491407097</v>
      </c>
    </row>
    <row r="109" spans="1:7" x14ac:dyDescent="0.25">
      <c r="A109" s="21">
        <v>44951</v>
      </c>
      <c r="B109" s="5">
        <v>23598.240000000002</v>
      </c>
      <c r="C109" s="5">
        <v>22940</v>
      </c>
      <c r="D109" s="5">
        <f t="shared" si="5"/>
        <v>10.068927411961567</v>
      </c>
      <c r="E109" s="5">
        <f t="shared" si="5"/>
        <v>10.040637390683361</v>
      </c>
      <c r="F109" s="5">
        <f t="shared" si="4"/>
        <v>0.12724611573251465</v>
      </c>
      <c r="G109" s="5">
        <f t="shared" si="4"/>
        <v>9.7929124993951788E-2</v>
      </c>
    </row>
    <row r="110" spans="1:7" x14ac:dyDescent="0.25">
      <c r="A110" s="21">
        <v>44958</v>
      </c>
      <c r="B110" s="5">
        <v>23682.05</v>
      </c>
      <c r="C110" s="5">
        <v>23755</v>
      </c>
      <c r="D110" s="5">
        <f t="shared" si="5"/>
        <v>10.07247265619684</v>
      </c>
      <c r="E110" s="5">
        <f t="shared" si="5"/>
        <v>10.075548313621022</v>
      </c>
      <c r="F110" s="5">
        <f t="shared" si="4"/>
        <v>3.5452442352728042E-3</v>
      </c>
      <c r="G110" s="5">
        <f t="shared" si="4"/>
        <v>3.4910922937660516E-2</v>
      </c>
    </row>
    <row r="111" spans="1:7" x14ac:dyDescent="0.25">
      <c r="A111" s="21">
        <v>44965</v>
      </c>
      <c r="B111" s="5">
        <v>22959.05</v>
      </c>
      <c r="C111" s="5">
        <v>22885</v>
      </c>
      <c r="D111" s="5">
        <f t="shared" si="5"/>
        <v>10.04146747327086</v>
      </c>
      <c r="E111" s="5">
        <f t="shared" si="5"/>
        <v>10.038236953087743</v>
      </c>
      <c r="F111" s="5">
        <f t="shared" si="4"/>
        <v>-3.1005182925980534E-2</v>
      </c>
      <c r="G111" s="5">
        <f t="shared" si="4"/>
        <v>-3.7311360533278659E-2</v>
      </c>
    </row>
    <row r="112" spans="1:7" x14ac:dyDescent="0.25">
      <c r="A112" s="21">
        <v>44972</v>
      </c>
      <c r="B112" s="5">
        <v>24179.13</v>
      </c>
      <c r="C112" s="5">
        <v>24250</v>
      </c>
      <c r="D112" s="5">
        <f t="shared" si="5"/>
        <v>10.093245143372599</v>
      </c>
      <c r="E112" s="5">
        <f t="shared" si="5"/>
        <v>10.096171896365629</v>
      </c>
      <c r="F112" s="5">
        <f t="shared" si="4"/>
        <v>5.1777670101738948E-2</v>
      </c>
      <c r="G112" s="5">
        <f t="shared" si="4"/>
        <v>5.7934943277885509E-2</v>
      </c>
    </row>
    <row r="113" spans="1:7" x14ac:dyDescent="0.25">
      <c r="A113" s="21">
        <v>44979</v>
      </c>
      <c r="B113" s="5">
        <v>23805.88</v>
      </c>
      <c r="C113" s="5">
        <v>23800</v>
      </c>
      <c r="D113" s="5">
        <f t="shared" si="5"/>
        <v>10.077687887969089</v>
      </c>
      <c r="E113" s="5">
        <f t="shared" si="5"/>
        <v>10.077440859659566</v>
      </c>
      <c r="F113" s="5">
        <f t="shared" si="4"/>
        <v>-1.5557255403509274E-2</v>
      </c>
      <c r="G113" s="5">
        <f t="shared" si="4"/>
        <v>-1.8731036706062909E-2</v>
      </c>
    </row>
    <row r="114" spans="1:7" x14ac:dyDescent="0.25">
      <c r="A114" s="21">
        <v>44986</v>
      </c>
      <c r="B114" s="5">
        <v>23558.34</v>
      </c>
      <c r="C114" s="5">
        <v>23530</v>
      </c>
      <c r="D114" s="5">
        <f t="shared" si="5"/>
        <v>10.067235176879139</v>
      </c>
      <c r="E114" s="5">
        <f t="shared" si="5"/>
        <v>10.066031481721408</v>
      </c>
      <c r="F114" s="5">
        <f t="shared" si="4"/>
        <v>-1.0452711089950384E-2</v>
      </c>
      <c r="G114" s="5">
        <f t="shared" si="4"/>
        <v>-1.1409377938157661E-2</v>
      </c>
    </row>
    <row r="115" spans="1:7" x14ac:dyDescent="0.25">
      <c r="A115" s="21">
        <v>44993</v>
      </c>
      <c r="B115" s="5">
        <v>22006.5</v>
      </c>
      <c r="C115" s="5">
        <v>22115</v>
      </c>
      <c r="D115" s="5">
        <f t="shared" si="5"/>
        <v>9.9990931432478085</v>
      </c>
      <c r="E115" s="5">
        <f t="shared" si="5"/>
        <v>10.004011390302427</v>
      </c>
      <c r="F115" s="5">
        <f t="shared" si="4"/>
        <v>-6.8142033631330534E-2</v>
      </c>
      <c r="G115" s="5">
        <f t="shared" si="4"/>
        <v>-6.2020091418981238E-2</v>
      </c>
    </row>
    <row r="116" spans="1:7" x14ac:dyDescent="0.25">
      <c r="A116" s="21">
        <v>45000</v>
      </c>
      <c r="B116" s="5">
        <v>24391.4</v>
      </c>
      <c r="C116" s="5">
        <v>24490</v>
      </c>
      <c r="D116" s="5">
        <f t="shared" si="5"/>
        <v>10.101985890136621</v>
      </c>
      <c r="E116" s="5">
        <f t="shared" si="5"/>
        <v>10.106020149946213</v>
      </c>
      <c r="F116" s="5">
        <f t="shared" si="4"/>
        <v>0.10289274688881278</v>
      </c>
      <c r="G116" s="5">
        <f t="shared" si="4"/>
        <v>0.10200875964378575</v>
      </c>
    </row>
    <row r="117" spans="1:7" x14ac:dyDescent="0.25">
      <c r="A117" s="21">
        <v>45007</v>
      </c>
      <c r="B117" s="5">
        <v>27392.32</v>
      </c>
      <c r="C117" s="5">
        <v>26800</v>
      </c>
      <c r="D117" s="5">
        <f t="shared" si="5"/>
        <v>10.218017961116223</v>
      </c>
      <c r="E117" s="5">
        <f t="shared" si="5"/>
        <v>10.196157166498947</v>
      </c>
      <c r="F117" s="5">
        <f t="shared" si="4"/>
        <v>0.11603207097960144</v>
      </c>
      <c r="G117" s="5">
        <f t="shared" si="4"/>
        <v>9.013701655273465E-2</v>
      </c>
    </row>
    <row r="118" spans="1:7" x14ac:dyDescent="0.25">
      <c r="A118" s="21">
        <v>45014</v>
      </c>
      <c r="B118" s="5">
        <v>28393</v>
      </c>
      <c r="C118" s="5">
        <v>28440</v>
      </c>
      <c r="D118" s="5">
        <f t="shared" si="5"/>
        <v>10.253897914895148</v>
      </c>
      <c r="E118" s="5">
        <f t="shared" si="5"/>
        <v>10.255551883917176</v>
      </c>
      <c r="F118" s="5">
        <f t="shared" si="4"/>
        <v>3.5879953778925611E-2</v>
      </c>
      <c r="G118" s="5">
        <f t="shared" si="4"/>
        <v>5.9394717418228993E-2</v>
      </c>
    </row>
    <row r="119" spans="1:7" x14ac:dyDescent="0.25">
      <c r="A119" s="21">
        <v>45021</v>
      </c>
      <c r="B119" s="5">
        <v>28157.09</v>
      </c>
      <c r="C119" s="5">
        <v>28385</v>
      </c>
      <c r="D119" s="5">
        <f t="shared" si="5"/>
        <v>10.245554466864052</v>
      </c>
      <c r="E119" s="5">
        <f t="shared" si="5"/>
        <v>10.253616115604826</v>
      </c>
      <c r="F119" s="5">
        <f t="shared" si="4"/>
        <v>-8.3434480310966563E-3</v>
      </c>
      <c r="G119" s="5">
        <f t="shared" si="4"/>
        <v>-1.9357683123502056E-3</v>
      </c>
    </row>
    <row r="120" spans="1:7" x14ac:dyDescent="0.25">
      <c r="A120" s="21">
        <v>45028</v>
      </c>
      <c r="B120" s="5">
        <v>29968.01</v>
      </c>
      <c r="C120" s="5">
        <v>29925</v>
      </c>
      <c r="D120" s="5">
        <f t="shared" si="5"/>
        <v>10.307885758373082</v>
      </c>
      <c r="E120" s="5">
        <f t="shared" si="5"/>
        <v>10.306449530426175</v>
      </c>
      <c r="F120" s="5">
        <f t="shared" si="4"/>
        <v>6.2331291509030606E-2</v>
      </c>
      <c r="G120" s="5">
        <f t="shared" si="4"/>
        <v>5.2833414821348512E-2</v>
      </c>
    </row>
    <row r="121" spans="1:7" x14ac:dyDescent="0.25">
      <c r="A121" s="21">
        <v>45035</v>
      </c>
      <c r="B121" s="5">
        <v>29249.26</v>
      </c>
      <c r="C121" s="5">
        <v>29265</v>
      </c>
      <c r="D121" s="5">
        <f t="shared" si="5"/>
        <v>10.283609553194674</v>
      </c>
      <c r="E121" s="5">
        <f t="shared" si="5"/>
        <v>10.284147541725321</v>
      </c>
      <c r="F121" s="5">
        <f t="shared" si="4"/>
        <v>-2.4276205178408006E-2</v>
      </c>
      <c r="G121" s="5">
        <f t="shared" si="4"/>
        <v>-2.2301988700853315E-2</v>
      </c>
    </row>
    <row r="122" spans="1:7" x14ac:dyDescent="0.25">
      <c r="A122" s="21">
        <v>45042</v>
      </c>
      <c r="B122" s="5">
        <v>28417.5</v>
      </c>
      <c r="C122" s="5">
        <v>27900</v>
      </c>
      <c r="D122" s="5">
        <f t="shared" si="5"/>
        <v>10.254760431560866</v>
      </c>
      <c r="E122" s="5">
        <f t="shared" si="5"/>
        <v>10.236381967809457</v>
      </c>
      <c r="F122" s="5">
        <f t="shared" si="4"/>
        <v>-2.8849121633808039E-2</v>
      </c>
      <c r="G122" s="5">
        <f t="shared" si="4"/>
        <v>-4.7765573915864223E-2</v>
      </c>
    </row>
    <row r="123" spans="1:7" x14ac:dyDescent="0.25">
      <c r="A123" s="21">
        <v>45049</v>
      </c>
      <c r="B123" s="5">
        <v>28528.95</v>
      </c>
      <c r="C123" s="5">
        <v>28415</v>
      </c>
      <c r="D123" s="5">
        <f t="shared" si="5"/>
        <v>10.258674640165406</v>
      </c>
      <c r="E123" s="5">
        <f t="shared" si="5"/>
        <v>10.254672453731223</v>
      </c>
      <c r="F123" s="5">
        <f t="shared" si="4"/>
        <v>3.9142086045398372E-3</v>
      </c>
      <c r="G123" s="5">
        <f t="shared" si="4"/>
        <v>1.8290485921765409E-2</v>
      </c>
    </row>
    <row r="124" spans="1:7" x14ac:dyDescent="0.25">
      <c r="A124" s="21">
        <v>45056</v>
      </c>
      <c r="B124" s="5">
        <v>27875.64</v>
      </c>
      <c r="C124" s="5">
        <v>27775</v>
      </c>
      <c r="D124" s="5">
        <f t="shared" si="5"/>
        <v>10.235508468140107</v>
      </c>
      <c r="E124" s="5">
        <f t="shared" si="5"/>
        <v>10.23189161450783</v>
      </c>
      <c r="F124" s="5">
        <f t="shared" si="4"/>
        <v>-2.3166172025298692E-2</v>
      </c>
      <c r="G124" s="5">
        <f t="shared" si="4"/>
        <v>-2.2780839223392135E-2</v>
      </c>
    </row>
    <row r="125" spans="1:7" x14ac:dyDescent="0.25">
      <c r="A125" s="21">
        <v>45063</v>
      </c>
      <c r="B125" s="5">
        <v>27337.78</v>
      </c>
      <c r="C125" s="5">
        <v>27430</v>
      </c>
      <c r="D125" s="5">
        <f t="shared" si="5"/>
        <v>10.216024907273678</v>
      </c>
      <c r="E125" s="5">
        <f t="shared" si="5"/>
        <v>10.219392583931649</v>
      </c>
      <c r="F125" s="5">
        <f t="shared" si="4"/>
        <v>-1.9483560866429883E-2</v>
      </c>
      <c r="G125" s="5">
        <f t="shared" si="4"/>
        <v>-1.2499030576181624E-2</v>
      </c>
    </row>
    <row r="126" spans="1:7" x14ac:dyDescent="0.25">
      <c r="A126" s="21">
        <v>45070</v>
      </c>
      <c r="B126" s="5">
        <v>26401.81</v>
      </c>
      <c r="C126" s="5">
        <v>26225</v>
      </c>
      <c r="D126" s="5">
        <f t="shared" si="5"/>
        <v>10.181187847390298</v>
      </c>
      <c r="E126" s="5">
        <f t="shared" si="5"/>
        <v>10.174468433264497</v>
      </c>
      <c r="F126" s="5">
        <f t="shared" si="4"/>
        <v>-3.4837059883379595E-2</v>
      </c>
      <c r="G126" s="5">
        <f t="shared" si="4"/>
        <v>-4.4924150667151608E-2</v>
      </c>
    </row>
    <row r="127" spans="1:7" x14ac:dyDescent="0.25">
      <c r="A127" s="21">
        <v>45077</v>
      </c>
      <c r="B127" s="5">
        <v>27117.1</v>
      </c>
      <c r="C127" s="5">
        <v>27075</v>
      </c>
      <c r="D127" s="5">
        <f t="shared" si="5"/>
        <v>10.207919804183289</v>
      </c>
      <c r="E127" s="5">
        <f t="shared" si="5"/>
        <v>10.206366071869191</v>
      </c>
      <c r="F127" s="5">
        <f t="shared" si="4"/>
        <v>2.673195679299134E-2</v>
      </c>
      <c r="G127" s="5">
        <f t="shared" si="4"/>
        <v>3.1897638604693412E-2</v>
      </c>
    </row>
    <row r="128" spans="1:7" x14ac:dyDescent="0.25">
      <c r="A128" s="21">
        <v>45084</v>
      </c>
      <c r="B128" s="5">
        <v>26363.47</v>
      </c>
      <c r="C128" s="5">
        <v>26610</v>
      </c>
      <c r="D128" s="5">
        <f t="shared" si="5"/>
        <v>10.179734618799548</v>
      </c>
      <c r="E128" s="5">
        <f t="shared" si="5"/>
        <v>10.189042363971735</v>
      </c>
      <c r="F128" s="5">
        <f t="shared" si="4"/>
        <v>-2.8185185383740929E-2</v>
      </c>
      <c r="G128" s="5">
        <f t="shared" si="4"/>
        <v>-1.732370789745552E-2</v>
      </c>
    </row>
    <row r="129" spans="1:7" x14ac:dyDescent="0.25">
      <c r="A129" s="21">
        <v>45091</v>
      </c>
      <c r="B129" s="5">
        <v>24928.57</v>
      </c>
      <c r="C129" s="5">
        <v>25900</v>
      </c>
      <c r="D129" s="5">
        <f t="shared" si="5"/>
        <v>10.123769814262713</v>
      </c>
      <c r="E129" s="5">
        <f t="shared" si="5"/>
        <v>10.161998247687629</v>
      </c>
      <c r="F129" s="5">
        <f t="shared" si="4"/>
        <v>-5.5964804536834833E-2</v>
      </c>
      <c r="G129" s="5">
        <f t="shared" si="4"/>
        <v>-2.7044116284105968E-2</v>
      </c>
    </row>
    <row r="130" spans="1:7" x14ac:dyDescent="0.25">
      <c r="A130" s="21">
        <v>45098</v>
      </c>
      <c r="B130" s="5">
        <v>29985.4</v>
      </c>
      <c r="C130" s="5">
        <v>30260</v>
      </c>
      <c r="D130" s="5">
        <f t="shared" si="5"/>
        <v>10.308465875516967</v>
      </c>
      <c r="E130" s="5">
        <f t="shared" si="5"/>
        <v>10.317581987342347</v>
      </c>
      <c r="F130" s="5">
        <f t="shared" si="4"/>
        <v>0.18469606125425386</v>
      </c>
      <c r="G130" s="5">
        <f t="shared" si="4"/>
        <v>0.15558373965471795</v>
      </c>
    </row>
    <row r="131" spans="1:7" x14ac:dyDescent="0.25">
      <c r="A131" s="21">
        <v>45105</v>
      </c>
      <c r="B131" s="5">
        <v>30104.080000000002</v>
      </c>
      <c r="C131" s="5">
        <v>30110</v>
      </c>
      <c r="D131" s="5">
        <f t="shared" si="5"/>
        <v>10.312415989723901</v>
      </c>
      <c r="E131" s="5">
        <f t="shared" si="5"/>
        <v>10.312612621475779</v>
      </c>
      <c r="F131" s="5">
        <f t="shared" si="4"/>
        <v>3.9501142069333639E-3</v>
      </c>
      <c r="G131" s="5">
        <f t="shared" si="4"/>
        <v>-4.9693658665681539E-3</v>
      </c>
    </row>
    <row r="132" spans="1:7" x14ac:dyDescent="0.25">
      <c r="A132" s="21">
        <v>45112</v>
      </c>
      <c r="B132" s="5">
        <v>30470.54</v>
      </c>
      <c r="C132" s="5">
        <v>30675</v>
      </c>
      <c r="D132" s="5">
        <f t="shared" si="5"/>
        <v>10.324515594172569</v>
      </c>
      <c r="E132" s="5">
        <f t="shared" si="5"/>
        <v>10.331203269579111</v>
      </c>
      <c r="F132" s="5">
        <f t="shared" si="4"/>
        <v>1.2099604448668089E-2</v>
      </c>
      <c r="G132" s="5">
        <f t="shared" si="4"/>
        <v>1.8590648103332441E-2</v>
      </c>
    </row>
    <row r="133" spans="1:7" x14ac:dyDescent="0.25">
      <c r="A133" s="21">
        <v>45119</v>
      </c>
      <c r="B133" s="5">
        <v>30351.84</v>
      </c>
      <c r="C133" s="5">
        <v>30395</v>
      </c>
      <c r="D133" s="5">
        <f t="shared" si="5"/>
        <v>10.320612420679614</v>
      </c>
      <c r="E133" s="5">
        <f t="shared" si="5"/>
        <v>10.322033400182823</v>
      </c>
      <c r="F133" s="5">
        <f t="shared" si="4"/>
        <v>-3.9031734929544371E-3</v>
      </c>
      <c r="G133" s="5">
        <f t="shared" si="4"/>
        <v>-9.1698693962882771E-3</v>
      </c>
    </row>
    <row r="134" spans="1:7" x14ac:dyDescent="0.25">
      <c r="A134" s="21">
        <v>45126</v>
      </c>
      <c r="B134" s="5">
        <v>29966.89</v>
      </c>
      <c r="C134" s="5">
        <v>30105</v>
      </c>
      <c r="D134" s="5">
        <f t="shared" si="5"/>
        <v>10.30784838448908</v>
      </c>
      <c r="E134" s="5">
        <f t="shared" si="5"/>
        <v>10.312446549898548</v>
      </c>
      <c r="F134" s="5">
        <f t="shared" si="4"/>
        <v>-1.2764036190533901E-2</v>
      </c>
      <c r="G134" s="5">
        <f t="shared" si="4"/>
        <v>-9.5868502842755277E-3</v>
      </c>
    </row>
    <row r="135" spans="1:7" x14ac:dyDescent="0.25">
      <c r="A135" s="21">
        <v>45133</v>
      </c>
      <c r="B135" s="5">
        <v>29589.43</v>
      </c>
      <c r="C135" s="5">
        <v>29395</v>
      </c>
      <c r="D135" s="5">
        <f t="shared" si="5"/>
        <v>10.2951724819441</v>
      </c>
      <c r="E135" s="5">
        <f t="shared" si="5"/>
        <v>10.288579870836355</v>
      </c>
      <c r="F135" s="5">
        <f t="shared" si="4"/>
        <v>-1.2675902544980744E-2</v>
      </c>
      <c r="G135" s="5">
        <f t="shared" si="4"/>
        <v>-2.3866679062193086E-2</v>
      </c>
    </row>
    <row r="136" spans="1:7" x14ac:dyDescent="0.25">
      <c r="A136" s="21">
        <v>45140</v>
      </c>
      <c r="B136" s="5">
        <v>29119.79</v>
      </c>
      <c r="C136" s="5">
        <v>29280</v>
      </c>
      <c r="D136" s="5">
        <f t="shared" si="5"/>
        <v>10.279173290746158</v>
      </c>
      <c r="E136" s="5">
        <f t="shared" si="5"/>
        <v>10.284659968075248</v>
      </c>
      <c r="F136" s="5">
        <f t="shared" si="4"/>
        <v>-1.5999191197941798E-2</v>
      </c>
      <c r="G136" s="5">
        <f t="shared" si="4"/>
        <v>-3.9199027611065418E-3</v>
      </c>
    </row>
    <row r="137" spans="1:7" x14ac:dyDescent="0.25">
      <c r="A137" s="21">
        <v>45147</v>
      </c>
      <c r="B137" s="5">
        <v>29483.38</v>
      </c>
      <c r="C137" s="5">
        <v>29510</v>
      </c>
      <c r="D137" s="5">
        <f t="shared" si="5"/>
        <v>10.291581993733718</v>
      </c>
      <c r="E137" s="5">
        <f t="shared" si="5"/>
        <v>10.292484467936985</v>
      </c>
      <c r="F137" s="5">
        <f t="shared" si="4"/>
        <v>1.240870298756036E-2</v>
      </c>
      <c r="G137" s="5">
        <f t="shared" si="4"/>
        <v>7.8244998617371664E-3</v>
      </c>
    </row>
    <row r="138" spans="1:7" x14ac:dyDescent="0.25">
      <c r="A138" s="21">
        <v>45154</v>
      </c>
      <c r="B138" s="5">
        <v>28940.39</v>
      </c>
      <c r="C138" s="5">
        <v>29130</v>
      </c>
      <c r="D138" s="5">
        <f t="shared" si="5"/>
        <v>10.272993476252239</v>
      </c>
      <c r="E138" s="5">
        <f t="shared" si="5"/>
        <v>10.279523849953481</v>
      </c>
      <c r="F138" s="5">
        <f t="shared" si="4"/>
        <v>-1.8588517481479272E-2</v>
      </c>
      <c r="G138" s="5">
        <f t="shared" si="4"/>
        <v>-1.2960617983504008E-2</v>
      </c>
    </row>
    <row r="139" spans="1:7" x14ac:dyDescent="0.25">
      <c r="A139" s="21">
        <v>45161</v>
      </c>
      <c r="B139" s="5">
        <v>26591.759999999998</v>
      </c>
      <c r="C139" s="5">
        <v>26640</v>
      </c>
      <c r="D139" s="5">
        <f t="shared" si="5"/>
        <v>10.188356672343689</v>
      </c>
      <c r="E139" s="5">
        <f t="shared" si="5"/>
        <v>10.190169124654325</v>
      </c>
      <c r="F139" s="5">
        <f t="shared" si="4"/>
        <v>-8.4636803908550107E-2</v>
      </c>
      <c r="G139" s="5">
        <f t="shared" si="4"/>
        <v>-8.9354725299156001E-2</v>
      </c>
    </row>
    <row r="140" spans="1:7" x14ac:dyDescent="0.25">
      <c r="A140" s="21">
        <v>45168</v>
      </c>
      <c r="B140" s="5">
        <v>27253.38</v>
      </c>
      <c r="C140" s="5">
        <v>27260</v>
      </c>
      <c r="D140" s="5">
        <f t="shared" si="5"/>
        <v>10.212932829096722</v>
      </c>
      <c r="E140" s="5">
        <f t="shared" si="5"/>
        <v>10.213175705250524</v>
      </c>
      <c r="F140" s="5">
        <f t="shared" si="4"/>
        <v>2.4576156753033374E-2</v>
      </c>
      <c r="G140" s="5">
        <f t="shared" si="4"/>
        <v>2.30065805961992E-2</v>
      </c>
    </row>
    <row r="141" spans="1:7" x14ac:dyDescent="0.25">
      <c r="A141" s="21">
        <v>45175</v>
      </c>
      <c r="B141" s="5">
        <v>25669.79</v>
      </c>
      <c r="C141" s="5">
        <v>25705</v>
      </c>
      <c r="D141" s="5">
        <f t="shared" si="5"/>
        <v>10.153070093075977</v>
      </c>
      <c r="E141" s="5">
        <f t="shared" si="5"/>
        <v>10.154440804489605</v>
      </c>
      <c r="F141" s="5">
        <f t="shared" si="4"/>
        <v>-5.9862736020745544E-2</v>
      </c>
      <c r="G141" s="5">
        <f t="shared" si="4"/>
        <v>-5.8734900760919473E-2</v>
      </c>
    </row>
    <row r="142" spans="1:7" x14ac:dyDescent="0.25">
      <c r="A142" s="21">
        <v>45182</v>
      </c>
      <c r="B142" s="5">
        <v>26225.8</v>
      </c>
      <c r="C142" s="5">
        <v>26205</v>
      </c>
      <c r="D142" s="5">
        <f t="shared" si="5"/>
        <v>10.17449893804231</v>
      </c>
      <c r="E142" s="5">
        <f t="shared" si="5"/>
        <v>10.173705511236266</v>
      </c>
      <c r="F142" s="5">
        <f t="shared" si="4"/>
        <v>2.1428844966333571E-2</v>
      </c>
      <c r="G142" s="5">
        <f t="shared" si="4"/>
        <v>1.926470674666092E-2</v>
      </c>
    </row>
    <row r="143" spans="1:7" x14ac:dyDescent="0.25">
      <c r="A143" s="21">
        <v>45189</v>
      </c>
      <c r="B143" s="5">
        <v>27094.68</v>
      </c>
      <c r="C143" s="5">
        <v>26990</v>
      </c>
      <c r="D143" s="5">
        <f t="shared" si="5"/>
        <v>10.207092677633369</v>
      </c>
      <c r="E143" s="5">
        <f t="shared" si="5"/>
        <v>10.20322170601205</v>
      </c>
      <c r="F143" s="5">
        <f t="shared" ref="F143:G206" si="6">D143-D142</f>
        <v>3.2593739591058934E-2</v>
      </c>
      <c r="G143" s="5">
        <f t="shared" si="6"/>
        <v>2.9516194775784044E-2</v>
      </c>
    </row>
    <row r="144" spans="1:7" x14ac:dyDescent="0.25">
      <c r="A144" s="21">
        <v>45196</v>
      </c>
      <c r="B144" s="5">
        <v>26238.720000000001</v>
      </c>
      <c r="C144" s="5">
        <v>26250</v>
      </c>
      <c r="D144" s="5">
        <f t="shared" si="5"/>
        <v>10.174991461380413</v>
      </c>
      <c r="E144" s="5">
        <f t="shared" si="5"/>
        <v>10.17542126801977</v>
      </c>
      <c r="F144" s="5">
        <f t="shared" si="6"/>
        <v>-3.2101216252955922E-2</v>
      </c>
      <c r="G144" s="5">
        <f t="shared" si="6"/>
        <v>-2.7800437992279825E-2</v>
      </c>
    </row>
    <row r="145" spans="1:7" x14ac:dyDescent="0.25">
      <c r="A145" s="21">
        <v>45203</v>
      </c>
      <c r="B145" s="5">
        <v>27659.68</v>
      </c>
      <c r="C145" s="5">
        <v>27775</v>
      </c>
      <c r="D145" s="5">
        <f t="shared" si="5"/>
        <v>10.227731036099044</v>
      </c>
      <c r="E145" s="5">
        <f t="shared" si="5"/>
        <v>10.23189161450783</v>
      </c>
      <c r="F145" s="5">
        <f t="shared" si="6"/>
        <v>5.2739574718630777E-2</v>
      </c>
      <c r="G145" s="5">
        <f t="shared" si="6"/>
        <v>5.6470346488060486E-2</v>
      </c>
    </row>
    <row r="146" spans="1:7" x14ac:dyDescent="0.25">
      <c r="A146" s="21">
        <v>45210</v>
      </c>
      <c r="B146" s="5">
        <v>26717.11</v>
      </c>
      <c r="C146" s="5">
        <v>26800</v>
      </c>
      <c r="D146" s="5">
        <f t="shared" si="5"/>
        <v>10.193059463118376</v>
      </c>
      <c r="E146" s="5">
        <f t="shared" si="5"/>
        <v>10.196157166498947</v>
      </c>
      <c r="F146" s="5">
        <f t="shared" si="6"/>
        <v>-3.4671572980668586E-2</v>
      </c>
      <c r="G146" s="5">
        <f t="shared" si="6"/>
        <v>-3.5734448008883035E-2</v>
      </c>
    </row>
    <row r="147" spans="1:7" x14ac:dyDescent="0.25">
      <c r="A147" s="21">
        <v>45217</v>
      </c>
      <c r="B147" s="5">
        <v>28260</v>
      </c>
      <c r="C147" s="5">
        <v>28320</v>
      </c>
      <c r="D147" s="5">
        <f t="shared" si="5"/>
        <v>10.249202656238518</v>
      </c>
      <c r="E147" s="5">
        <f t="shared" si="5"/>
        <v>10.251323547807656</v>
      </c>
      <c r="F147" s="5">
        <f t="shared" si="6"/>
        <v>5.6143193120142598E-2</v>
      </c>
      <c r="G147" s="5">
        <f t="shared" si="6"/>
        <v>5.5166381308708878E-2</v>
      </c>
    </row>
    <row r="148" spans="1:7" x14ac:dyDescent="0.25">
      <c r="A148" s="21">
        <v>45224</v>
      </c>
      <c r="B148" s="5">
        <v>34680.57</v>
      </c>
      <c r="C148" s="5">
        <v>34840</v>
      </c>
      <c r="D148" s="5">
        <f t="shared" si="5"/>
        <v>10.453934866745568</v>
      </c>
      <c r="E148" s="5">
        <f t="shared" si="5"/>
        <v>10.458521430966439</v>
      </c>
      <c r="F148" s="5">
        <f t="shared" si="6"/>
        <v>0.20473221050704993</v>
      </c>
      <c r="G148" s="5">
        <f t="shared" si="6"/>
        <v>0.2071978831587824</v>
      </c>
    </row>
    <row r="149" spans="1:7" x14ac:dyDescent="0.25">
      <c r="A149" s="21">
        <v>45231</v>
      </c>
      <c r="B149" s="5">
        <v>35455.730000000003</v>
      </c>
      <c r="C149" s="5">
        <v>34965</v>
      </c>
      <c r="D149" s="5">
        <f t="shared" si="5"/>
        <v>10.476040155005759</v>
      </c>
      <c r="E149" s="5">
        <f t="shared" si="5"/>
        <v>10.462102840137968</v>
      </c>
      <c r="F149" s="5">
        <f t="shared" si="6"/>
        <v>2.2105288260190648E-2</v>
      </c>
      <c r="G149" s="5">
        <f t="shared" si="6"/>
        <v>3.5814091715291596E-3</v>
      </c>
    </row>
    <row r="150" spans="1:7" x14ac:dyDescent="0.25">
      <c r="A150" s="21">
        <v>45238</v>
      </c>
      <c r="B150" s="5">
        <v>35593.56</v>
      </c>
      <c r="C150" s="5">
        <v>35895</v>
      </c>
      <c r="D150" s="5">
        <f t="shared" si="5"/>
        <v>10.479920001599542</v>
      </c>
      <c r="E150" s="5">
        <f t="shared" si="5"/>
        <v>10.488353289010583</v>
      </c>
      <c r="F150" s="5">
        <f t="shared" si="6"/>
        <v>3.8798465937830429E-3</v>
      </c>
      <c r="G150" s="5">
        <f t="shared" si="6"/>
        <v>2.625044887261474E-2</v>
      </c>
    </row>
    <row r="151" spans="1:7" x14ac:dyDescent="0.25">
      <c r="A151" s="21">
        <v>45245</v>
      </c>
      <c r="B151" s="5">
        <v>37647.839999999997</v>
      </c>
      <c r="C151" s="5">
        <v>37820</v>
      </c>
      <c r="D151" s="5">
        <f t="shared" si="5"/>
        <v>10.53603086106436</v>
      </c>
      <c r="E151" s="5">
        <f t="shared" si="5"/>
        <v>10.540593342212448</v>
      </c>
      <c r="F151" s="5">
        <f t="shared" si="6"/>
        <v>5.6110859464817864E-2</v>
      </c>
      <c r="G151" s="5">
        <f t="shared" si="6"/>
        <v>5.2240053201865422E-2</v>
      </c>
    </row>
    <row r="152" spans="1:7" x14ac:dyDescent="0.25">
      <c r="A152" s="21">
        <v>45252</v>
      </c>
      <c r="B152" s="5">
        <v>37625</v>
      </c>
      <c r="C152" s="5">
        <v>37655</v>
      </c>
      <c r="D152" s="5">
        <f t="shared" si="5"/>
        <v>10.535424002051176</v>
      </c>
      <c r="E152" s="5">
        <f t="shared" si="5"/>
        <v>10.536221026535452</v>
      </c>
      <c r="F152" s="5">
        <f t="shared" si="6"/>
        <v>-6.0685901318358049E-4</v>
      </c>
      <c r="G152" s="5">
        <f t="shared" si="6"/>
        <v>-4.3723156769956972E-3</v>
      </c>
    </row>
    <row r="153" spans="1:7" x14ac:dyDescent="0.25">
      <c r="A153" s="21">
        <v>45259</v>
      </c>
      <c r="B153" s="5">
        <v>37737</v>
      </c>
      <c r="C153" s="5">
        <v>38065</v>
      </c>
      <c r="D153" s="5">
        <f t="shared" si="5"/>
        <v>10.538396324506982</v>
      </c>
      <c r="E153" s="5">
        <f t="shared" si="5"/>
        <v>10.547050503740312</v>
      </c>
      <c r="F153" s="5">
        <f t="shared" si="6"/>
        <v>2.9723224558058092E-3</v>
      </c>
      <c r="G153" s="5">
        <f t="shared" si="6"/>
        <v>1.0829477204859828E-2</v>
      </c>
    </row>
    <row r="154" spans="1:7" x14ac:dyDescent="0.25">
      <c r="A154" s="21">
        <v>45266</v>
      </c>
      <c r="B154" s="5">
        <v>43822.33</v>
      </c>
      <c r="C154" s="5">
        <v>44215</v>
      </c>
      <c r="D154" s="5">
        <f t="shared" si="5"/>
        <v>10.687898783803423</v>
      </c>
      <c r="E154" s="5">
        <f t="shared" si="5"/>
        <v>10.696819377009836</v>
      </c>
      <c r="F154" s="5">
        <f t="shared" si="6"/>
        <v>0.1495024592964409</v>
      </c>
      <c r="G154" s="5">
        <f t="shared" si="6"/>
        <v>0.14976887326952415</v>
      </c>
    </row>
    <row r="155" spans="1:7" x14ac:dyDescent="0.25">
      <c r="A155" s="21">
        <v>45273</v>
      </c>
      <c r="B155" s="5">
        <v>42993.29</v>
      </c>
      <c r="C155" s="5">
        <v>43210</v>
      </c>
      <c r="D155" s="5">
        <f t="shared" si="5"/>
        <v>10.668799335987549</v>
      </c>
      <c r="E155" s="5">
        <f t="shared" si="5"/>
        <v>10.67382722892598</v>
      </c>
      <c r="F155" s="5">
        <f t="shared" si="6"/>
        <v>-1.9099447815873916E-2</v>
      </c>
      <c r="G155" s="5">
        <f t="shared" si="6"/>
        <v>-2.2992148083856634E-2</v>
      </c>
    </row>
    <row r="156" spans="1:7" x14ac:dyDescent="0.25">
      <c r="A156" s="21">
        <v>45280</v>
      </c>
      <c r="B156" s="5">
        <v>43449.760000000002</v>
      </c>
      <c r="C156" s="5">
        <v>43630</v>
      </c>
      <c r="D156" s="5">
        <f t="shared" si="5"/>
        <v>10.679360607087949</v>
      </c>
      <c r="E156" s="5">
        <f t="shared" si="5"/>
        <v>10.683500266117655</v>
      </c>
      <c r="F156" s="5">
        <f t="shared" si="6"/>
        <v>1.0561271100399949E-2</v>
      </c>
      <c r="G156" s="5">
        <f t="shared" si="6"/>
        <v>9.6730371916748936E-3</v>
      </c>
    </row>
    <row r="157" spans="1:7" x14ac:dyDescent="0.25">
      <c r="A157" s="21">
        <v>45287</v>
      </c>
      <c r="B157" s="5">
        <v>43395.74</v>
      </c>
      <c r="C157" s="5">
        <v>43565</v>
      </c>
      <c r="D157" s="5">
        <f t="shared" si="5"/>
        <v>10.678116558588787</v>
      </c>
      <c r="E157" s="5">
        <f t="shared" si="5"/>
        <v>10.682009354665388</v>
      </c>
      <c r="F157" s="5">
        <f t="shared" si="6"/>
        <v>-1.2440484991618206E-3</v>
      </c>
      <c r="G157" s="5">
        <f t="shared" si="6"/>
        <v>-1.4909114522669853E-3</v>
      </c>
    </row>
    <row r="158" spans="1:7" x14ac:dyDescent="0.25">
      <c r="A158" s="21">
        <v>45294</v>
      </c>
      <c r="B158" s="5">
        <v>42938.06</v>
      </c>
      <c r="C158" s="5">
        <v>43080</v>
      </c>
      <c r="D158" s="5">
        <f t="shared" ref="D158:E221" si="7">LN(B158)</f>
        <v>10.667513891092174</v>
      </c>
      <c r="E158" s="5">
        <f t="shared" si="7"/>
        <v>10.670814131270324</v>
      </c>
      <c r="F158" s="5">
        <f t="shared" si="6"/>
        <v>-1.0602667496613094E-2</v>
      </c>
      <c r="G158" s="5">
        <f t="shared" si="6"/>
        <v>-1.1195223395063181E-2</v>
      </c>
    </row>
    <row r="159" spans="1:7" x14ac:dyDescent="0.25">
      <c r="A159" s="21">
        <v>45301</v>
      </c>
      <c r="B159" s="5">
        <v>45945.61</v>
      </c>
      <c r="C159" s="5">
        <v>46325</v>
      </c>
      <c r="D159" s="5">
        <f t="shared" si="7"/>
        <v>10.735213584590783</v>
      </c>
      <c r="E159" s="5">
        <f t="shared" si="7"/>
        <v>10.74343705115356</v>
      </c>
      <c r="F159" s="5">
        <f t="shared" si="6"/>
        <v>6.7699693498608937E-2</v>
      </c>
      <c r="G159" s="5">
        <f t="shared" si="6"/>
        <v>7.2622919883235326E-2</v>
      </c>
    </row>
    <row r="160" spans="1:7" x14ac:dyDescent="0.25">
      <c r="A160" s="21">
        <v>45308</v>
      </c>
      <c r="B160" s="5">
        <v>42637.06</v>
      </c>
      <c r="C160" s="5">
        <v>42810</v>
      </c>
      <c r="D160" s="5">
        <f t="shared" si="7"/>
        <v>10.660479107119272</v>
      </c>
      <c r="E160" s="5">
        <f t="shared" si="7"/>
        <v>10.664526999138992</v>
      </c>
      <c r="F160" s="5">
        <f t="shared" si="6"/>
        <v>-7.473447747151063E-2</v>
      </c>
      <c r="G160" s="5">
        <f t="shared" si="6"/>
        <v>-7.8910052014567356E-2</v>
      </c>
    </row>
    <row r="161" spans="1:7" x14ac:dyDescent="0.25">
      <c r="A161" s="21">
        <v>45315</v>
      </c>
      <c r="B161" s="5">
        <v>39765.379999999997</v>
      </c>
      <c r="C161" s="5">
        <v>39700</v>
      </c>
      <c r="D161" s="5">
        <f t="shared" si="7"/>
        <v>10.590751963487913</v>
      </c>
      <c r="E161" s="5">
        <f t="shared" si="7"/>
        <v>10.589106466675283</v>
      </c>
      <c r="F161" s="5">
        <f t="shared" si="6"/>
        <v>-6.9727143631359567E-2</v>
      </c>
      <c r="G161" s="5">
        <f t="shared" si="6"/>
        <v>-7.5420532463709833E-2</v>
      </c>
    </row>
    <row r="162" spans="1:7" x14ac:dyDescent="0.25">
      <c r="A162" s="21">
        <v>45322</v>
      </c>
      <c r="B162" s="5">
        <v>42458.43</v>
      </c>
      <c r="C162" s="5">
        <v>42815</v>
      </c>
      <c r="D162" s="5">
        <f t="shared" si="7"/>
        <v>10.656280758596228</v>
      </c>
      <c r="E162" s="5">
        <f t="shared" si="7"/>
        <v>10.664643787460292</v>
      </c>
      <c r="F162" s="5">
        <f t="shared" si="6"/>
        <v>6.5528795108315663E-2</v>
      </c>
      <c r="G162" s="5">
        <f t="shared" si="6"/>
        <v>7.5537320785009854E-2</v>
      </c>
    </row>
    <row r="163" spans="1:7" x14ac:dyDescent="0.25">
      <c r="A163" s="21">
        <v>45329</v>
      </c>
      <c r="B163" s="5">
        <v>44188.33</v>
      </c>
      <c r="C163" s="5">
        <v>44410</v>
      </c>
      <c r="D163" s="5">
        <f t="shared" si="7"/>
        <v>10.696216006055165</v>
      </c>
      <c r="E163" s="5">
        <f t="shared" si="7"/>
        <v>10.701219948286148</v>
      </c>
      <c r="F163" s="5">
        <f t="shared" si="6"/>
        <v>3.9935247458936729E-2</v>
      </c>
      <c r="G163" s="5">
        <f t="shared" si="6"/>
        <v>3.6576160825855908E-2</v>
      </c>
    </row>
    <row r="164" spans="1:7" x14ac:dyDescent="0.25">
      <c r="A164" s="21">
        <v>45336</v>
      </c>
      <c r="B164" s="5">
        <v>51772.71</v>
      </c>
      <c r="C164" s="5">
        <v>51990</v>
      </c>
      <c r="D164" s="5">
        <f t="shared" si="7"/>
        <v>10.85461845544496</v>
      </c>
      <c r="E164" s="5">
        <f t="shared" si="7"/>
        <v>10.858806671377762</v>
      </c>
      <c r="F164" s="5">
        <f t="shared" si="6"/>
        <v>0.15840244938979531</v>
      </c>
      <c r="G164" s="5">
        <f t="shared" si="6"/>
        <v>0.15758672309161348</v>
      </c>
    </row>
    <row r="165" spans="1:7" x14ac:dyDescent="0.25">
      <c r="A165" s="21">
        <v>45343</v>
      </c>
      <c r="B165" s="5">
        <v>51388.56</v>
      </c>
      <c r="C165" s="5">
        <v>50955</v>
      </c>
      <c r="D165" s="5">
        <f t="shared" si="7"/>
        <v>10.847170858577918</v>
      </c>
      <c r="E165" s="5">
        <f t="shared" si="7"/>
        <v>10.838698169262795</v>
      </c>
      <c r="F165" s="5">
        <f t="shared" si="6"/>
        <v>-7.4475968670419945E-3</v>
      </c>
      <c r="G165" s="5">
        <f t="shared" si="6"/>
        <v>-2.0108502114966953E-2</v>
      </c>
    </row>
    <row r="166" spans="1:7" x14ac:dyDescent="0.25">
      <c r="A166" s="21">
        <v>45350</v>
      </c>
      <c r="B166" s="5">
        <v>60550.68</v>
      </c>
      <c r="C166" s="5">
        <v>60870</v>
      </c>
      <c r="D166" s="5">
        <f t="shared" si="7"/>
        <v>11.011235979306287</v>
      </c>
      <c r="E166" s="5">
        <f t="shared" si="7"/>
        <v>11.016495721487971</v>
      </c>
      <c r="F166" s="5">
        <f t="shared" si="6"/>
        <v>0.16406512072836854</v>
      </c>
      <c r="G166" s="5">
        <f t="shared" si="6"/>
        <v>0.17779755222517579</v>
      </c>
    </row>
    <row r="167" spans="1:7" x14ac:dyDescent="0.25">
      <c r="A167" s="21">
        <v>45357</v>
      </c>
      <c r="B167" s="5">
        <v>66481.259999999995</v>
      </c>
      <c r="C167" s="5">
        <v>67760</v>
      </c>
      <c r="D167" s="5">
        <f t="shared" si="7"/>
        <v>11.104675382418314</v>
      </c>
      <c r="E167" s="5">
        <f t="shared" si="7"/>
        <v>11.123727329325936</v>
      </c>
      <c r="F167" s="5">
        <f t="shared" si="6"/>
        <v>9.3439403112027364E-2</v>
      </c>
      <c r="G167" s="5">
        <f t="shared" si="6"/>
        <v>0.10723160783796537</v>
      </c>
    </row>
    <row r="168" spans="1:7" x14ac:dyDescent="0.25">
      <c r="A168" s="21">
        <v>45364</v>
      </c>
      <c r="B168" s="5">
        <v>73157.289999999994</v>
      </c>
      <c r="C168" s="5">
        <v>73915</v>
      </c>
      <c r="D168" s="5">
        <f t="shared" si="7"/>
        <v>11.200367059719218</v>
      </c>
      <c r="E168" s="5">
        <f t="shared" si="7"/>
        <v>11.210671063335191</v>
      </c>
      <c r="F168" s="5">
        <f t="shared" si="6"/>
        <v>9.5691677300903777E-2</v>
      </c>
      <c r="G168" s="5">
        <f t="shared" si="6"/>
        <v>8.6943734009254925E-2</v>
      </c>
    </row>
    <row r="169" spans="1:7" x14ac:dyDescent="0.25">
      <c r="A169" s="21">
        <v>45371</v>
      </c>
      <c r="B169" s="5">
        <v>67078.539999999994</v>
      </c>
      <c r="C169" s="5">
        <v>65990</v>
      </c>
      <c r="D169" s="5">
        <f t="shared" si="7"/>
        <v>11.113619450643634</v>
      </c>
      <c r="E169" s="5">
        <f t="shared" si="7"/>
        <v>11.097258494377467</v>
      </c>
      <c r="F169" s="5">
        <f t="shared" si="6"/>
        <v>-8.6747609075583654E-2</v>
      </c>
      <c r="G169" s="5">
        <f t="shared" si="6"/>
        <v>-0.11341256895772389</v>
      </c>
    </row>
    <row r="170" spans="1:7" x14ac:dyDescent="0.25">
      <c r="A170" s="21">
        <v>45378</v>
      </c>
      <c r="B170" s="5">
        <v>68862.16</v>
      </c>
      <c r="C170" s="5">
        <v>68635</v>
      </c>
      <c r="D170" s="5">
        <f t="shared" si="7"/>
        <v>11.139862104393579</v>
      </c>
      <c r="E170" s="5">
        <f t="shared" si="7"/>
        <v>11.136557887685759</v>
      </c>
      <c r="F170" s="5">
        <f t="shared" si="6"/>
        <v>2.6242653749944722E-2</v>
      </c>
      <c r="G170" s="5">
        <f t="shared" si="6"/>
        <v>3.9299393308292352E-2</v>
      </c>
    </row>
    <row r="171" spans="1:7" x14ac:dyDescent="0.25">
      <c r="A171" s="21">
        <v>45385</v>
      </c>
      <c r="B171" s="5">
        <v>65742.2</v>
      </c>
      <c r="C171" s="5">
        <v>66305</v>
      </c>
      <c r="D171" s="5">
        <f t="shared" si="7"/>
        <v>11.093496311824069</v>
      </c>
      <c r="E171" s="5">
        <f t="shared" si="7"/>
        <v>11.102020588111699</v>
      </c>
      <c r="F171" s="5">
        <f t="shared" si="6"/>
        <v>-4.6365792569510234E-2</v>
      </c>
      <c r="G171" s="5">
        <f t="shared" si="6"/>
        <v>-3.4537299574060043E-2</v>
      </c>
    </row>
    <row r="172" spans="1:7" x14ac:dyDescent="0.25">
      <c r="A172" s="21">
        <v>45392</v>
      </c>
      <c r="B172" s="5">
        <v>69807.509999999995</v>
      </c>
      <c r="C172" s="5">
        <v>70410</v>
      </c>
      <c r="D172" s="5">
        <f t="shared" si="7"/>
        <v>11.153496876085947</v>
      </c>
      <c r="E172" s="5">
        <f t="shared" si="7"/>
        <v>11.16209057751318</v>
      </c>
      <c r="F172" s="5">
        <f t="shared" si="6"/>
        <v>6.0000564261878608E-2</v>
      </c>
      <c r="G172" s="5">
        <f t="shared" si="6"/>
        <v>6.0069989401480228E-2</v>
      </c>
    </row>
    <row r="173" spans="1:7" x14ac:dyDescent="0.25">
      <c r="A173" s="21">
        <v>45399</v>
      </c>
      <c r="B173" s="5">
        <v>60855.27</v>
      </c>
      <c r="C173" s="5">
        <v>61130</v>
      </c>
      <c r="D173" s="5">
        <f t="shared" si="7"/>
        <v>11.016253701074758</v>
      </c>
      <c r="E173" s="5">
        <f t="shared" si="7"/>
        <v>11.020758023022772</v>
      </c>
      <c r="F173" s="5">
        <f t="shared" si="6"/>
        <v>-0.13724317501118932</v>
      </c>
      <c r="G173" s="5">
        <f t="shared" si="6"/>
        <v>-0.1413325544904076</v>
      </c>
    </row>
    <row r="174" spans="1:7" x14ac:dyDescent="0.25">
      <c r="A174" s="21">
        <v>45406</v>
      </c>
      <c r="B174" s="5">
        <v>64049.7</v>
      </c>
      <c r="C174" s="5">
        <v>63880</v>
      </c>
      <c r="D174" s="5">
        <f t="shared" si="7"/>
        <v>11.067414623473162</v>
      </c>
      <c r="E174" s="5">
        <f t="shared" si="7"/>
        <v>11.064761602328948</v>
      </c>
      <c r="F174" s="5">
        <f t="shared" si="6"/>
        <v>5.1160922398404196E-2</v>
      </c>
      <c r="G174" s="5">
        <f t="shared" si="6"/>
        <v>4.4003579306176377E-2</v>
      </c>
    </row>
    <row r="175" spans="1:7" x14ac:dyDescent="0.25">
      <c r="A175" s="21">
        <v>45413</v>
      </c>
      <c r="B175" s="5">
        <v>57293.55</v>
      </c>
      <c r="C175" s="5">
        <v>57355</v>
      </c>
      <c r="D175" s="5">
        <f t="shared" si="7"/>
        <v>10.955943330921839</v>
      </c>
      <c r="E175" s="5">
        <f t="shared" si="7"/>
        <v>10.957015302715368</v>
      </c>
      <c r="F175" s="5">
        <f t="shared" si="6"/>
        <v>-0.11147129255132349</v>
      </c>
      <c r="G175" s="5">
        <f t="shared" si="6"/>
        <v>-0.10774629961358073</v>
      </c>
    </row>
    <row r="176" spans="1:7" x14ac:dyDescent="0.25">
      <c r="A176" s="21">
        <v>45420</v>
      </c>
      <c r="B176" s="5">
        <v>61568.87</v>
      </c>
      <c r="C176" s="5">
        <v>62460</v>
      </c>
      <c r="D176" s="5">
        <f t="shared" si="7"/>
        <v>11.027911664642797</v>
      </c>
      <c r="E176" s="5">
        <f t="shared" si="7"/>
        <v>11.042281630837069</v>
      </c>
      <c r="F176" s="5">
        <f t="shared" si="6"/>
        <v>7.1968333720958455E-2</v>
      </c>
      <c r="G176" s="5">
        <f t="shared" si="6"/>
        <v>8.5266328121701207E-2</v>
      </c>
    </row>
    <row r="177" spans="1:7" x14ac:dyDescent="0.25">
      <c r="A177" s="21">
        <v>45427</v>
      </c>
      <c r="B177" s="5">
        <v>65981.66</v>
      </c>
      <c r="C177" s="5">
        <v>66495</v>
      </c>
      <c r="D177" s="5">
        <f t="shared" si="7"/>
        <v>11.097132103605219</v>
      </c>
      <c r="E177" s="5">
        <f t="shared" si="7"/>
        <v>11.104882035847263</v>
      </c>
      <c r="F177" s="5">
        <f t="shared" si="6"/>
        <v>6.9220438962421582E-2</v>
      </c>
      <c r="G177" s="5">
        <f t="shared" si="6"/>
        <v>6.2600405010194038E-2</v>
      </c>
    </row>
    <row r="178" spans="1:7" x14ac:dyDescent="0.25">
      <c r="A178" s="21">
        <v>45434</v>
      </c>
      <c r="B178" s="5">
        <v>69411.320000000007</v>
      </c>
      <c r="C178" s="5">
        <v>69815</v>
      </c>
      <c r="D178" s="5">
        <f t="shared" si="7"/>
        <v>11.147805245585447</v>
      </c>
      <c r="E178" s="5">
        <f t="shared" si="7"/>
        <v>11.153604165376295</v>
      </c>
      <c r="F178" s="5">
        <f t="shared" si="6"/>
        <v>5.0673141980228209E-2</v>
      </c>
      <c r="G178" s="5">
        <f t="shared" si="6"/>
        <v>4.8722129529032543E-2</v>
      </c>
    </row>
    <row r="179" spans="1:7" x14ac:dyDescent="0.25">
      <c r="A179" s="21">
        <v>45441</v>
      </c>
      <c r="B179" s="5">
        <v>67410.37</v>
      </c>
      <c r="C179" s="5">
        <v>67185</v>
      </c>
      <c r="D179" s="5">
        <f t="shared" si="7"/>
        <v>11.118554142632302</v>
      </c>
      <c r="E179" s="5">
        <f t="shared" si="7"/>
        <v>11.115205287309511</v>
      </c>
      <c r="F179" s="5">
        <f t="shared" si="6"/>
        <v>-2.9251102953145036E-2</v>
      </c>
      <c r="G179" s="5">
        <f t="shared" si="6"/>
        <v>-3.8398878066784548E-2</v>
      </c>
    </row>
    <row r="180" spans="1:7" x14ac:dyDescent="0.25">
      <c r="A180" s="21">
        <v>45448</v>
      </c>
      <c r="B180" s="5">
        <v>71216.039999999994</v>
      </c>
      <c r="C180" s="5">
        <v>71890</v>
      </c>
      <c r="D180" s="5">
        <f t="shared" si="7"/>
        <v>11.173473352927012</v>
      </c>
      <c r="E180" s="5">
        <f t="shared" si="7"/>
        <v>11.182892451977917</v>
      </c>
      <c r="F180" s="5">
        <f t="shared" si="6"/>
        <v>5.4919210294709586E-2</v>
      </c>
      <c r="G180" s="5">
        <f t="shared" si="6"/>
        <v>6.7687164668406297E-2</v>
      </c>
    </row>
    <row r="181" spans="1:7" x14ac:dyDescent="0.25">
      <c r="A181" s="21">
        <v>45455</v>
      </c>
      <c r="B181" s="5">
        <v>68083.66</v>
      </c>
      <c r="C181" s="5">
        <v>67875</v>
      </c>
      <c r="D181" s="5">
        <f t="shared" si="7"/>
        <v>11.128492522084246</v>
      </c>
      <c r="E181" s="5">
        <f t="shared" si="7"/>
        <v>11.125423057236237</v>
      </c>
      <c r="F181" s="5">
        <f t="shared" si="6"/>
        <v>-4.498083084276594E-2</v>
      </c>
      <c r="G181" s="5">
        <f t="shared" si="6"/>
        <v>-5.7469394741680446E-2</v>
      </c>
    </row>
    <row r="182" spans="1:7" x14ac:dyDescent="0.25">
      <c r="A182" s="21">
        <v>45462</v>
      </c>
      <c r="B182" s="5">
        <v>64851.51</v>
      </c>
      <c r="C182" s="5">
        <v>64475</v>
      </c>
      <c r="D182" s="5">
        <f t="shared" si="7"/>
        <v>11.079855473976208</v>
      </c>
      <c r="E182" s="5">
        <f t="shared" si="7"/>
        <v>11.074032830749546</v>
      </c>
      <c r="F182" s="5">
        <f t="shared" si="6"/>
        <v>-4.8637048108037817E-2</v>
      </c>
      <c r="G182" s="5">
        <f t="shared" si="6"/>
        <v>-5.1390226486690338E-2</v>
      </c>
    </row>
    <row r="183" spans="1:7" x14ac:dyDescent="0.25">
      <c r="A183" s="21">
        <v>45469</v>
      </c>
      <c r="B183" s="5">
        <v>60954.51</v>
      </c>
      <c r="C183" s="5">
        <v>60940</v>
      </c>
      <c r="D183" s="5">
        <f t="shared" si="7"/>
        <v>11.017883127249849</v>
      </c>
      <c r="E183" s="5">
        <f t="shared" si="7"/>
        <v>11.017645052539701</v>
      </c>
      <c r="F183" s="5">
        <f t="shared" si="6"/>
        <v>-6.1972346726358651E-2</v>
      </c>
      <c r="G183" s="5">
        <f t="shared" si="6"/>
        <v>-5.6387778209845862E-2</v>
      </c>
    </row>
    <row r="184" spans="1:7" x14ac:dyDescent="0.25">
      <c r="A184" s="21">
        <v>45476</v>
      </c>
      <c r="B184" s="5">
        <v>59542.7</v>
      </c>
      <c r="C184" s="5">
        <v>59825</v>
      </c>
      <c r="D184" s="5">
        <f t="shared" si="7"/>
        <v>10.994448981207029</v>
      </c>
      <c r="E184" s="5">
        <f t="shared" si="7"/>
        <v>10.999178912776575</v>
      </c>
      <c r="F184" s="5">
        <f t="shared" si="6"/>
        <v>-2.3434146042820458E-2</v>
      </c>
      <c r="G184" s="5">
        <f t="shared" si="6"/>
        <v>-1.8466139763125611E-2</v>
      </c>
    </row>
    <row r="185" spans="1:7" x14ac:dyDescent="0.25">
      <c r="A185" s="21">
        <v>45483</v>
      </c>
      <c r="B185" s="5">
        <v>57404.959999999999</v>
      </c>
      <c r="C185" s="5">
        <v>57625</v>
      </c>
      <c r="D185" s="5">
        <f t="shared" si="7"/>
        <v>10.957885989724256</v>
      </c>
      <c r="E185" s="5">
        <f t="shared" si="7"/>
        <v>10.96171178029895</v>
      </c>
      <c r="F185" s="5">
        <f t="shared" si="6"/>
        <v>-3.6562991482773199E-2</v>
      </c>
      <c r="G185" s="5">
        <f t="shared" si="6"/>
        <v>-3.7467132477624787E-2</v>
      </c>
    </row>
    <row r="186" spans="1:7" x14ac:dyDescent="0.25">
      <c r="A186" s="21">
        <v>45490</v>
      </c>
      <c r="B186" s="5">
        <v>64523.61</v>
      </c>
      <c r="C186" s="5">
        <v>64730</v>
      </c>
      <c r="D186" s="5">
        <f t="shared" si="7"/>
        <v>11.074786482316812</v>
      </c>
      <c r="E186" s="5">
        <f t="shared" si="7"/>
        <v>11.077980051539555</v>
      </c>
      <c r="F186" s="5">
        <f t="shared" si="6"/>
        <v>0.1169004925925563</v>
      </c>
      <c r="G186" s="5">
        <f t="shared" si="6"/>
        <v>0.1162682712406049</v>
      </c>
    </row>
    <row r="187" spans="1:7" x14ac:dyDescent="0.25">
      <c r="A187" s="21">
        <v>45497</v>
      </c>
      <c r="B187" s="5">
        <v>66042.98</v>
      </c>
      <c r="C187" s="5">
        <v>65700</v>
      </c>
      <c r="D187" s="5">
        <f t="shared" si="7"/>
        <v>11.09806102118317</v>
      </c>
      <c r="E187" s="5">
        <f t="shared" si="7"/>
        <v>11.092854204472703</v>
      </c>
      <c r="F187" s="5">
        <f t="shared" si="6"/>
        <v>2.3274538866358441E-2</v>
      </c>
      <c r="G187" s="5">
        <f t="shared" si="6"/>
        <v>1.4874152933147755E-2</v>
      </c>
    </row>
    <row r="188" spans="1:7" x14ac:dyDescent="0.25">
      <c r="A188" s="21">
        <v>45504</v>
      </c>
      <c r="B188" s="5">
        <v>64559.96</v>
      </c>
      <c r="C188" s="5">
        <v>65685</v>
      </c>
      <c r="D188" s="5">
        <f t="shared" si="7"/>
        <v>11.075349683364951</v>
      </c>
      <c r="E188" s="5">
        <f t="shared" si="7"/>
        <v>11.092625867903608</v>
      </c>
      <c r="F188" s="5">
        <f t="shared" si="6"/>
        <v>-2.271133781821888E-2</v>
      </c>
      <c r="G188" s="5">
        <f t="shared" si="6"/>
        <v>-2.2833656909426736E-4</v>
      </c>
    </row>
    <row r="189" spans="1:7" x14ac:dyDescent="0.25">
      <c r="A189" s="21">
        <v>45511</v>
      </c>
      <c r="B189" s="5">
        <v>55154.01</v>
      </c>
      <c r="C189" s="5">
        <v>55000</v>
      </c>
      <c r="D189" s="5">
        <f t="shared" si="7"/>
        <v>10.917884732827105</v>
      </c>
      <c r="E189" s="5">
        <f t="shared" si="7"/>
        <v>10.915088464214607</v>
      </c>
      <c r="F189" s="5">
        <f t="shared" si="6"/>
        <v>-0.1574649505378467</v>
      </c>
      <c r="G189" s="5">
        <f t="shared" si="6"/>
        <v>-0.17753740368900139</v>
      </c>
    </row>
    <row r="190" spans="1:7" x14ac:dyDescent="0.25">
      <c r="A190" s="21">
        <v>45518</v>
      </c>
      <c r="B190" s="5">
        <v>59157.9</v>
      </c>
      <c r="C190" s="5">
        <v>59080</v>
      </c>
      <c r="D190" s="5">
        <f t="shared" si="7"/>
        <v>10.9879654192373</v>
      </c>
      <c r="E190" s="5">
        <f t="shared" si="7"/>
        <v>10.986647736645317</v>
      </c>
      <c r="F190" s="5">
        <f t="shared" si="6"/>
        <v>7.008068641019527E-2</v>
      </c>
      <c r="G190" s="5">
        <f t="shared" si="6"/>
        <v>7.1559272430709697E-2</v>
      </c>
    </row>
    <row r="191" spans="1:7" x14ac:dyDescent="0.25">
      <c r="A191" s="21">
        <v>45525</v>
      </c>
      <c r="B191" s="5">
        <v>61246.11</v>
      </c>
      <c r="C191" s="5">
        <v>61730</v>
      </c>
      <c r="D191" s="5">
        <f t="shared" si="7"/>
        <v>11.022655616186034</v>
      </c>
      <c r="E191" s="5">
        <f t="shared" si="7"/>
        <v>11.030525315387942</v>
      </c>
      <c r="F191" s="5">
        <f t="shared" si="6"/>
        <v>3.4690196948734098E-2</v>
      </c>
      <c r="G191" s="5">
        <f t="shared" si="6"/>
        <v>4.3877578742625545E-2</v>
      </c>
    </row>
    <row r="192" spans="1:7" x14ac:dyDescent="0.25">
      <c r="A192" s="21">
        <v>45532</v>
      </c>
      <c r="B192" s="5">
        <v>59347.96</v>
      </c>
      <c r="C192" s="5">
        <v>58950</v>
      </c>
      <c r="D192" s="5">
        <f t="shared" si="7"/>
        <v>10.991173027079759</v>
      </c>
      <c r="E192" s="5">
        <f t="shared" si="7"/>
        <v>10.984444905965518</v>
      </c>
      <c r="F192" s="5">
        <f t="shared" si="6"/>
        <v>-3.1482589106275327E-2</v>
      </c>
      <c r="G192" s="5">
        <f t="shared" si="6"/>
        <v>-4.6080409422424751E-2</v>
      </c>
    </row>
    <row r="193" spans="1:7" x14ac:dyDescent="0.25">
      <c r="A193" s="21">
        <v>45539</v>
      </c>
      <c r="B193" s="5">
        <v>58043.68</v>
      </c>
      <c r="C193" s="5">
        <v>58355</v>
      </c>
      <c r="D193" s="5">
        <f t="shared" si="7"/>
        <v>10.968951109536729</v>
      </c>
      <c r="E193" s="5">
        <f t="shared" si="7"/>
        <v>10.974300323846455</v>
      </c>
      <c r="F193" s="5">
        <f t="shared" si="6"/>
        <v>-2.2221917543030045E-2</v>
      </c>
      <c r="G193" s="5">
        <f t="shared" si="6"/>
        <v>-1.0144582119062662E-2</v>
      </c>
    </row>
    <row r="194" spans="1:7" x14ac:dyDescent="0.25">
      <c r="A194" s="21">
        <v>45546</v>
      </c>
      <c r="B194" s="5">
        <v>57495.02</v>
      </c>
      <c r="C194" s="5">
        <v>57860</v>
      </c>
      <c r="D194" s="5">
        <f t="shared" si="7"/>
        <v>10.95945361433904</v>
      </c>
      <c r="E194" s="5">
        <f t="shared" si="7"/>
        <v>10.965781578530127</v>
      </c>
      <c r="F194" s="5">
        <f t="shared" si="6"/>
        <v>-9.4974951976887212E-3</v>
      </c>
      <c r="G194" s="5">
        <f t="shared" si="6"/>
        <v>-8.5187453163282356E-3</v>
      </c>
    </row>
    <row r="195" spans="1:7" x14ac:dyDescent="0.25">
      <c r="A195" s="21">
        <v>45553</v>
      </c>
      <c r="B195" s="5">
        <v>60232.24</v>
      </c>
      <c r="C195" s="5">
        <v>60140</v>
      </c>
      <c r="D195" s="5">
        <f t="shared" si="7"/>
        <v>11.005963036114927</v>
      </c>
      <c r="E195" s="5">
        <f t="shared" si="7"/>
        <v>11.00443045654252</v>
      </c>
      <c r="F195" s="5">
        <f t="shared" si="6"/>
        <v>4.6509421775887461E-2</v>
      </c>
      <c r="G195" s="5">
        <f t="shared" si="6"/>
        <v>3.8648878012393695E-2</v>
      </c>
    </row>
    <row r="196" spans="1:7" x14ac:dyDescent="0.25">
      <c r="A196" s="21">
        <v>45560</v>
      </c>
      <c r="B196" s="5">
        <v>63488.74</v>
      </c>
      <c r="C196" s="5">
        <v>63200</v>
      </c>
      <c r="D196" s="5">
        <f t="shared" si="7"/>
        <v>11.058617846322585</v>
      </c>
      <c r="E196" s="5">
        <f t="shared" si="7"/>
        <v>11.054059580134949</v>
      </c>
      <c r="F196" s="5">
        <f t="shared" si="6"/>
        <v>5.2654810207657832E-2</v>
      </c>
      <c r="G196" s="5">
        <f t="shared" si="6"/>
        <v>4.9629123592428215E-2</v>
      </c>
    </row>
    <row r="197" spans="1:7" x14ac:dyDescent="0.25">
      <c r="A197" s="21">
        <v>45567</v>
      </c>
      <c r="B197" s="5">
        <v>60905.21</v>
      </c>
      <c r="C197" s="5">
        <v>60430</v>
      </c>
      <c r="D197" s="5">
        <f t="shared" si="7"/>
        <v>11.017074000120891</v>
      </c>
      <c r="E197" s="5">
        <f t="shared" si="7"/>
        <v>11.009240949355604</v>
      </c>
      <c r="F197" s="5">
        <f t="shared" si="6"/>
        <v>-4.1543846201694379E-2</v>
      </c>
      <c r="G197" s="5">
        <f t="shared" si="6"/>
        <v>-4.4818630779344559E-2</v>
      </c>
    </row>
    <row r="198" spans="1:7" x14ac:dyDescent="0.25">
      <c r="A198" s="21">
        <v>45574</v>
      </c>
      <c r="B198" s="5">
        <v>60393.26</v>
      </c>
      <c r="C198" s="5">
        <v>61115</v>
      </c>
      <c r="D198" s="5">
        <f t="shared" si="7"/>
        <v>11.008632788292372</v>
      </c>
      <c r="E198" s="5">
        <f t="shared" si="7"/>
        <v>11.020512614211363</v>
      </c>
      <c r="F198" s="5">
        <f t="shared" si="6"/>
        <v>-8.4412118285186466E-3</v>
      </c>
      <c r="G198" s="5">
        <f t="shared" si="6"/>
        <v>1.1271664855758701E-2</v>
      </c>
    </row>
    <row r="199" spans="1:7" x14ac:dyDescent="0.25">
      <c r="A199" s="21">
        <v>45581</v>
      </c>
      <c r="B199" s="5">
        <v>67620.070000000007</v>
      </c>
      <c r="C199" s="5">
        <v>67925</v>
      </c>
      <c r="D199" s="5">
        <f t="shared" si="7"/>
        <v>11.121660111458029</v>
      </c>
      <c r="E199" s="5">
        <f t="shared" si="7"/>
        <v>11.126159434294548</v>
      </c>
      <c r="F199" s="5">
        <f t="shared" si="6"/>
        <v>0.11302732316565667</v>
      </c>
      <c r="G199" s="5">
        <f t="shared" si="6"/>
        <v>0.10564682008318549</v>
      </c>
    </row>
    <row r="200" spans="1:7" x14ac:dyDescent="0.25">
      <c r="A200" s="21">
        <v>45588</v>
      </c>
      <c r="B200" s="5">
        <v>66586.37</v>
      </c>
      <c r="C200" s="5">
        <v>66360</v>
      </c>
      <c r="D200" s="5">
        <f t="shared" si="7"/>
        <v>11.106255180929205</v>
      </c>
      <c r="E200" s="5">
        <f t="shared" si="7"/>
        <v>11.102849744304381</v>
      </c>
      <c r="F200" s="5">
        <f t="shared" si="6"/>
        <v>-1.5404930528823968E-2</v>
      </c>
      <c r="G200" s="5">
        <f t="shared" si="6"/>
        <v>-2.330968999016747E-2</v>
      </c>
    </row>
    <row r="201" spans="1:7" x14ac:dyDescent="0.25">
      <c r="A201" s="21">
        <v>45595</v>
      </c>
      <c r="B201" s="5">
        <v>72834.600000000006</v>
      </c>
      <c r="C201" s="5">
        <v>72535</v>
      </c>
      <c r="D201" s="5">
        <f t="shared" si="7"/>
        <v>11.195946396002793</v>
      </c>
      <c r="E201" s="5">
        <f t="shared" si="7"/>
        <v>11.191824482973002</v>
      </c>
      <c r="F201" s="5">
        <f t="shared" si="6"/>
        <v>8.9691215073587571E-2</v>
      </c>
      <c r="G201" s="5">
        <f t="shared" si="6"/>
        <v>8.8974738668621711E-2</v>
      </c>
    </row>
    <row r="202" spans="1:7" x14ac:dyDescent="0.25">
      <c r="A202" s="21">
        <v>45602</v>
      </c>
      <c r="B202" s="5">
        <v>75959.320000000007</v>
      </c>
      <c r="C202" s="5">
        <v>76875</v>
      </c>
      <c r="D202" s="5">
        <f t="shared" si="7"/>
        <v>11.23795321280611</v>
      </c>
      <c r="E202" s="5">
        <f t="shared" si="7"/>
        <v>11.249936005108818</v>
      </c>
      <c r="F202" s="5">
        <f t="shared" si="6"/>
        <v>4.2006816803317193E-2</v>
      </c>
      <c r="G202" s="5">
        <f t="shared" si="6"/>
        <v>5.8111522135815719E-2</v>
      </c>
    </row>
    <row r="203" spans="1:7" x14ac:dyDescent="0.25">
      <c r="A203" s="21">
        <v>45609</v>
      </c>
      <c r="B203" s="5">
        <v>88633.919999999998</v>
      </c>
      <c r="C203" s="5">
        <v>90255</v>
      </c>
      <c r="D203" s="5">
        <f t="shared" si="7"/>
        <v>11.392269907570807</v>
      </c>
      <c r="E203" s="5">
        <f t="shared" si="7"/>
        <v>11.410394276322561</v>
      </c>
      <c r="F203" s="5">
        <f t="shared" si="6"/>
        <v>0.154316694764697</v>
      </c>
      <c r="G203" s="5">
        <f t="shared" si="6"/>
        <v>0.16045827121374323</v>
      </c>
    </row>
    <row r="204" spans="1:7" x14ac:dyDescent="0.25">
      <c r="A204" s="21">
        <v>45616</v>
      </c>
      <c r="B204" s="5">
        <v>94463.65</v>
      </c>
      <c r="C204" s="5">
        <v>94740</v>
      </c>
      <c r="D204" s="5">
        <f t="shared" si="7"/>
        <v>11.45597038339805</v>
      </c>
      <c r="E204" s="5">
        <f t="shared" si="7"/>
        <v>11.458891576477743</v>
      </c>
      <c r="F204" s="5">
        <f t="shared" si="6"/>
        <v>6.3700475827243253E-2</v>
      </c>
      <c r="G204" s="5">
        <f t="shared" si="6"/>
        <v>4.8497300155181833E-2</v>
      </c>
    </row>
    <row r="205" spans="1:7" x14ac:dyDescent="0.25">
      <c r="A205" s="21">
        <v>45623</v>
      </c>
      <c r="B205" s="5">
        <v>96400.51</v>
      </c>
      <c r="C205" s="5">
        <v>96785</v>
      </c>
      <c r="D205" s="5">
        <f t="shared" si="7"/>
        <v>11.476266771041074</v>
      </c>
      <c r="E205" s="5">
        <f t="shared" si="7"/>
        <v>11.480247302579645</v>
      </c>
      <c r="F205" s="5">
        <f t="shared" si="6"/>
        <v>2.029638764302355E-2</v>
      </c>
      <c r="G205" s="5">
        <f t="shared" si="6"/>
        <v>2.1355726101901951E-2</v>
      </c>
    </row>
    <row r="206" spans="1:7" x14ac:dyDescent="0.25">
      <c r="A206" s="21">
        <v>45630</v>
      </c>
      <c r="B206" s="5">
        <v>97876.14</v>
      </c>
      <c r="C206" s="5">
        <v>99915</v>
      </c>
      <c r="D206" s="5">
        <f t="shared" si="7"/>
        <v>11.491458080734851</v>
      </c>
      <c r="E206" s="5">
        <f t="shared" si="7"/>
        <v>11.512075103515389</v>
      </c>
      <c r="F206" s="5">
        <f t="shared" si="6"/>
        <v>1.519130969377791E-2</v>
      </c>
      <c r="G206" s="5">
        <f t="shared" si="6"/>
        <v>3.1827800935744222E-2</v>
      </c>
    </row>
    <row r="207" spans="1:7" x14ac:dyDescent="0.25">
      <c r="A207" s="21">
        <v>45637</v>
      </c>
      <c r="B207" s="5">
        <v>101612.51</v>
      </c>
      <c r="C207" s="5">
        <v>102150</v>
      </c>
      <c r="D207" s="5">
        <f t="shared" si="7"/>
        <v>11.528921936467912</v>
      </c>
      <c r="E207" s="5">
        <f t="shared" si="7"/>
        <v>11.534197600245768</v>
      </c>
      <c r="F207" s="5">
        <f t="shared" ref="F207:G262" si="8">D207-D206</f>
        <v>3.7463855733060214E-2</v>
      </c>
      <c r="G207" s="5">
        <f t="shared" si="8"/>
        <v>2.2122496730379027E-2</v>
      </c>
    </row>
    <row r="208" spans="1:7" x14ac:dyDescent="0.25">
      <c r="A208" s="21">
        <v>45644</v>
      </c>
      <c r="B208" s="5">
        <v>100950.51</v>
      </c>
      <c r="C208" s="5">
        <v>100870</v>
      </c>
      <c r="D208" s="5">
        <f t="shared" si="7"/>
        <v>11.522385675734165</v>
      </c>
      <c r="E208" s="5">
        <f t="shared" si="7"/>
        <v>11.52158783804888</v>
      </c>
      <c r="F208" s="5">
        <f t="shared" si="8"/>
        <v>-6.5362607337462464E-3</v>
      </c>
      <c r="G208" s="5">
        <f t="shared" si="8"/>
        <v>-1.2609762196888141E-2</v>
      </c>
    </row>
    <row r="209" spans="1:7" x14ac:dyDescent="0.25">
      <c r="A209" s="21">
        <v>45651</v>
      </c>
      <c r="B209" s="5">
        <v>98428.04</v>
      </c>
      <c r="C209" s="5">
        <v>99100</v>
      </c>
      <c r="D209" s="5">
        <f t="shared" si="7"/>
        <v>11.497081001796735</v>
      </c>
      <c r="E209" s="5">
        <f t="shared" si="7"/>
        <v>11.50388472031808</v>
      </c>
      <c r="F209" s="5">
        <f t="shared" si="8"/>
        <v>-2.5304673937430522E-2</v>
      </c>
      <c r="G209" s="5">
        <f t="shared" si="8"/>
        <v>-1.7703117730800244E-2</v>
      </c>
    </row>
    <row r="210" spans="1:7" x14ac:dyDescent="0.25">
      <c r="A210" s="21">
        <v>45658</v>
      </c>
      <c r="B210" s="5">
        <v>94771.56</v>
      </c>
      <c r="C210" s="5">
        <v>94120</v>
      </c>
      <c r="D210" s="5">
        <f t="shared" si="7"/>
        <v>11.45922464323411</v>
      </c>
      <c r="E210" s="5">
        <f t="shared" si="7"/>
        <v>11.452325842841299</v>
      </c>
      <c r="F210" s="5">
        <f t="shared" si="8"/>
        <v>-3.7856358562624592E-2</v>
      </c>
      <c r="G210" s="5">
        <f t="shared" si="8"/>
        <v>-5.1558877476781007E-2</v>
      </c>
    </row>
    <row r="211" spans="1:7" x14ac:dyDescent="0.25">
      <c r="A211" s="21">
        <v>45665</v>
      </c>
      <c r="B211" s="5">
        <v>94457.9</v>
      </c>
      <c r="C211" s="5">
        <v>94230</v>
      </c>
      <c r="D211" s="5">
        <f t="shared" si="7"/>
        <v>11.455909511570544</v>
      </c>
      <c r="E211" s="5">
        <f t="shared" si="7"/>
        <v>11.453493881200801</v>
      </c>
      <c r="F211" s="5">
        <f t="shared" si="8"/>
        <v>-3.3151316635660066E-3</v>
      </c>
      <c r="G211" s="5">
        <f t="shared" si="8"/>
        <v>1.1680383595020771E-3</v>
      </c>
    </row>
    <row r="212" spans="1:7" x14ac:dyDescent="0.25">
      <c r="A212" s="21">
        <v>45672</v>
      </c>
      <c r="B212" s="5">
        <v>99678.9</v>
      </c>
      <c r="C212" s="5">
        <v>100060</v>
      </c>
      <c r="D212" s="5">
        <f t="shared" si="7"/>
        <v>11.509709298647389</v>
      </c>
      <c r="E212" s="5">
        <f t="shared" si="7"/>
        <v>11.513525285042196</v>
      </c>
      <c r="F212" s="5">
        <f t="shared" si="8"/>
        <v>5.3799787076844297E-2</v>
      </c>
      <c r="G212" s="5">
        <f t="shared" si="8"/>
        <v>6.0031403841394493E-2</v>
      </c>
    </row>
    <row r="213" spans="1:7" x14ac:dyDescent="0.25">
      <c r="A213" s="21">
        <v>45679</v>
      </c>
      <c r="B213" s="5">
        <v>104071.31</v>
      </c>
      <c r="C213" s="5">
        <v>104430</v>
      </c>
      <c r="D213" s="5">
        <f t="shared" si="7"/>
        <v>11.55283161623405</v>
      </c>
      <c r="E213" s="5">
        <f t="shared" si="7"/>
        <v>11.556272269473594</v>
      </c>
      <c r="F213" s="5">
        <f t="shared" si="8"/>
        <v>4.3122317586661296E-2</v>
      </c>
      <c r="G213" s="5">
        <f t="shared" si="8"/>
        <v>4.2746984431397905E-2</v>
      </c>
    </row>
    <row r="214" spans="1:7" x14ac:dyDescent="0.25">
      <c r="A214" s="21">
        <v>45686</v>
      </c>
      <c r="B214" s="5">
        <v>103751.41</v>
      </c>
      <c r="C214" s="5">
        <v>104315</v>
      </c>
      <c r="D214" s="5">
        <f t="shared" si="7"/>
        <v>11.549753028362042</v>
      </c>
      <c r="E214" s="5">
        <f t="shared" si="7"/>
        <v>11.555170446563974</v>
      </c>
      <c r="F214" s="5">
        <f t="shared" si="8"/>
        <v>-3.0785878720074322E-3</v>
      </c>
      <c r="G214" s="5">
        <f t="shared" si="8"/>
        <v>-1.1018229096197985E-3</v>
      </c>
    </row>
    <row r="215" spans="1:7" x14ac:dyDescent="0.25">
      <c r="A215" s="21">
        <v>45693</v>
      </c>
      <c r="B215" s="5">
        <v>96935.73</v>
      </c>
      <c r="C215" s="5">
        <v>97710</v>
      </c>
      <c r="D215" s="5">
        <f t="shared" si="7"/>
        <v>11.481803460564572</v>
      </c>
      <c r="E215" s="5">
        <f t="shared" si="7"/>
        <v>11.489759186938389</v>
      </c>
      <c r="F215" s="5">
        <f t="shared" si="8"/>
        <v>-6.7949567797469967E-2</v>
      </c>
      <c r="G215" s="5">
        <f t="shared" si="8"/>
        <v>-6.541125962558425E-2</v>
      </c>
    </row>
    <row r="216" spans="1:7" x14ac:dyDescent="0.25">
      <c r="A216" s="21">
        <v>45700</v>
      </c>
      <c r="B216" s="5">
        <v>97663.11</v>
      </c>
      <c r="C216" s="5">
        <v>97395</v>
      </c>
      <c r="D216" s="5">
        <f t="shared" si="7"/>
        <v>11.489279182285749</v>
      </c>
      <c r="E216" s="5">
        <f t="shared" si="7"/>
        <v>11.486530153610698</v>
      </c>
      <c r="F216" s="5">
        <f t="shared" si="8"/>
        <v>7.4757217211764981E-3</v>
      </c>
      <c r="G216" s="5">
        <f t="shared" si="8"/>
        <v>-3.2290333276918659E-3</v>
      </c>
    </row>
    <row r="217" spans="1:7" x14ac:dyDescent="0.25">
      <c r="A217" s="21">
        <v>45707</v>
      </c>
      <c r="B217" s="5">
        <v>96315.42</v>
      </c>
      <c r="C217" s="5">
        <v>96305</v>
      </c>
      <c r="D217" s="5">
        <f t="shared" si="7"/>
        <v>11.475383709578232</v>
      </c>
      <c r="E217" s="5">
        <f t="shared" si="7"/>
        <v>11.475275517518323</v>
      </c>
      <c r="F217" s="5">
        <f t="shared" si="8"/>
        <v>-1.3895472707517342E-2</v>
      </c>
      <c r="G217" s="5">
        <f t="shared" si="8"/>
        <v>-1.1254636092374426E-2</v>
      </c>
    </row>
    <row r="218" spans="1:7" x14ac:dyDescent="0.25">
      <c r="A218" s="21">
        <v>45714</v>
      </c>
      <c r="B218" s="5">
        <v>84470.18</v>
      </c>
      <c r="C218" s="5">
        <v>84285</v>
      </c>
      <c r="D218" s="5">
        <f t="shared" si="7"/>
        <v>11.344153851653331</v>
      </c>
      <c r="E218" s="5">
        <f t="shared" si="7"/>
        <v>11.341959192214409</v>
      </c>
      <c r="F218" s="5">
        <f t="shared" si="8"/>
        <v>-0.13122985792490027</v>
      </c>
      <c r="G218" s="5">
        <f t="shared" si="8"/>
        <v>-0.13331632530391424</v>
      </c>
    </row>
    <row r="219" spans="1:7" x14ac:dyDescent="0.25">
      <c r="A219" s="21">
        <v>45721</v>
      </c>
      <c r="B219" s="5">
        <v>90375.01</v>
      </c>
      <c r="C219" s="5">
        <v>90935</v>
      </c>
      <c r="D219" s="5">
        <f t="shared" si="7"/>
        <v>11.41172307011113</v>
      </c>
      <c r="E219" s="5">
        <f t="shared" si="7"/>
        <v>11.417900244561118</v>
      </c>
      <c r="F219" s="5">
        <f t="shared" si="8"/>
        <v>6.7569218457798286E-2</v>
      </c>
      <c r="G219" s="5">
        <f t="shared" si="8"/>
        <v>7.594105234670856E-2</v>
      </c>
    </row>
    <row r="220" spans="1:7" x14ac:dyDescent="0.25">
      <c r="A220" s="21">
        <v>45728</v>
      </c>
      <c r="B220" s="5">
        <v>83107.009999999995</v>
      </c>
      <c r="C220" s="5">
        <v>83155</v>
      </c>
      <c r="D220" s="5">
        <f t="shared" si="7"/>
        <v>11.327884333483109</v>
      </c>
      <c r="E220" s="5">
        <f t="shared" si="7"/>
        <v>11.32846161510424</v>
      </c>
      <c r="F220" s="5">
        <f t="shared" si="8"/>
        <v>-8.3838736628020882E-2</v>
      </c>
      <c r="G220" s="5">
        <f t="shared" si="8"/>
        <v>-8.9438629456877194E-2</v>
      </c>
    </row>
    <row r="221" spans="1:7" x14ac:dyDescent="0.25">
      <c r="A221" s="21">
        <v>45735</v>
      </c>
      <c r="B221" s="5">
        <v>85377.85</v>
      </c>
      <c r="C221" s="5">
        <v>85635</v>
      </c>
      <c r="D221" s="5">
        <f t="shared" si="7"/>
        <v>11.354841978453548</v>
      </c>
      <c r="E221" s="5">
        <f t="shared" si="7"/>
        <v>11.357849357066469</v>
      </c>
      <c r="F221" s="5">
        <f t="shared" si="8"/>
        <v>2.6957644970439176E-2</v>
      </c>
      <c r="G221" s="5">
        <f t="shared" si="8"/>
        <v>2.9387741962228375E-2</v>
      </c>
    </row>
    <row r="222" spans="1:7" x14ac:dyDescent="0.25">
      <c r="A222" s="21">
        <v>45742</v>
      </c>
      <c r="B222" s="5">
        <v>87286.31</v>
      </c>
      <c r="C222" s="5">
        <v>86525</v>
      </c>
      <c r="D222" s="5">
        <f t="shared" ref="D222:E262" si="9">LN(B222)</f>
        <v>11.376948913952381</v>
      </c>
      <c r="E222" s="5">
        <f t="shared" si="9"/>
        <v>11.368188668503546</v>
      </c>
      <c r="F222" s="5">
        <f t="shared" si="8"/>
        <v>2.2106935498833025E-2</v>
      </c>
      <c r="G222" s="5">
        <f t="shared" si="8"/>
        <v>1.0339311437077114E-2</v>
      </c>
    </row>
    <row r="223" spans="1:7" x14ac:dyDescent="0.25">
      <c r="A223" s="21">
        <v>45749</v>
      </c>
      <c r="B223" s="5">
        <v>85653.54</v>
      </c>
      <c r="C223" s="5">
        <v>87375</v>
      </c>
      <c r="D223" s="5">
        <f t="shared" si="9"/>
        <v>11.358065833896413</v>
      </c>
      <c r="E223" s="5">
        <f t="shared" si="9"/>
        <v>11.377964479536111</v>
      </c>
      <c r="F223" s="5">
        <f t="shared" si="8"/>
        <v>-1.8883080055967838E-2</v>
      </c>
      <c r="G223" s="5">
        <f t="shared" si="8"/>
        <v>9.7758110325649739E-3</v>
      </c>
    </row>
    <row r="224" spans="1:7" x14ac:dyDescent="0.25">
      <c r="A224" s="21">
        <v>45756</v>
      </c>
      <c r="B224" s="5">
        <v>83173.759999999995</v>
      </c>
      <c r="C224" s="5">
        <v>82615</v>
      </c>
      <c r="D224" s="5">
        <f t="shared" si="9"/>
        <v>11.328687192449728</v>
      </c>
      <c r="E224" s="5">
        <f t="shared" si="9"/>
        <v>11.321946541085092</v>
      </c>
      <c r="F224" s="5">
        <f t="shared" si="8"/>
        <v>-2.937864144668545E-2</v>
      </c>
      <c r="G224" s="5">
        <f t="shared" si="8"/>
        <v>-5.6017938451018878E-2</v>
      </c>
    </row>
    <row r="225" spans="1:7" x14ac:dyDescent="0.25">
      <c r="A225" s="21">
        <v>45763</v>
      </c>
      <c r="B225" s="5">
        <v>84308.09</v>
      </c>
      <c r="C225" s="5">
        <v>84535</v>
      </c>
      <c r="D225" s="5">
        <f t="shared" si="9"/>
        <v>11.34223310617072</v>
      </c>
      <c r="E225" s="5">
        <f t="shared" si="9"/>
        <v>11.344920928771067</v>
      </c>
      <c r="F225" s="5">
        <f t="shared" si="8"/>
        <v>1.3545913720992786E-2</v>
      </c>
      <c r="G225" s="5">
        <f t="shared" si="8"/>
        <v>2.2974387685975373E-2</v>
      </c>
    </row>
    <row r="226" spans="1:7" x14ac:dyDescent="0.25">
      <c r="A226" s="21">
        <v>45770</v>
      </c>
      <c r="B226" s="5">
        <v>93686.03</v>
      </c>
      <c r="C226" s="5">
        <v>93605</v>
      </c>
      <c r="D226" s="5">
        <f t="shared" si="9"/>
        <v>11.447704364261551</v>
      </c>
      <c r="E226" s="5">
        <f t="shared" si="9"/>
        <v>11.446839079842368</v>
      </c>
      <c r="F226" s="5">
        <f t="shared" si="8"/>
        <v>0.10547125809083013</v>
      </c>
      <c r="G226" s="5">
        <f t="shared" si="8"/>
        <v>0.10191815107130076</v>
      </c>
    </row>
    <row r="227" spans="1:7" x14ac:dyDescent="0.25">
      <c r="A227" s="21">
        <v>45777</v>
      </c>
      <c r="B227" s="5">
        <v>94581.18</v>
      </c>
      <c r="C227" s="5">
        <v>94695</v>
      </c>
      <c r="D227" s="5">
        <f t="shared" si="9"/>
        <v>11.457213792330656</v>
      </c>
      <c r="E227" s="5">
        <f t="shared" si="9"/>
        <v>11.458416479469836</v>
      </c>
      <c r="F227" s="5">
        <f t="shared" si="8"/>
        <v>9.5094280691050415E-3</v>
      </c>
      <c r="G227" s="5">
        <f t="shared" si="8"/>
        <v>1.1577399627467955E-2</v>
      </c>
    </row>
    <row r="228" spans="1:7" x14ac:dyDescent="0.25">
      <c r="A228" s="21">
        <v>45784</v>
      </c>
      <c r="B228" s="5">
        <v>96794.09</v>
      </c>
      <c r="C228" s="5">
        <v>96655</v>
      </c>
      <c r="D228" s="5">
        <f t="shared" si="9"/>
        <v>11.480341217681806</v>
      </c>
      <c r="E228" s="5">
        <f t="shared" si="9"/>
        <v>11.478903216355793</v>
      </c>
      <c r="F228" s="5">
        <f t="shared" si="8"/>
        <v>2.3127425351150421E-2</v>
      </c>
      <c r="G228" s="5">
        <f t="shared" si="8"/>
        <v>2.0486736885956702E-2</v>
      </c>
    </row>
    <row r="229" spans="1:7" x14ac:dyDescent="0.25">
      <c r="A229" s="21">
        <v>45791</v>
      </c>
      <c r="B229" s="5">
        <v>103573.61</v>
      </c>
      <c r="C229" s="5">
        <v>103620</v>
      </c>
      <c r="D229" s="5">
        <f t="shared" si="9"/>
        <v>11.548037846628661</v>
      </c>
      <c r="E229" s="5">
        <f t="shared" si="9"/>
        <v>11.54848564036878</v>
      </c>
      <c r="F229" s="5">
        <f t="shared" si="8"/>
        <v>6.7696628946855242E-2</v>
      </c>
      <c r="G229" s="5">
        <f t="shared" si="8"/>
        <v>6.9582424012986976E-2</v>
      </c>
    </row>
    <row r="230" spans="1:7" x14ac:dyDescent="0.25">
      <c r="A230" s="21">
        <v>45798</v>
      </c>
      <c r="B230" s="5">
        <v>108282.41</v>
      </c>
      <c r="C230" s="5">
        <v>108960</v>
      </c>
      <c r="D230" s="5">
        <f t="shared" si="9"/>
        <v>11.592498000591744</v>
      </c>
      <c r="E230" s="5">
        <f t="shared" si="9"/>
        <v>11.59873612138334</v>
      </c>
      <c r="F230" s="5">
        <f t="shared" si="8"/>
        <v>4.4460153963083116E-2</v>
      </c>
      <c r="G230" s="5">
        <f t="shared" si="8"/>
        <v>5.0250481014559867E-2</v>
      </c>
    </row>
    <row r="231" spans="1:7" x14ac:dyDescent="0.25">
      <c r="A231" s="21">
        <v>45805</v>
      </c>
      <c r="B231" s="5">
        <v>107335.72</v>
      </c>
      <c r="C231" s="5">
        <v>107005</v>
      </c>
      <c r="D231" s="5">
        <f t="shared" si="9"/>
        <v>11.583716771636064</v>
      </c>
      <c r="E231" s="5">
        <f t="shared" si="9"/>
        <v>11.580630841324242</v>
      </c>
      <c r="F231" s="5">
        <f t="shared" si="8"/>
        <v>-8.7812289556801204E-3</v>
      </c>
      <c r="G231" s="5">
        <f t="shared" si="8"/>
        <v>-1.810528005909795E-2</v>
      </c>
    </row>
    <row r="232" spans="1:7" x14ac:dyDescent="0.25">
      <c r="A232" s="21">
        <v>45812</v>
      </c>
      <c r="B232" s="5">
        <v>104668.31</v>
      </c>
      <c r="C232" s="5">
        <v>105485</v>
      </c>
      <c r="D232" s="5">
        <f t="shared" si="9"/>
        <v>11.55855167673597</v>
      </c>
      <c r="E232" s="5">
        <f t="shared" si="9"/>
        <v>11.566324041694923</v>
      </c>
      <c r="F232" s="5">
        <f t="shared" si="8"/>
        <v>-2.5165094900094331E-2</v>
      </c>
      <c r="G232" s="5">
        <f t="shared" si="8"/>
        <v>-1.4306799629318689E-2</v>
      </c>
    </row>
    <row r="233" spans="1:7" x14ac:dyDescent="0.25">
      <c r="A233" s="21">
        <v>45819</v>
      </c>
      <c r="B233" s="5">
        <v>108933.11</v>
      </c>
      <c r="C233" s="5">
        <v>109160</v>
      </c>
      <c r="D233" s="5">
        <f t="shared" si="9"/>
        <v>11.598489303114174</v>
      </c>
      <c r="E233" s="5">
        <f t="shared" si="9"/>
        <v>11.600569974822275</v>
      </c>
      <c r="F233" s="5">
        <f t="shared" si="8"/>
        <v>3.9937626378204527E-2</v>
      </c>
      <c r="G233" s="5">
        <f t="shared" si="8"/>
        <v>3.4245933127351691E-2</v>
      </c>
    </row>
    <row r="234" spans="1:7" x14ac:dyDescent="0.25">
      <c r="A234" s="21">
        <v>45826</v>
      </c>
      <c r="B234" s="5">
        <v>104836.11</v>
      </c>
      <c r="C234" s="5">
        <v>103965</v>
      </c>
      <c r="D234" s="5">
        <f t="shared" si="9"/>
        <v>11.560153552590249</v>
      </c>
      <c r="E234" s="5">
        <f t="shared" si="9"/>
        <v>11.551809583020194</v>
      </c>
      <c r="F234" s="5">
        <f t="shared" si="8"/>
        <v>-3.8335750523925682E-2</v>
      </c>
      <c r="G234" s="5">
        <f t="shared" si="8"/>
        <v>-4.876039180208025E-2</v>
      </c>
    </row>
    <row r="235" spans="1:7" x14ac:dyDescent="0.25">
      <c r="A235" s="21">
        <v>45833</v>
      </c>
      <c r="B235" s="5">
        <v>107848.31</v>
      </c>
      <c r="C235" s="5">
        <v>107840</v>
      </c>
      <c r="D235" s="5">
        <f t="shared" si="9"/>
        <v>11.588480981782613</v>
      </c>
      <c r="E235" s="5">
        <f t="shared" si="9"/>
        <v>11.588403926146134</v>
      </c>
      <c r="F235" s="5">
        <f t="shared" si="8"/>
        <v>2.8327429192364306E-2</v>
      </c>
      <c r="G235" s="5">
        <f t="shared" si="8"/>
        <v>3.6594343125939233E-2</v>
      </c>
    </row>
    <row r="236" spans="1:7" x14ac:dyDescent="0.25">
      <c r="A236" s="21">
        <v>45840</v>
      </c>
      <c r="B236" s="5">
        <v>109213.41</v>
      </c>
      <c r="C236" s="5">
        <v>110285</v>
      </c>
      <c r="D236" s="5">
        <f t="shared" si="9"/>
        <v>11.601059136951172</v>
      </c>
      <c r="E236" s="5">
        <f t="shared" si="9"/>
        <v>11.610823203246689</v>
      </c>
      <c r="F236" s="5">
        <f t="shared" si="8"/>
        <v>1.2578155168558425E-2</v>
      </c>
      <c r="G236" s="5">
        <f t="shared" si="8"/>
        <v>2.2419277100555135E-2</v>
      </c>
    </row>
    <row r="237" spans="1:7" x14ac:dyDescent="0.25">
      <c r="A237" s="21">
        <v>45847</v>
      </c>
      <c r="B237" s="5">
        <v>110758.81</v>
      </c>
      <c r="C237" s="5">
        <v>112245</v>
      </c>
      <c r="D237" s="5">
        <f t="shared" si="9"/>
        <v>11.615110233276297</v>
      </c>
      <c r="E237" s="5">
        <f t="shared" si="9"/>
        <v>11.628439261182569</v>
      </c>
      <c r="F237" s="5">
        <f t="shared" si="8"/>
        <v>1.4051096325125911E-2</v>
      </c>
      <c r="G237" s="5">
        <f t="shared" si="8"/>
        <v>1.7616057935880391E-2</v>
      </c>
    </row>
    <row r="238" spans="1:7" x14ac:dyDescent="0.25">
      <c r="A238" s="21">
        <v>45854</v>
      </c>
      <c r="B238" s="5">
        <v>119972.91</v>
      </c>
      <c r="C238" s="5">
        <v>119630</v>
      </c>
      <c r="D238" s="5">
        <f t="shared" si="9"/>
        <v>11.695021246278817</v>
      </c>
      <c r="E238" s="5">
        <f t="shared" si="9"/>
        <v>11.69215892516495</v>
      </c>
      <c r="F238" s="5">
        <f t="shared" si="8"/>
        <v>7.9911013002519127E-2</v>
      </c>
      <c r="G238" s="5">
        <f t="shared" si="8"/>
        <v>6.3719663982380936E-2</v>
      </c>
    </row>
    <row r="239" spans="1:7" x14ac:dyDescent="0.25">
      <c r="A239" s="21">
        <v>45861</v>
      </c>
      <c r="B239" s="5">
        <v>117961.72</v>
      </c>
      <c r="C239" s="5">
        <v>118555</v>
      </c>
      <c r="D239" s="5">
        <f t="shared" si="9"/>
        <v>11.678115444036878</v>
      </c>
      <c r="E239" s="5">
        <f t="shared" si="9"/>
        <v>11.683132266901078</v>
      </c>
      <c r="F239" s="5">
        <f t="shared" si="8"/>
        <v>-1.6905802241938162E-2</v>
      </c>
      <c r="G239" s="5">
        <f t="shared" si="8"/>
        <v>-9.0266582638722781E-3</v>
      </c>
    </row>
    <row r="240" spans="1:7" x14ac:dyDescent="0.25">
      <c r="A240" s="21">
        <v>45868</v>
      </c>
      <c r="B240" s="5">
        <v>117143.62</v>
      </c>
      <c r="C240" s="5">
        <v>117620</v>
      </c>
      <c r="D240" s="5">
        <f t="shared" si="9"/>
        <v>11.671155982359041</v>
      </c>
      <c r="E240" s="5">
        <f t="shared" si="9"/>
        <v>11.675214368013947</v>
      </c>
      <c r="F240" s="5">
        <f t="shared" si="8"/>
        <v>-6.959461677837453E-3</v>
      </c>
      <c r="G240" s="5">
        <f t="shared" si="8"/>
        <v>-7.9178988871309031E-3</v>
      </c>
    </row>
    <row r="241" spans="1:7" x14ac:dyDescent="0.25">
      <c r="A241" s="21">
        <v>45875</v>
      </c>
      <c r="B241" s="5">
        <v>115088.22</v>
      </c>
      <c r="C241" s="5">
        <v>115830</v>
      </c>
      <c r="D241" s="5">
        <f t="shared" si="9"/>
        <v>11.653454243686014</v>
      </c>
      <c r="E241" s="5">
        <f t="shared" si="9"/>
        <v>11.659878877926392</v>
      </c>
      <c r="F241" s="5">
        <f t="shared" si="8"/>
        <v>-1.7701738673027378E-2</v>
      </c>
      <c r="G241" s="5">
        <f t="shared" si="8"/>
        <v>-1.5335490087554859E-2</v>
      </c>
    </row>
    <row r="242" spans="1:7" x14ac:dyDescent="0.25">
      <c r="A242" s="21">
        <v>45882</v>
      </c>
      <c r="B242" s="5">
        <v>122951.91</v>
      </c>
      <c r="C242" s="5">
        <v>123430</v>
      </c>
      <c r="D242" s="5">
        <f t="shared" si="9"/>
        <v>11.719548582293907</v>
      </c>
      <c r="E242" s="5">
        <f t="shared" si="9"/>
        <v>11.723429472737974</v>
      </c>
      <c r="F242" s="5">
        <f t="shared" si="8"/>
        <v>6.6094338607893377E-2</v>
      </c>
      <c r="G242" s="5">
        <f t="shared" si="8"/>
        <v>6.3550594811582428E-2</v>
      </c>
    </row>
    <row r="243" spans="1:7" x14ac:dyDescent="0.25">
      <c r="A243" s="21">
        <v>45889</v>
      </c>
      <c r="B243" s="5">
        <v>114387.01</v>
      </c>
      <c r="C243" s="5">
        <v>114465</v>
      </c>
      <c r="D243" s="5">
        <f t="shared" si="9"/>
        <v>11.647342802529616</v>
      </c>
      <c r="E243" s="5">
        <f t="shared" si="9"/>
        <v>11.648024378391844</v>
      </c>
      <c r="F243" s="5">
        <f t="shared" si="8"/>
        <v>-7.2205779764290767E-2</v>
      </c>
      <c r="G243" s="5">
        <f t="shared" si="8"/>
        <v>-7.5405094346130852E-2</v>
      </c>
    </row>
    <row r="244" spans="1:7" x14ac:dyDescent="0.25">
      <c r="A244" s="21">
        <v>45896</v>
      </c>
      <c r="B244" s="5">
        <v>112421.91</v>
      </c>
      <c r="C244" s="5">
        <v>112220</v>
      </c>
      <c r="D244" s="5">
        <f t="shared" si="9"/>
        <v>11.630014126271195</v>
      </c>
      <c r="E244" s="5">
        <f t="shared" si="9"/>
        <v>11.628216509304963</v>
      </c>
      <c r="F244" s="5">
        <f t="shared" si="8"/>
        <v>-1.7328676258420828E-2</v>
      </c>
      <c r="G244" s="5">
        <f t="shared" si="8"/>
        <v>-1.9807869086880814E-2</v>
      </c>
    </row>
    <row r="245" spans="1:7" x14ac:dyDescent="0.25">
      <c r="A245" s="21">
        <v>45903</v>
      </c>
      <c r="B245" s="5">
        <v>112263.72</v>
      </c>
      <c r="C245" s="5">
        <v>112830</v>
      </c>
      <c r="D245" s="5">
        <f t="shared" si="9"/>
        <v>11.62860602530686</v>
      </c>
      <c r="E245" s="5">
        <f t="shared" si="9"/>
        <v>11.633637540132492</v>
      </c>
      <c r="F245" s="5">
        <f t="shared" si="8"/>
        <v>-1.4081009643351905E-3</v>
      </c>
      <c r="G245" s="5">
        <f t="shared" si="8"/>
        <v>5.4210308275290942E-3</v>
      </c>
    </row>
    <row r="246" spans="1:7" x14ac:dyDescent="0.25">
      <c r="A246" s="21">
        <v>45910</v>
      </c>
      <c r="B246" s="5">
        <v>113618.81</v>
      </c>
      <c r="C246" s="5">
        <v>113975</v>
      </c>
      <c r="D246" s="5">
        <f t="shared" si="9"/>
        <v>11.640604352548085</v>
      </c>
      <c r="E246" s="5">
        <f t="shared" si="9"/>
        <v>11.643734405081641</v>
      </c>
      <c r="F246" s="5">
        <f t="shared" si="8"/>
        <v>1.1998327241224516E-2</v>
      </c>
      <c r="G246" s="5">
        <f t="shared" si="8"/>
        <v>1.009686494914952E-2</v>
      </c>
    </row>
    <row r="247" spans="1:7" x14ac:dyDescent="0.25">
      <c r="A247" s="21">
        <v>45917</v>
      </c>
      <c r="B247" s="5">
        <v>115656.22</v>
      </c>
      <c r="C247" s="5">
        <v>115825</v>
      </c>
      <c r="D247" s="5">
        <f t="shared" si="9"/>
        <v>11.658377449179179</v>
      </c>
      <c r="E247" s="5">
        <f t="shared" si="9"/>
        <v>11.659835710284849</v>
      </c>
      <c r="F247" s="5">
        <f t="shared" si="8"/>
        <v>1.7773096631094276E-2</v>
      </c>
      <c r="G247" s="5">
        <f t="shared" si="8"/>
        <v>1.6101305203207517E-2</v>
      </c>
    </row>
    <row r="248" spans="1:7" x14ac:dyDescent="0.25">
      <c r="A248" s="21">
        <v>45924</v>
      </c>
      <c r="B248" s="5">
        <v>113571.01</v>
      </c>
      <c r="C248" s="5">
        <v>113480</v>
      </c>
      <c r="D248" s="5">
        <f t="shared" si="9"/>
        <v>11.640183559039773</v>
      </c>
      <c r="E248" s="5">
        <f t="shared" si="9"/>
        <v>11.639381888922788</v>
      </c>
      <c r="F248" s="5">
        <f t="shared" si="8"/>
        <v>-1.8193890139405866E-2</v>
      </c>
      <c r="G248" s="5">
        <f t="shared" si="8"/>
        <v>-2.0453821362060864E-2</v>
      </c>
    </row>
    <row r="249" spans="1:7" x14ac:dyDescent="0.25">
      <c r="A249" s="21">
        <v>45931</v>
      </c>
      <c r="B249" s="5">
        <v>117592.31</v>
      </c>
      <c r="C249" s="5">
        <v>118285</v>
      </c>
      <c r="D249" s="5">
        <f t="shared" si="9"/>
        <v>11.674978921152107</v>
      </c>
      <c r="E249" s="5">
        <f t="shared" si="9"/>
        <v>11.680852245646507</v>
      </c>
      <c r="F249" s="5">
        <f t="shared" si="8"/>
        <v>3.4795362112333805E-2</v>
      </c>
      <c r="G249" s="5">
        <f t="shared" si="8"/>
        <v>4.1470356723719348E-2</v>
      </c>
    </row>
    <row r="250" spans="1:7" x14ac:dyDescent="0.25">
      <c r="A250" s="21">
        <v>45938</v>
      </c>
      <c r="B250" s="5">
        <v>122903.51</v>
      </c>
      <c r="C250" s="5">
        <v>124070</v>
      </c>
      <c r="D250" s="5">
        <f t="shared" si="9"/>
        <v>11.719154854951022</v>
      </c>
      <c r="E250" s="5">
        <f t="shared" si="9"/>
        <v>11.728601201436918</v>
      </c>
      <c r="F250" s="5">
        <f t="shared" si="8"/>
        <v>4.4175933798914713E-2</v>
      </c>
      <c r="G250" s="5">
        <f t="shared" si="8"/>
        <v>4.7748955790410719E-2</v>
      </c>
    </row>
    <row r="251" spans="1:7" x14ac:dyDescent="0.25">
      <c r="A251" s="21">
        <v>45945</v>
      </c>
      <c r="B251" s="5">
        <v>111177.01</v>
      </c>
      <c r="C251" s="5">
        <v>111550</v>
      </c>
      <c r="D251" s="5">
        <f t="shared" si="9"/>
        <v>11.618878894819691</v>
      </c>
      <c r="E251" s="5">
        <f t="shared" si="9"/>
        <v>11.622228199860679</v>
      </c>
      <c r="F251" s="5">
        <f t="shared" si="8"/>
        <v>-0.10027596013133078</v>
      </c>
      <c r="G251" s="5">
        <f t="shared" si="8"/>
        <v>-0.10637300157623919</v>
      </c>
    </row>
    <row r="252" spans="1:7" x14ac:dyDescent="0.25">
      <c r="A252" s="21">
        <v>45952</v>
      </c>
      <c r="B252" s="5">
        <v>107689.61</v>
      </c>
      <c r="C252" s="5">
        <v>107945</v>
      </c>
      <c r="D252" s="5">
        <f t="shared" si="9"/>
        <v>11.587008386810194</v>
      </c>
      <c r="E252" s="5">
        <f t="shared" si="9"/>
        <v>11.58937711713056</v>
      </c>
      <c r="F252" s="5">
        <f t="shared" si="8"/>
        <v>-3.18705080094972E-2</v>
      </c>
      <c r="G252" s="5">
        <f t="shared" si="8"/>
        <v>-3.2851082730118719E-2</v>
      </c>
    </row>
    <row r="253" spans="1:7" x14ac:dyDescent="0.25">
      <c r="A253" s="21">
        <v>45959</v>
      </c>
      <c r="B253" s="5">
        <v>111451.31</v>
      </c>
      <c r="C253" s="5">
        <v>110630</v>
      </c>
      <c r="D253" s="5">
        <f t="shared" si="9"/>
        <v>11.621343092894778</v>
      </c>
      <c r="E253" s="5">
        <f t="shared" si="9"/>
        <v>11.613946579028957</v>
      </c>
      <c r="F253" s="5">
        <f t="shared" si="8"/>
        <v>3.4334706084583999E-2</v>
      </c>
      <c r="G253" s="5">
        <f t="shared" si="8"/>
        <v>2.4569461898396483E-2</v>
      </c>
    </row>
    <row r="254" spans="1:7" x14ac:dyDescent="0.25">
      <c r="A254" s="21">
        <v>45966</v>
      </c>
      <c r="B254" s="5">
        <v>103659.22</v>
      </c>
      <c r="C254" s="5">
        <v>104240</v>
      </c>
      <c r="D254" s="5">
        <f t="shared" si="9"/>
        <v>11.548864067115735</v>
      </c>
      <c r="E254" s="5">
        <f t="shared" si="9"/>
        <v>11.554451211798726</v>
      </c>
      <c r="F254" s="5">
        <f t="shared" si="8"/>
        <v>-7.2479025779042416E-2</v>
      </c>
      <c r="G254" s="5">
        <f t="shared" si="8"/>
        <v>-5.94953672302303E-2</v>
      </c>
    </row>
    <row r="255" spans="1:7" x14ac:dyDescent="0.25">
      <c r="A255" s="21">
        <v>45973</v>
      </c>
      <c r="B255" s="5">
        <v>101900.31</v>
      </c>
      <c r="C255" s="5">
        <v>101735</v>
      </c>
      <c r="D255" s="5">
        <f t="shared" si="9"/>
        <v>11.531750261404422</v>
      </c>
      <c r="E255" s="5">
        <f t="shared" si="9"/>
        <v>11.530126672290002</v>
      </c>
      <c r="F255" s="5">
        <f t="shared" si="8"/>
        <v>-1.7113805711312935E-2</v>
      </c>
      <c r="G255" s="5">
        <f t="shared" si="8"/>
        <v>-2.432453950872393E-2</v>
      </c>
    </row>
    <row r="256" spans="1:7" x14ac:dyDescent="0.25">
      <c r="A256" s="21">
        <v>45980</v>
      </c>
      <c r="B256" s="5">
        <v>90506.32</v>
      </c>
      <c r="C256" s="5">
        <v>89580</v>
      </c>
      <c r="D256" s="5">
        <f t="shared" si="9"/>
        <v>11.413174961503863</v>
      </c>
      <c r="E256" s="5">
        <f t="shared" si="9"/>
        <v>11.402887359761291</v>
      </c>
      <c r="F256" s="5">
        <f t="shared" si="8"/>
        <v>-0.11857529990055937</v>
      </c>
      <c r="G256" s="5">
        <f t="shared" si="8"/>
        <v>-0.12723931252871168</v>
      </c>
    </row>
    <row r="257" spans="1:7" x14ac:dyDescent="0.25">
      <c r="A257" s="21">
        <v>45987</v>
      </c>
      <c r="B257" s="5">
        <v>90189.32</v>
      </c>
      <c r="C257" s="5">
        <v>89915</v>
      </c>
      <c r="D257" s="5">
        <f t="shared" si="9"/>
        <v>11.409666295492789</v>
      </c>
      <c r="E257" s="5">
        <f t="shared" si="9"/>
        <v>11.406620058599298</v>
      </c>
      <c r="F257" s="5">
        <f t="shared" si="8"/>
        <v>-3.5086660110739132E-3</v>
      </c>
      <c r="G257" s="5">
        <f t="shared" si="8"/>
        <v>3.732698838007309E-3</v>
      </c>
    </row>
    <row r="258" spans="1:7" x14ac:dyDescent="0.25">
      <c r="A258" s="21">
        <v>45994</v>
      </c>
      <c r="B258" s="5">
        <v>93722.09</v>
      </c>
      <c r="C258" s="5">
        <v>93265</v>
      </c>
      <c r="D258" s="5">
        <f t="shared" si="9"/>
        <v>11.448089192842565</v>
      </c>
      <c r="E258" s="5">
        <f t="shared" si="9"/>
        <v>11.443200182478662</v>
      </c>
      <c r="F258" s="5">
        <f t="shared" si="8"/>
        <v>3.8422897349775553E-2</v>
      </c>
      <c r="G258" s="5">
        <f t="shared" si="8"/>
        <v>3.6580123879364379E-2</v>
      </c>
    </row>
    <row r="259" spans="1:7" x14ac:dyDescent="0.25">
      <c r="A259" s="21">
        <v>46001</v>
      </c>
      <c r="B259" s="5">
        <v>92396.1</v>
      </c>
      <c r="C259" s="5">
        <v>92785</v>
      </c>
      <c r="D259" s="5">
        <f t="shared" si="9"/>
        <v>11.433840048946793</v>
      </c>
      <c r="E259" s="5">
        <f t="shared" si="9"/>
        <v>11.438040267778439</v>
      </c>
      <c r="F259" s="5">
        <f t="shared" si="8"/>
        <v>-1.4249143895771255E-2</v>
      </c>
      <c r="G259" s="5">
        <f t="shared" si="8"/>
        <v>-5.1599147002239221E-3</v>
      </c>
    </row>
    <row r="260" spans="1:7" x14ac:dyDescent="0.25">
      <c r="A260" s="21">
        <v>46008</v>
      </c>
      <c r="B260" s="5">
        <v>85948.73</v>
      </c>
      <c r="C260" s="5">
        <v>85965</v>
      </c>
      <c r="D260" s="5">
        <f t="shared" si="9"/>
        <v>11.361506234669251</v>
      </c>
      <c r="E260" s="5">
        <f t="shared" si="9"/>
        <v>11.361695515653947</v>
      </c>
      <c r="F260" s="5">
        <f t="shared" si="8"/>
        <v>-7.2333814277541819E-2</v>
      </c>
      <c r="G260" s="5">
        <f t="shared" si="8"/>
        <v>-7.6344752124491322E-2</v>
      </c>
    </row>
    <row r="261" spans="1:7" x14ac:dyDescent="0.25">
      <c r="A261" s="21">
        <v>46015</v>
      </c>
      <c r="B261" s="5">
        <v>87631.35</v>
      </c>
      <c r="C261" s="5">
        <v>87245</v>
      </c>
      <c r="D261" s="5">
        <f t="shared" si="9"/>
        <v>11.380894089614216</v>
      </c>
      <c r="E261" s="5">
        <f t="shared" si="9"/>
        <v>11.37647553183233</v>
      </c>
      <c r="F261" s="5">
        <f t="shared" si="8"/>
        <v>1.9387854944964644E-2</v>
      </c>
      <c r="G261" s="5">
        <f t="shared" si="8"/>
        <v>1.4780016178383093E-2</v>
      </c>
    </row>
    <row r="262" spans="1:7" x14ac:dyDescent="0.25">
      <c r="A262" s="21">
        <v>46022</v>
      </c>
      <c r="B262" s="5">
        <v>87647.54</v>
      </c>
      <c r="C262" s="5">
        <v>87885</v>
      </c>
      <c r="D262" s="5">
        <f t="shared" si="9"/>
        <v>11.381078823783241</v>
      </c>
      <c r="E262" s="5">
        <f t="shared" si="9"/>
        <v>11.383784420646998</v>
      </c>
      <c r="F262" s="5">
        <f t="shared" si="8"/>
        <v>1.8473416902509143E-4</v>
      </c>
      <c r="G262" s="5">
        <f t="shared" si="8"/>
        <v>7.3088888146681796E-3</v>
      </c>
    </row>
    <row r="263" spans="1:7" x14ac:dyDescent="0.25">
      <c r="A263" s="21"/>
      <c r="B263" s="5"/>
      <c r="C263" s="5"/>
    </row>
    <row r="264" spans="1:7" x14ac:dyDescent="0.25">
      <c r="A264" s="21"/>
      <c r="B264" s="5"/>
      <c r="C264" s="5"/>
    </row>
    <row r="265" spans="1:7" x14ac:dyDescent="0.25">
      <c r="A265" s="21"/>
      <c r="B265" s="5"/>
      <c r="C265" s="5"/>
    </row>
    <row r="266" spans="1:7" x14ac:dyDescent="0.25">
      <c r="A266" s="21"/>
      <c r="B266" s="5"/>
      <c r="C266" s="5"/>
    </row>
    <row r="267" spans="1:7" x14ac:dyDescent="0.25">
      <c r="A267" s="21"/>
      <c r="B267" s="5"/>
      <c r="C267" s="5"/>
    </row>
    <row r="268" spans="1:7" x14ac:dyDescent="0.25">
      <c r="A268" s="21"/>
      <c r="B268" s="5"/>
      <c r="C268" s="5"/>
    </row>
    <row r="269" spans="1:7" x14ac:dyDescent="0.25">
      <c r="A269" s="21"/>
      <c r="B269" s="5"/>
      <c r="C269" s="5"/>
    </row>
    <row r="270" spans="1:7" x14ac:dyDescent="0.25">
      <c r="A270" s="21"/>
      <c r="B270" s="5"/>
      <c r="C270" s="5"/>
    </row>
    <row r="271" spans="1:7" x14ac:dyDescent="0.25">
      <c r="A271" s="21"/>
      <c r="B271" s="5"/>
      <c r="C271" s="5"/>
    </row>
    <row r="272" spans="1:7" x14ac:dyDescent="0.25">
      <c r="A272" s="21"/>
      <c r="B272" s="5"/>
      <c r="C272" s="5"/>
    </row>
    <row r="273" spans="1:3" x14ac:dyDescent="0.25">
      <c r="A273" s="21"/>
      <c r="B273" s="5"/>
      <c r="C273" s="5"/>
    </row>
    <row r="274" spans="1:3" x14ac:dyDescent="0.25">
      <c r="A274" s="21"/>
      <c r="B274" s="5"/>
      <c r="C274" s="5"/>
    </row>
    <row r="275" spans="1:3" x14ac:dyDescent="0.25">
      <c r="A275" s="21"/>
      <c r="B275" s="5"/>
      <c r="C275" s="5"/>
    </row>
    <row r="276" spans="1:3" x14ac:dyDescent="0.25">
      <c r="A276" s="21"/>
      <c r="B276" s="5"/>
      <c r="C276" s="5"/>
    </row>
    <row r="277" spans="1:3" x14ac:dyDescent="0.25">
      <c r="A277" s="21"/>
      <c r="B277" s="5"/>
      <c r="C277" s="5"/>
    </row>
    <row r="278" spans="1:3" x14ac:dyDescent="0.25">
      <c r="A278" s="21"/>
      <c r="B278" s="5"/>
      <c r="C278" s="5"/>
    </row>
    <row r="279" spans="1:3" x14ac:dyDescent="0.25">
      <c r="A279" s="21"/>
      <c r="B279" s="5"/>
      <c r="C279" s="5"/>
    </row>
    <row r="280" spans="1:3" x14ac:dyDescent="0.25">
      <c r="A280" s="21"/>
      <c r="B280" s="5"/>
      <c r="C280" s="5"/>
    </row>
    <row r="281" spans="1:3" x14ac:dyDescent="0.25">
      <c r="A281" s="21"/>
      <c r="B281" s="5"/>
      <c r="C281" s="5"/>
    </row>
    <row r="282" spans="1:3" x14ac:dyDescent="0.25">
      <c r="A282" s="21"/>
      <c r="B282" s="5"/>
      <c r="C282" s="5"/>
    </row>
    <row r="283" spans="1:3" x14ac:dyDescent="0.25">
      <c r="A283" s="21"/>
      <c r="B283" s="5"/>
      <c r="C283" s="5"/>
    </row>
    <row r="284" spans="1:3" x14ac:dyDescent="0.25">
      <c r="A284" s="21"/>
      <c r="B284" s="5"/>
      <c r="C284" s="5"/>
    </row>
    <row r="285" spans="1:3" x14ac:dyDescent="0.25">
      <c r="A285" s="21"/>
      <c r="B285" s="5"/>
      <c r="C285" s="5"/>
    </row>
    <row r="286" spans="1:3" x14ac:dyDescent="0.25">
      <c r="A286" s="21"/>
      <c r="B286" s="5"/>
      <c r="C286" s="5"/>
    </row>
    <row r="287" spans="1:3" x14ac:dyDescent="0.25">
      <c r="A287" s="21"/>
      <c r="B287" s="5"/>
      <c r="C287" s="5"/>
    </row>
    <row r="288" spans="1:3" x14ac:dyDescent="0.25">
      <c r="A288" s="21"/>
      <c r="B288" s="5"/>
      <c r="C288" s="5"/>
    </row>
    <row r="289" spans="1:3" x14ac:dyDescent="0.25">
      <c r="A289" s="21"/>
      <c r="B289" s="5"/>
      <c r="C289" s="5"/>
    </row>
    <row r="290" spans="1:3" x14ac:dyDescent="0.25">
      <c r="A290" s="21"/>
      <c r="B290" s="5"/>
      <c r="C290" s="5"/>
    </row>
    <row r="291" spans="1:3" x14ac:dyDescent="0.25">
      <c r="A291" s="21"/>
      <c r="B291" s="5"/>
      <c r="C291" s="5"/>
    </row>
    <row r="292" spans="1:3" x14ac:dyDescent="0.25">
      <c r="A292" s="21"/>
      <c r="B292" s="5"/>
      <c r="C292" s="5"/>
    </row>
    <row r="293" spans="1:3" x14ac:dyDescent="0.25">
      <c r="A293" s="21"/>
      <c r="B293" s="5"/>
      <c r="C293" s="5"/>
    </row>
    <row r="294" spans="1:3" x14ac:dyDescent="0.25">
      <c r="A294" s="21"/>
      <c r="B294" s="5"/>
      <c r="C294" s="5"/>
    </row>
    <row r="295" spans="1:3" x14ac:dyDescent="0.25">
      <c r="A295" s="21"/>
      <c r="B295" s="5"/>
      <c r="C295" s="5"/>
    </row>
    <row r="296" spans="1:3" x14ac:dyDescent="0.25">
      <c r="A296" s="21"/>
      <c r="B296" s="5"/>
      <c r="C296" s="5"/>
    </row>
    <row r="297" spans="1:3" x14ac:dyDescent="0.25">
      <c r="A297" s="21"/>
      <c r="B297" s="5"/>
      <c r="C297" s="5"/>
    </row>
    <row r="298" spans="1:3" x14ac:dyDescent="0.25">
      <c r="A298" s="21"/>
      <c r="B298" s="5"/>
      <c r="C298" s="5"/>
    </row>
    <row r="299" spans="1:3" x14ac:dyDescent="0.25">
      <c r="A299" s="21"/>
      <c r="B299" s="5"/>
      <c r="C299" s="5"/>
    </row>
    <row r="300" spans="1:3" x14ac:dyDescent="0.25">
      <c r="A300" s="21"/>
      <c r="B300" s="5"/>
      <c r="C300" s="5"/>
    </row>
    <row r="301" spans="1:3" x14ac:dyDescent="0.25">
      <c r="A301" s="21"/>
      <c r="B301" s="5"/>
      <c r="C301" s="5"/>
    </row>
    <row r="302" spans="1:3" x14ac:dyDescent="0.25">
      <c r="A302" s="21"/>
      <c r="B302" s="5"/>
      <c r="C302" s="5"/>
    </row>
    <row r="303" spans="1:3" x14ac:dyDescent="0.25">
      <c r="A303" s="21"/>
      <c r="B303" s="5"/>
      <c r="C303" s="5"/>
    </row>
    <row r="304" spans="1:3" x14ac:dyDescent="0.25">
      <c r="A304" s="21"/>
      <c r="B304" s="5"/>
      <c r="C304" s="5"/>
    </row>
    <row r="305" spans="1:3" x14ac:dyDescent="0.25">
      <c r="A305" s="21"/>
      <c r="B305" s="5"/>
      <c r="C305" s="5"/>
    </row>
    <row r="306" spans="1:3" x14ac:dyDescent="0.25">
      <c r="A306" s="21"/>
      <c r="B306" s="5"/>
      <c r="C306" s="5"/>
    </row>
    <row r="307" spans="1:3" x14ac:dyDescent="0.25">
      <c r="A307" s="21"/>
      <c r="B307" s="5"/>
      <c r="C307" s="5"/>
    </row>
    <row r="308" spans="1:3" x14ac:dyDescent="0.25">
      <c r="A308" s="21"/>
      <c r="B308" s="5"/>
      <c r="C308" s="5"/>
    </row>
    <row r="309" spans="1:3" x14ac:dyDescent="0.25">
      <c r="A309" s="21"/>
      <c r="B309" s="5"/>
      <c r="C309" s="5"/>
    </row>
    <row r="310" spans="1:3" x14ac:dyDescent="0.25">
      <c r="A310" s="21"/>
      <c r="B310" s="5"/>
      <c r="C310" s="5"/>
    </row>
    <row r="311" spans="1:3" x14ac:dyDescent="0.25">
      <c r="A311" s="21"/>
      <c r="B311" s="5"/>
      <c r="C311" s="5"/>
    </row>
    <row r="312" spans="1:3" x14ac:dyDescent="0.25">
      <c r="A312" s="21"/>
      <c r="B312" s="5"/>
      <c r="C312" s="5"/>
    </row>
    <row r="313" spans="1:3" x14ac:dyDescent="0.25">
      <c r="A313" s="21"/>
      <c r="B313" s="5"/>
      <c r="C313" s="5"/>
    </row>
    <row r="314" spans="1:3" x14ac:dyDescent="0.25">
      <c r="A314" s="21"/>
      <c r="B314" s="5"/>
      <c r="C314" s="5"/>
    </row>
    <row r="315" spans="1:3" x14ac:dyDescent="0.25">
      <c r="A315" s="21"/>
      <c r="B315" s="5"/>
      <c r="C315" s="5"/>
    </row>
    <row r="316" spans="1:3" x14ac:dyDescent="0.25">
      <c r="A316" s="21"/>
      <c r="B316" s="5"/>
      <c r="C316" s="5"/>
    </row>
    <row r="317" spans="1:3" x14ac:dyDescent="0.25">
      <c r="A317" s="21"/>
      <c r="B317" s="5"/>
      <c r="C317" s="5"/>
    </row>
    <row r="318" spans="1:3" x14ac:dyDescent="0.25">
      <c r="A318" s="21"/>
      <c r="B318" s="5"/>
      <c r="C318" s="5"/>
    </row>
    <row r="319" spans="1:3" x14ac:dyDescent="0.25">
      <c r="A319" s="21"/>
      <c r="B319" s="5"/>
      <c r="C319" s="5"/>
    </row>
    <row r="320" spans="1:3" x14ac:dyDescent="0.25">
      <c r="A320" s="21"/>
      <c r="B320" s="5"/>
      <c r="C320" s="5"/>
    </row>
    <row r="321" spans="1:3" x14ac:dyDescent="0.25">
      <c r="A321" s="21"/>
      <c r="B321" s="5"/>
      <c r="C321" s="5"/>
    </row>
    <row r="322" spans="1:3" x14ac:dyDescent="0.25">
      <c r="A322" s="21"/>
      <c r="B322" s="5"/>
      <c r="C322" s="5"/>
    </row>
    <row r="323" spans="1:3" x14ac:dyDescent="0.25">
      <c r="A323" s="21"/>
      <c r="B323" s="5"/>
      <c r="C323" s="5"/>
    </row>
    <row r="324" spans="1:3" x14ac:dyDescent="0.25">
      <c r="A324" s="21"/>
      <c r="B324" s="5"/>
      <c r="C324" s="5"/>
    </row>
    <row r="325" spans="1:3" x14ac:dyDescent="0.25">
      <c r="A325" s="21"/>
      <c r="B325" s="5"/>
      <c r="C325" s="5"/>
    </row>
    <row r="326" spans="1:3" x14ac:dyDescent="0.25">
      <c r="A326" s="21"/>
      <c r="B326" s="5"/>
      <c r="C326" s="5"/>
    </row>
    <row r="327" spans="1:3" x14ac:dyDescent="0.25">
      <c r="A327" s="21"/>
      <c r="B327" s="5"/>
      <c r="C327" s="5"/>
    </row>
    <row r="328" spans="1:3" x14ac:dyDescent="0.25">
      <c r="A328" s="21"/>
      <c r="B328" s="5"/>
      <c r="C328" s="5"/>
    </row>
    <row r="329" spans="1:3" x14ac:dyDescent="0.25">
      <c r="A329" s="21"/>
      <c r="B329" s="5"/>
      <c r="C329" s="5"/>
    </row>
    <row r="330" spans="1:3" x14ac:dyDescent="0.25">
      <c r="A330" s="21"/>
      <c r="B330" s="5"/>
      <c r="C330" s="5"/>
    </row>
    <row r="331" spans="1:3" x14ac:dyDescent="0.25">
      <c r="A331" s="21"/>
      <c r="B331" s="5"/>
      <c r="C331" s="5"/>
    </row>
    <row r="332" spans="1:3" x14ac:dyDescent="0.25">
      <c r="A332" s="21"/>
      <c r="B332" s="5"/>
      <c r="C332" s="5"/>
    </row>
    <row r="333" spans="1:3" x14ac:dyDescent="0.25">
      <c r="A333" s="21"/>
      <c r="B333" s="5"/>
      <c r="C333" s="5"/>
    </row>
    <row r="334" spans="1:3" x14ac:dyDescent="0.25">
      <c r="A334" s="21"/>
      <c r="B334" s="5"/>
      <c r="C334" s="5"/>
    </row>
    <row r="335" spans="1:3" x14ac:dyDescent="0.25">
      <c r="A335" s="21"/>
      <c r="B335" s="5"/>
      <c r="C335" s="5"/>
    </row>
    <row r="336" spans="1:3" x14ac:dyDescent="0.25">
      <c r="A336" s="21"/>
      <c r="B336" s="5"/>
      <c r="C336" s="5"/>
    </row>
    <row r="337" spans="1:3" x14ac:dyDescent="0.25">
      <c r="A337" s="21"/>
      <c r="B337" s="5"/>
      <c r="C337" s="5"/>
    </row>
    <row r="338" spans="1:3" x14ac:dyDescent="0.25">
      <c r="A338" s="21"/>
      <c r="B338" s="5"/>
      <c r="C338" s="5"/>
    </row>
    <row r="339" spans="1:3" x14ac:dyDescent="0.25">
      <c r="A339" s="21"/>
      <c r="B339" s="5"/>
      <c r="C339" s="5"/>
    </row>
    <row r="340" spans="1:3" x14ac:dyDescent="0.25">
      <c r="A340" s="21"/>
      <c r="B340" s="5"/>
      <c r="C340" s="5"/>
    </row>
    <row r="341" spans="1:3" x14ac:dyDescent="0.25">
      <c r="A341" s="21"/>
      <c r="B341" s="5"/>
      <c r="C341" s="5"/>
    </row>
    <row r="342" spans="1:3" x14ac:dyDescent="0.25">
      <c r="A342" s="21"/>
      <c r="B342" s="5"/>
      <c r="C342" s="5"/>
    </row>
    <row r="343" spans="1:3" x14ac:dyDescent="0.25">
      <c r="A343" s="21"/>
      <c r="B343" s="5"/>
      <c r="C343" s="5"/>
    </row>
    <row r="344" spans="1:3" x14ac:dyDescent="0.25">
      <c r="A344" s="21"/>
      <c r="B344" s="5"/>
      <c r="C344" s="5"/>
    </row>
    <row r="345" spans="1:3" x14ac:dyDescent="0.25">
      <c r="A345" s="21"/>
      <c r="B345" s="5"/>
      <c r="C345" s="5"/>
    </row>
    <row r="346" spans="1:3" x14ac:dyDescent="0.25">
      <c r="A346" s="21"/>
      <c r="B346" s="5"/>
      <c r="C346" s="5"/>
    </row>
    <row r="347" spans="1:3" x14ac:dyDescent="0.25">
      <c r="A347" s="21"/>
      <c r="B347" s="5"/>
      <c r="C347" s="5"/>
    </row>
    <row r="348" spans="1:3" x14ac:dyDescent="0.25">
      <c r="A348" s="21"/>
      <c r="B348" s="5"/>
      <c r="C348" s="5"/>
    </row>
    <row r="349" spans="1:3" x14ac:dyDescent="0.25">
      <c r="A349" s="21"/>
      <c r="B349" s="5"/>
      <c r="C349" s="5"/>
    </row>
    <row r="350" spans="1:3" x14ac:dyDescent="0.25">
      <c r="A350" s="21"/>
      <c r="B350" s="5"/>
      <c r="C350" s="5"/>
    </row>
    <row r="351" spans="1:3" x14ac:dyDescent="0.25">
      <c r="A351" s="21"/>
      <c r="B351" s="5"/>
      <c r="C351" s="5"/>
    </row>
    <row r="352" spans="1:3" x14ac:dyDescent="0.25">
      <c r="A352" s="21"/>
      <c r="B352" s="5"/>
      <c r="C352" s="5"/>
    </row>
    <row r="353" spans="1:3" x14ac:dyDescent="0.25">
      <c r="A353" s="21"/>
      <c r="B353" s="5"/>
      <c r="C353" s="5"/>
    </row>
    <row r="354" spans="1:3" x14ac:dyDescent="0.25">
      <c r="A354" s="21"/>
      <c r="B354" s="5"/>
      <c r="C354" s="5"/>
    </row>
    <row r="355" spans="1:3" x14ac:dyDescent="0.25">
      <c r="A355" s="21"/>
      <c r="B355" s="5"/>
      <c r="C355" s="5"/>
    </row>
    <row r="356" spans="1:3" x14ac:dyDescent="0.25">
      <c r="A356" s="21"/>
      <c r="B356" s="5"/>
      <c r="C356" s="5"/>
    </row>
    <row r="357" spans="1:3" x14ac:dyDescent="0.25">
      <c r="A357" s="21"/>
      <c r="B357" s="5"/>
      <c r="C357" s="5"/>
    </row>
    <row r="358" spans="1:3" x14ac:dyDescent="0.25">
      <c r="A358" s="21"/>
      <c r="B358" s="5"/>
      <c r="C358" s="5"/>
    </row>
    <row r="359" spans="1:3" x14ac:dyDescent="0.25">
      <c r="A359" s="21"/>
      <c r="B359" s="5"/>
      <c r="C359" s="5"/>
    </row>
    <row r="360" spans="1:3" x14ac:dyDescent="0.25">
      <c r="A360" s="21"/>
      <c r="B360" s="5"/>
      <c r="C360" s="5"/>
    </row>
    <row r="361" spans="1:3" x14ac:dyDescent="0.25">
      <c r="A361" s="21"/>
      <c r="B361" s="5"/>
      <c r="C361" s="5"/>
    </row>
    <row r="362" spans="1:3" x14ac:dyDescent="0.25">
      <c r="A362" s="21"/>
      <c r="B362" s="5"/>
      <c r="C362" s="5"/>
    </row>
    <row r="363" spans="1:3" x14ac:dyDescent="0.25">
      <c r="A363" s="21"/>
      <c r="B363" s="5"/>
      <c r="C363" s="5"/>
    </row>
    <row r="364" spans="1:3" x14ac:dyDescent="0.25">
      <c r="A364" s="21"/>
      <c r="B364" s="5"/>
      <c r="C364" s="5"/>
    </row>
    <row r="365" spans="1:3" x14ac:dyDescent="0.25">
      <c r="A365" s="21"/>
      <c r="B365" s="5"/>
      <c r="C365" s="5"/>
    </row>
    <row r="366" spans="1:3" x14ac:dyDescent="0.25">
      <c r="A366" s="21"/>
      <c r="B366" s="5"/>
      <c r="C366" s="5"/>
    </row>
    <row r="367" spans="1:3" x14ac:dyDescent="0.25">
      <c r="A367" s="21"/>
      <c r="B367" s="5"/>
      <c r="C367" s="5"/>
    </row>
    <row r="368" spans="1:3" x14ac:dyDescent="0.25">
      <c r="A368" s="21"/>
      <c r="B368" s="5"/>
      <c r="C368" s="5"/>
    </row>
    <row r="369" spans="1:3" x14ac:dyDescent="0.25">
      <c r="A369" s="21"/>
      <c r="B369" s="5"/>
      <c r="C369" s="5"/>
    </row>
    <row r="370" spans="1:3" x14ac:dyDescent="0.25">
      <c r="A370" s="21"/>
      <c r="B370" s="5"/>
      <c r="C370" s="5"/>
    </row>
    <row r="371" spans="1:3" x14ac:dyDescent="0.25">
      <c r="A371" s="21"/>
      <c r="B371" s="5"/>
      <c r="C371" s="5"/>
    </row>
    <row r="372" spans="1:3" x14ac:dyDescent="0.25">
      <c r="A372" s="21"/>
      <c r="B372" s="5"/>
      <c r="C372" s="5"/>
    </row>
    <row r="373" spans="1:3" x14ac:dyDescent="0.25">
      <c r="A373" s="21"/>
      <c r="B373" s="5"/>
      <c r="C373" s="5"/>
    </row>
    <row r="374" spans="1:3" x14ac:dyDescent="0.25">
      <c r="A374" s="21"/>
      <c r="B374" s="5"/>
      <c r="C374" s="5"/>
    </row>
    <row r="375" spans="1:3" x14ac:dyDescent="0.25">
      <c r="A375" s="21"/>
      <c r="B375" s="5"/>
      <c r="C375" s="5"/>
    </row>
    <row r="376" spans="1:3" x14ac:dyDescent="0.25">
      <c r="A376" s="21"/>
      <c r="B376" s="5"/>
      <c r="C376" s="5"/>
    </row>
    <row r="377" spans="1:3" x14ac:dyDescent="0.25">
      <c r="A377" s="21"/>
      <c r="B377" s="5"/>
      <c r="C377" s="5"/>
    </row>
    <row r="378" spans="1:3" x14ac:dyDescent="0.25">
      <c r="A378" s="21"/>
      <c r="B378" s="5"/>
      <c r="C378" s="5"/>
    </row>
    <row r="379" spans="1:3" x14ac:dyDescent="0.25">
      <c r="A379" s="21"/>
      <c r="B379" s="5"/>
      <c r="C379" s="5"/>
    </row>
    <row r="380" spans="1:3" x14ac:dyDescent="0.25">
      <c r="A380" s="21"/>
      <c r="B380" s="5"/>
      <c r="C380" s="5"/>
    </row>
    <row r="381" spans="1:3" x14ac:dyDescent="0.25">
      <c r="A381" s="21"/>
      <c r="B381" s="5"/>
      <c r="C381" s="5"/>
    </row>
    <row r="382" spans="1:3" x14ac:dyDescent="0.25">
      <c r="A382" s="21"/>
      <c r="B382" s="5"/>
      <c r="C382" s="5"/>
    </row>
    <row r="383" spans="1:3" x14ac:dyDescent="0.25">
      <c r="A383" s="21"/>
      <c r="B383" s="5"/>
      <c r="C383" s="5"/>
    </row>
    <row r="384" spans="1:3" x14ac:dyDescent="0.25">
      <c r="A384" s="21"/>
      <c r="B384" s="5"/>
      <c r="C384" s="5"/>
    </row>
    <row r="385" spans="1:3" x14ac:dyDescent="0.25">
      <c r="A385" s="21"/>
      <c r="B385" s="5"/>
      <c r="C385" s="5"/>
    </row>
    <row r="386" spans="1:3" x14ac:dyDescent="0.25">
      <c r="A386" s="21"/>
      <c r="B386" s="5"/>
      <c r="C386" s="5"/>
    </row>
    <row r="387" spans="1:3" x14ac:dyDescent="0.25">
      <c r="A387" s="21"/>
      <c r="B387" s="5"/>
      <c r="C387" s="5"/>
    </row>
    <row r="388" spans="1:3" x14ac:dyDescent="0.25">
      <c r="A388" s="21"/>
      <c r="B388" s="5"/>
      <c r="C388" s="5"/>
    </row>
    <row r="389" spans="1:3" x14ac:dyDescent="0.25">
      <c r="A389" s="21"/>
      <c r="B389" s="5"/>
      <c r="C389" s="5"/>
    </row>
    <row r="390" spans="1:3" x14ac:dyDescent="0.25">
      <c r="A390" s="21"/>
      <c r="B390" s="5"/>
      <c r="C390" s="5"/>
    </row>
    <row r="391" spans="1:3" x14ac:dyDescent="0.25">
      <c r="A391" s="21"/>
      <c r="B391" s="5"/>
      <c r="C391" s="5"/>
    </row>
    <row r="392" spans="1:3" x14ac:dyDescent="0.25">
      <c r="A392" s="21"/>
      <c r="B392" s="5"/>
      <c r="C392" s="5"/>
    </row>
    <row r="393" spans="1:3" x14ac:dyDescent="0.25">
      <c r="A393" s="21"/>
      <c r="B393" s="5"/>
      <c r="C393" s="5"/>
    </row>
    <row r="394" spans="1:3" x14ac:dyDescent="0.25">
      <c r="A394" s="21"/>
      <c r="B394" s="5"/>
      <c r="C394" s="5"/>
    </row>
    <row r="395" spans="1:3" x14ac:dyDescent="0.25">
      <c r="A395" s="21"/>
      <c r="B395" s="5"/>
      <c r="C395" s="5"/>
    </row>
    <row r="396" spans="1:3" x14ac:dyDescent="0.25">
      <c r="A396" s="21"/>
      <c r="B396" s="5"/>
      <c r="C396" s="5"/>
    </row>
    <row r="397" spans="1:3" x14ac:dyDescent="0.25">
      <c r="A397" s="21"/>
      <c r="B397" s="5"/>
      <c r="C397" s="5"/>
    </row>
    <row r="398" spans="1:3" x14ac:dyDescent="0.25">
      <c r="A398" s="21"/>
      <c r="B398" s="5"/>
      <c r="C398" s="5"/>
    </row>
    <row r="399" spans="1:3" x14ac:dyDescent="0.25">
      <c r="A399" s="21"/>
      <c r="B399" s="5"/>
      <c r="C399" s="5"/>
    </row>
    <row r="400" spans="1:3" x14ac:dyDescent="0.25">
      <c r="A400" s="21"/>
      <c r="B400" s="5"/>
      <c r="C400" s="5"/>
    </row>
    <row r="401" spans="1:3" x14ac:dyDescent="0.25">
      <c r="A401" s="21"/>
      <c r="B401" s="5"/>
      <c r="C401" s="5"/>
    </row>
    <row r="402" spans="1:3" x14ac:dyDescent="0.25">
      <c r="A402" s="21"/>
      <c r="B402" s="5"/>
      <c r="C402" s="5"/>
    </row>
    <row r="403" spans="1:3" x14ac:dyDescent="0.25">
      <c r="A403" s="21"/>
      <c r="B403" s="5"/>
      <c r="C403" s="5"/>
    </row>
    <row r="404" spans="1:3" x14ac:dyDescent="0.25">
      <c r="A404" s="21"/>
      <c r="B404" s="5"/>
      <c r="C404" s="5"/>
    </row>
    <row r="405" spans="1:3" x14ac:dyDescent="0.25">
      <c r="A405" s="21"/>
      <c r="B405" s="5"/>
      <c r="C405" s="5"/>
    </row>
    <row r="406" spans="1:3" x14ac:dyDescent="0.25">
      <c r="A406" s="21"/>
      <c r="B406" s="5"/>
      <c r="C406" s="5"/>
    </row>
    <row r="407" spans="1:3" x14ac:dyDescent="0.25">
      <c r="A407" s="21"/>
      <c r="B407" s="5"/>
      <c r="C407" s="5"/>
    </row>
    <row r="408" spans="1:3" x14ac:dyDescent="0.25">
      <c r="A408" s="21"/>
      <c r="B408" s="5"/>
      <c r="C408" s="5"/>
    </row>
    <row r="409" spans="1:3" x14ac:dyDescent="0.25">
      <c r="A409" s="21"/>
      <c r="B409" s="5"/>
      <c r="C409" s="5"/>
    </row>
    <row r="410" spans="1:3" x14ac:dyDescent="0.25">
      <c r="A410" s="21"/>
      <c r="B410" s="5"/>
      <c r="C410" s="5"/>
    </row>
    <row r="411" spans="1:3" x14ac:dyDescent="0.25">
      <c r="A411" s="21"/>
      <c r="B411" s="5"/>
      <c r="C411" s="5"/>
    </row>
    <row r="412" spans="1:3" x14ac:dyDescent="0.25">
      <c r="A412" s="21"/>
      <c r="B412" s="5"/>
      <c r="C412" s="5"/>
    </row>
    <row r="413" spans="1:3" x14ac:dyDescent="0.25">
      <c r="A413" s="21"/>
      <c r="B413" s="5"/>
      <c r="C413" s="5"/>
    </row>
    <row r="414" spans="1:3" x14ac:dyDescent="0.25">
      <c r="A414" s="21"/>
      <c r="B414" s="5"/>
      <c r="C414" s="5"/>
    </row>
    <row r="415" spans="1:3" x14ac:dyDescent="0.25">
      <c r="A415" s="21"/>
      <c r="B415" s="5"/>
      <c r="C415" s="5"/>
    </row>
    <row r="416" spans="1:3" x14ac:dyDescent="0.25">
      <c r="A416" s="21"/>
      <c r="B416" s="5"/>
      <c r="C416" s="5"/>
    </row>
    <row r="417" spans="1:3" x14ac:dyDescent="0.25">
      <c r="A417" s="21"/>
      <c r="B417" s="5"/>
      <c r="C417" s="5"/>
    </row>
    <row r="418" spans="1:3" x14ac:dyDescent="0.25">
      <c r="A418" s="21"/>
      <c r="B418" s="5"/>
      <c r="C418" s="5"/>
    </row>
    <row r="419" spans="1:3" x14ac:dyDescent="0.25">
      <c r="A419" s="21"/>
      <c r="B419" s="5"/>
      <c r="C419" s="5"/>
    </row>
    <row r="420" spans="1:3" x14ac:dyDescent="0.25">
      <c r="A420" s="21"/>
      <c r="B420" s="5"/>
      <c r="C420" s="5"/>
    </row>
    <row r="421" spans="1:3" x14ac:dyDescent="0.25">
      <c r="A421" s="21"/>
      <c r="B421" s="5"/>
      <c r="C421" s="5"/>
    </row>
    <row r="422" spans="1:3" x14ac:dyDescent="0.25">
      <c r="A422" s="21"/>
      <c r="B422" s="5"/>
      <c r="C422" s="5"/>
    </row>
    <row r="423" spans="1:3" x14ac:dyDescent="0.25">
      <c r="A423" s="21"/>
      <c r="B423" s="5"/>
      <c r="C423" s="5"/>
    </row>
    <row r="424" spans="1:3" x14ac:dyDescent="0.25">
      <c r="A424" s="21"/>
      <c r="B424" s="5"/>
      <c r="C424" s="5"/>
    </row>
    <row r="425" spans="1:3" x14ac:dyDescent="0.25">
      <c r="A425" s="21"/>
      <c r="B425" s="5"/>
      <c r="C425" s="5"/>
    </row>
    <row r="426" spans="1:3" x14ac:dyDescent="0.25">
      <c r="A426" s="21"/>
      <c r="B426" s="5"/>
      <c r="C426" s="5"/>
    </row>
    <row r="427" spans="1:3" x14ac:dyDescent="0.25">
      <c r="A427" s="21"/>
      <c r="B427" s="5"/>
      <c r="C427" s="5"/>
    </row>
    <row r="428" spans="1:3" x14ac:dyDescent="0.25">
      <c r="A428" s="21"/>
      <c r="B428" s="5"/>
      <c r="C428" s="5"/>
    </row>
    <row r="429" spans="1:3" x14ac:dyDescent="0.25">
      <c r="A429" s="21"/>
      <c r="B429" s="5"/>
      <c r="C429" s="5"/>
    </row>
    <row r="430" spans="1:3" x14ac:dyDescent="0.25">
      <c r="A430" s="21"/>
      <c r="B430" s="5"/>
      <c r="C430" s="5"/>
    </row>
    <row r="431" spans="1:3" x14ac:dyDescent="0.25">
      <c r="A431" s="21"/>
      <c r="B431" s="5"/>
      <c r="C431" s="5"/>
    </row>
    <row r="432" spans="1:3" x14ac:dyDescent="0.25">
      <c r="A432" s="21"/>
      <c r="B432" s="5"/>
      <c r="C432" s="5"/>
    </row>
    <row r="433" spans="1:3" x14ac:dyDescent="0.25">
      <c r="A433" s="21"/>
      <c r="B433" s="5"/>
      <c r="C433" s="5"/>
    </row>
    <row r="434" spans="1:3" x14ac:dyDescent="0.25">
      <c r="A434" s="21"/>
      <c r="B434" s="5"/>
      <c r="C434" s="5"/>
    </row>
    <row r="435" spans="1:3" x14ac:dyDescent="0.25">
      <c r="A435" s="21"/>
      <c r="B435" s="5"/>
      <c r="C435" s="5"/>
    </row>
    <row r="436" spans="1:3" x14ac:dyDescent="0.25">
      <c r="A436" s="21"/>
      <c r="B436" s="5"/>
      <c r="C436" s="5"/>
    </row>
    <row r="437" spans="1:3" x14ac:dyDescent="0.25">
      <c r="A437" s="21"/>
      <c r="B437" s="5"/>
      <c r="C437" s="5"/>
    </row>
    <row r="438" spans="1:3" x14ac:dyDescent="0.25">
      <c r="A438" s="21"/>
      <c r="B438" s="5"/>
      <c r="C438" s="5"/>
    </row>
    <row r="439" spans="1:3" x14ac:dyDescent="0.25">
      <c r="A439" s="21"/>
      <c r="B439" s="5"/>
      <c r="C439" s="5"/>
    </row>
    <row r="440" spans="1:3" x14ac:dyDescent="0.25">
      <c r="A440" s="21"/>
      <c r="B440" s="5"/>
      <c r="C440" s="5"/>
    </row>
    <row r="441" spans="1:3" x14ac:dyDescent="0.25">
      <c r="A441" s="21"/>
      <c r="B441" s="5"/>
      <c r="C441" s="5"/>
    </row>
    <row r="442" spans="1:3" x14ac:dyDescent="0.25">
      <c r="A442" s="21"/>
      <c r="B442" s="5"/>
      <c r="C442" s="5"/>
    </row>
    <row r="443" spans="1:3" x14ac:dyDescent="0.25">
      <c r="A443" s="21"/>
      <c r="B443" s="5"/>
      <c r="C443" s="5"/>
    </row>
    <row r="444" spans="1:3" x14ac:dyDescent="0.25">
      <c r="A444" s="21"/>
      <c r="B444" s="5"/>
      <c r="C444" s="5"/>
    </row>
    <row r="445" spans="1:3" x14ac:dyDescent="0.25">
      <c r="A445" s="21"/>
      <c r="B445" s="5"/>
      <c r="C445" s="5"/>
    </row>
    <row r="446" spans="1:3" x14ac:dyDescent="0.25">
      <c r="A446" s="21"/>
      <c r="B446" s="5"/>
      <c r="C446" s="5"/>
    </row>
    <row r="447" spans="1:3" x14ac:dyDescent="0.25">
      <c r="A447" s="21"/>
      <c r="B447" s="5"/>
      <c r="C447" s="5"/>
    </row>
    <row r="448" spans="1:3" x14ac:dyDescent="0.25">
      <c r="A448" s="21"/>
      <c r="B448" s="5"/>
      <c r="C448" s="5"/>
    </row>
    <row r="449" spans="1:3" x14ac:dyDescent="0.25">
      <c r="A449" s="21"/>
      <c r="B449" s="5"/>
      <c r="C449" s="5"/>
    </row>
    <row r="450" spans="1:3" x14ac:dyDescent="0.25">
      <c r="A450" s="21"/>
      <c r="B450" s="5"/>
      <c r="C450" s="5"/>
    </row>
    <row r="451" spans="1:3" x14ac:dyDescent="0.25">
      <c r="A451" s="21"/>
      <c r="B451" s="5"/>
      <c r="C451" s="5"/>
    </row>
    <row r="452" spans="1:3" x14ac:dyDescent="0.25">
      <c r="A452" s="21"/>
      <c r="B452" s="5"/>
      <c r="C452" s="5"/>
    </row>
    <row r="453" spans="1:3" x14ac:dyDescent="0.25">
      <c r="A453" s="21"/>
      <c r="B453" s="5"/>
      <c r="C453" s="5"/>
    </row>
    <row r="454" spans="1:3" x14ac:dyDescent="0.25">
      <c r="A454" s="21"/>
      <c r="B454" s="5"/>
      <c r="C454" s="5"/>
    </row>
    <row r="455" spans="1:3" x14ac:dyDescent="0.25">
      <c r="A455" s="21"/>
      <c r="B455" s="5"/>
      <c r="C455" s="5"/>
    </row>
    <row r="456" spans="1:3" x14ac:dyDescent="0.25">
      <c r="A456" s="21"/>
      <c r="B456" s="5"/>
      <c r="C456" s="5"/>
    </row>
    <row r="457" spans="1:3" x14ac:dyDescent="0.25">
      <c r="A457" s="21"/>
      <c r="B457" s="5"/>
      <c r="C457" s="5"/>
    </row>
    <row r="458" spans="1:3" x14ac:dyDescent="0.25">
      <c r="A458" s="21"/>
      <c r="B458" s="5"/>
      <c r="C458" s="5"/>
    </row>
    <row r="459" spans="1:3" x14ac:dyDescent="0.25">
      <c r="A459" s="21"/>
      <c r="B459" s="5"/>
      <c r="C459" s="5"/>
    </row>
    <row r="460" spans="1:3" x14ac:dyDescent="0.25">
      <c r="A460" s="21"/>
      <c r="B460" s="5"/>
      <c r="C460" s="5"/>
    </row>
    <row r="461" spans="1:3" x14ac:dyDescent="0.25">
      <c r="A461" s="21"/>
      <c r="B461" s="5"/>
      <c r="C461" s="5"/>
    </row>
    <row r="462" spans="1:3" x14ac:dyDescent="0.25">
      <c r="A462" s="21"/>
      <c r="B462" s="5"/>
      <c r="C462" s="5"/>
    </row>
    <row r="463" spans="1:3" x14ac:dyDescent="0.25">
      <c r="A463" s="21"/>
      <c r="B463" s="5"/>
      <c r="C463" s="5"/>
    </row>
    <row r="464" spans="1:3" x14ac:dyDescent="0.25">
      <c r="A464" s="21"/>
      <c r="B464" s="5"/>
      <c r="C464" s="5"/>
    </row>
    <row r="465" spans="1:3" x14ac:dyDescent="0.25">
      <c r="A465" s="21"/>
      <c r="B465" s="5"/>
      <c r="C465" s="5"/>
    </row>
    <row r="466" spans="1:3" x14ac:dyDescent="0.25">
      <c r="A466" s="21"/>
      <c r="B466" s="5"/>
      <c r="C466" s="5"/>
    </row>
    <row r="467" spans="1:3" x14ac:dyDescent="0.25">
      <c r="A467" s="21"/>
      <c r="B467" s="5"/>
      <c r="C467" s="5"/>
    </row>
    <row r="468" spans="1:3" x14ac:dyDescent="0.25">
      <c r="A468" s="21"/>
      <c r="B468" s="5"/>
      <c r="C468" s="5"/>
    </row>
    <row r="469" spans="1:3" x14ac:dyDescent="0.25">
      <c r="A469" s="21"/>
      <c r="B469" s="5"/>
      <c r="C469" s="5"/>
    </row>
    <row r="470" spans="1:3" x14ac:dyDescent="0.25">
      <c r="A470" s="21"/>
      <c r="B470" s="5"/>
      <c r="C470" s="5"/>
    </row>
    <row r="471" spans="1:3" x14ac:dyDescent="0.25">
      <c r="A471" s="21"/>
      <c r="B471" s="5"/>
      <c r="C471" s="5"/>
    </row>
    <row r="472" spans="1:3" x14ac:dyDescent="0.25">
      <c r="A472" s="21"/>
      <c r="B472" s="5"/>
      <c r="C472" s="5"/>
    </row>
    <row r="473" spans="1:3" x14ac:dyDescent="0.25">
      <c r="A473" s="21"/>
      <c r="B473" s="5"/>
      <c r="C473" s="5"/>
    </row>
    <row r="474" spans="1:3" x14ac:dyDescent="0.25">
      <c r="A474" s="21"/>
      <c r="B474" s="5"/>
      <c r="C474" s="5"/>
    </row>
    <row r="475" spans="1:3" x14ac:dyDescent="0.25">
      <c r="A475" s="21"/>
      <c r="B475" s="5"/>
      <c r="C475" s="5"/>
    </row>
    <row r="476" spans="1:3" x14ac:dyDescent="0.25">
      <c r="A476" s="21"/>
      <c r="B476" s="5"/>
      <c r="C476" s="5"/>
    </row>
    <row r="477" spans="1:3" x14ac:dyDescent="0.25">
      <c r="A477" s="21"/>
      <c r="B477" s="5"/>
      <c r="C477" s="5"/>
    </row>
    <row r="478" spans="1:3" x14ac:dyDescent="0.25">
      <c r="A478" s="21"/>
      <c r="B478" s="5"/>
      <c r="C478" s="5"/>
    </row>
    <row r="479" spans="1:3" x14ac:dyDescent="0.25">
      <c r="A479" s="21"/>
      <c r="B479" s="5"/>
      <c r="C479" s="5"/>
    </row>
    <row r="480" spans="1:3" x14ac:dyDescent="0.25">
      <c r="A480" s="21"/>
      <c r="B480" s="5"/>
      <c r="C480" s="5"/>
    </row>
    <row r="481" spans="1:3" x14ac:dyDescent="0.25">
      <c r="A481" s="21"/>
      <c r="B481" s="5"/>
      <c r="C481" s="5"/>
    </row>
    <row r="482" spans="1:3" x14ac:dyDescent="0.25">
      <c r="A482" s="21"/>
      <c r="B482" s="5"/>
      <c r="C482" s="5"/>
    </row>
    <row r="483" spans="1:3" x14ac:dyDescent="0.25">
      <c r="A483" s="21"/>
      <c r="B483" s="5"/>
      <c r="C483" s="5"/>
    </row>
    <row r="484" spans="1:3" x14ac:dyDescent="0.25">
      <c r="A484" s="21"/>
      <c r="B484" s="5"/>
      <c r="C484" s="5"/>
    </row>
    <row r="485" spans="1:3" x14ac:dyDescent="0.25">
      <c r="A485" s="21"/>
      <c r="B485" s="5"/>
      <c r="C485" s="5"/>
    </row>
    <row r="486" spans="1:3" x14ac:dyDescent="0.25">
      <c r="A486" s="21"/>
      <c r="B486" s="5"/>
      <c r="C486" s="5"/>
    </row>
    <row r="487" spans="1:3" x14ac:dyDescent="0.25">
      <c r="A487" s="21"/>
      <c r="B487" s="5"/>
      <c r="C487" s="5"/>
    </row>
    <row r="488" spans="1:3" x14ac:dyDescent="0.25">
      <c r="A488" s="21"/>
      <c r="B488" s="5"/>
      <c r="C488" s="5"/>
    </row>
    <row r="489" spans="1:3" x14ac:dyDescent="0.25">
      <c r="A489" s="21"/>
      <c r="B489" s="5"/>
      <c r="C489" s="5"/>
    </row>
    <row r="490" spans="1:3" x14ac:dyDescent="0.25">
      <c r="A490" s="21"/>
      <c r="B490" s="5"/>
      <c r="C490" s="5"/>
    </row>
    <row r="491" spans="1:3" x14ac:dyDescent="0.25">
      <c r="A491" s="21"/>
      <c r="B491" s="5"/>
      <c r="C491" s="5"/>
    </row>
    <row r="492" spans="1:3" x14ac:dyDescent="0.25">
      <c r="A492" s="21"/>
      <c r="B492" s="5"/>
      <c r="C492" s="5"/>
    </row>
    <row r="493" spans="1:3" x14ac:dyDescent="0.25">
      <c r="A493" s="21"/>
      <c r="B493" s="5"/>
      <c r="C493" s="5"/>
    </row>
    <row r="494" spans="1:3" x14ac:dyDescent="0.25">
      <c r="A494" s="21"/>
      <c r="B494" s="5"/>
      <c r="C494" s="5"/>
    </row>
    <row r="495" spans="1:3" x14ac:dyDescent="0.25">
      <c r="A495" s="21"/>
      <c r="B495" s="5"/>
      <c r="C495" s="5"/>
    </row>
    <row r="496" spans="1:3" x14ac:dyDescent="0.25">
      <c r="A496" s="21"/>
      <c r="B496" s="5"/>
      <c r="C496" s="5"/>
    </row>
    <row r="497" spans="1:3" x14ac:dyDescent="0.25">
      <c r="A497" s="21"/>
      <c r="B497" s="5"/>
      <c r="C497" s="5"/>
    </row>
    <row r="498" spans="1:3" x14ac:dyDescent="0.25">
      <c r="A498" s="21"/>
      <c r="B498" s="5"/>
      <c r="C498" s="5"/>
    </row>
    <row r="499" spans="1:3" x14ac:dyDescent="0.25">
      <c r="A499" s="21"/>
      <c r="B499" s="5"/>
      <c r="C499" s="5"/>
    </row>
    <row r="500" spans="1:3" x14ac:dyDescent="0.25">
      <c r="A500" s="21"/>
      <c r="B500" s="5"/>
      <c r="C500" s="5"/>
    </row>
    <row r="501" spans="1:3" x14ac:dyDescent="0.25">
      <c r="A501" s="21"/>
      <c r="B501" s="5"/>
      <c r="C501" s="5"/>
    </row>
    <row r="502" spans="1:3" x14ac:dyDescent="0.25">
      <c r="A502" s="21"/>
      <c r="B502" s="5"/>
      <c r="C502" s="5"/>
    </row>
    <row r="503" spans="1:3" x14ac:dyDescent="0.25">
      <c r="A503" s="21"/>
      <c r="B503" s="5"/>
      <c r="C503" s="5"/>
    </row>
    <row r="504" spans="1:3" x14ac:dyDescent="0.25">
      <c r="A504" s="21"/>
      <c r="B504" s="5"/>
      <c r="C504" s="5"/>
    </row>
    <row r="505" spans="1:3" x14ac:dyDescent="0.25">
      <c r="A505" s="21"/>
      <c r="B505" s="5"/>
      <c r="C505" s="5"/>
    </row>
    <row r="506" spans="1:3" x14ac:dyDescent="0.25">
      <c r="A506" s="21"/>
      <c r="B506" s="5"/>
      <c r="C506" s="5"/>
    </row>
    <row r="507" spans="1:3" x14ac:dyDescent="0.25">
      <c r="A507" s="21"/>
      <c r="B507" s="5"/>
      <c r="C507" s="5"/>
    </row>
    <row r="508" spans="1:3" x14ac:dyDescent="0.25">
      <c r="A508" s="21"/>
      <c r="B508" s="5"/>
      <c r="C508" s="5"/>
    </row>
    <row r="509" spans="1:3" x14ac:dyDescent="0.25">
      <c r="A509" s="21"/>
      <c r="B509" s="5"/>
      <c r="C509" s="5"/>
    </row>
    <row r="510" spans="1:3" x14ac:dyDescent="0.25">
      <c r="A510" s="21"/>
      <c r="B510" s="5"/>
      <c r="C510" s="5"/>
    </row>
    <row r="511" spans="1:3" x14ac:dyDescent="0.25">
      <c r="A511" s="21"/>
      <c r="B511" s="5"/>
      <c r="C511" s="5"/>
    </row>
    <row r="512" spans="1:3" x14ac:dyDescent="0.25">
      <c r="A512" s="21"/>
      <c r="B512" s="5"/>
      <c r="C512" s="5"/>
    </row>
    <row r="513" spans="1:3" x14ac:dyDescent="0.25">
      <c r="A513" s="21"/>
      <c r="B513" s="5"/>
      <c r="C513" s="5"/>
    </row>
    <row r="514" spans="1:3" x14ac:dyDescent="0.25">
      <c r="A514" s="21"/>
      <c r="B514" s="5"/>
      <c r="C514" s="5"/>
    </row>
    <row r="515" spans="1:3" x14ac:dyDescent="0.25">
      <c r="A515" s="21"/>
      <c r="B515" s="5"/>
      <c r="C515" s="5"/>
    </row>
    <row r="516" spans="1:3" x14ac:dyDescent="0.25">
      <c r="A516" s="21"/>
      <c r="B516" s="5"/>
      <c r="C516" s="5"/>
    </row>
    <row r="517" spans="1:3" x14ac:dyDescent="0.25">
      <c r="A517" s="21"/>
      <c r="B517" s="5"/>
      <c r="C517" s="5"/>
    </row>
    <row r="518" spans="1:3" x14ac:dyDescent="0.25">
      <c r="A518" s="21"/>
      <c r="B518" s="5"/>
      <c r="C518" s="5"/>
    </row>
    <row r="519" spans="1:3" x14ac:dyDescent="0.25">
      <c r="A519" s="21"/>
      <c r="B519" s="5"/>
      <c r="C519" s="5"/>
    </row>
    <row r="520" spans="1:3" x14ac:dyDescent="0.25">
      <c r="A520" s="21"/>
      <c r="B520" s="5"/>
      <c r="C520" s="5"/>
    </row>
    <row r="521" spans="1:3" x14ac:dyDescent="0.25">
      <c r="A521" s="21"/>
      <c r="B521" s="5"/>
      <c r="C521" s="5"/>
    </row>
    <row r="522" spans="1:3" x14ac:dyDescent="0.25">
      <c r="A522" s="21"/>
      <c r="B522" s="5"/>
      <c r="C522" s="5"/>
    </row>
    <row r="523" spans="1:3" x14ac:dyDescent="0.25">
      <c r="A523" s="21"/>
      <c r="B523" s="5"/>
      <c r="C523" s="5"/>
    </row>
    <row r="524" spans="1:3" x14ac:dyDescent="0.25">
      <c r="A524" s="21"/>
      <c r="B524" s="5"/>
      <c r="C524" s="5"/>
    </row>
    <row r="525" spans="1:3" x14ac:dyDescent="0.25">
      <c r="A525" s="21"/>
      <c r="B525" s="5"/>
      <c r="C525" s="5"/>
    </row>
    <row r="526" spans="1:3" x14ac:dyDescent="0.25">
      <c r="A526" s="21"/>
      <c r="B526" s="5"/>
      <c r="C526" s="5"/>
    </row>
    <row r="527" spans="1:3" x14ac:dyDescent="0.25">
      <c r="A527" s="21"/>
      <c r="B527" s="5"/>
      <c r="C527" s="5"/>
    </row>
    <row r="528" spans="1:3" x14ac:dyDescent="0.25">
      <c r="A528" s="21"/>
      <c r="B528" s="5"/>
      <c r="C528" s="5"/>
    </row>
    <row r="529" spans="1:3" x14ac:dyDescent="0.25">
      <c r="A529" s="21"/>
      <c r="B529" s="5"/>
      <c r="C529" s="5"/>
    </row>
    <row r="530" spans="1:3" x14ac:dyDescent="0.25">
      <c r="A530" s="21"/>
      <c r="B530" s="5"/>
      <c r="C530" s="5"/>
    </row>
    <row r="531" spans="1:3" x14ac:dyDescent="0.25">
      <c r="A531" s="21"/>
      <c r="B531" s="5"/>
      <c r="C531" s="5"/>
    </row>
    <row r="532" spans="1:3" x14ac:dyDescent="0.25">
      <c r="A532" s="21"/>
      <c r="B532" s="5"/>
      <c r="C532" s="5"/>
    </row>
    <row r="533" spans="1:3" x14ac:dyDescent="0.25">
      <c r="A533" s="21"/>
      <c r="B533" s="5"/>
      <c r="C533" s="5"/>
    </row>
    <row r="534" spans="1:3" x14ac:dyDescent="0.25">
      <c r="A534" s="21"/>
      <c r="B534" s="5"/>
      <c r="C534" s="5"/>
    </row>
    <row r="535" spans="1:3" x14ac:dyDescent="0.25">
      <c r="A535" s="21"/>
      <c r="B535" s="5"/>
      <c r="C535" s="5"/>
    </row>
    <row r="536" spans="1:3" x14ac:dyDescent="0.25">
      <c r="A536" s="21"/>
      <c r="B536" s="5"/>
      <c r="C536" s="5"/>
    </row>
    <row r="537" spans="1:3" x14ac:dyDescent="0.25">
      <c r="A537" s="21"/>
      <c r="B537" s="5"/>
      <c r="C537" s="5"/>
    </row>
    <row r="538" spans="1:3" x14ac:dyDescent="0.25">
      <c r="A538" s="21"/>
      <c r="B538" s="5"/>
      <c r="C538" s="5"/>
    </row>
    <row r="539" spans="1:3" x14ac:dyDescent="0.25">
      <c r="A539" s="21"/>
      <c r="B539" s="5"/>
      <c r="C539" s="5"/>
    </row>
    <row r="540" spans="1:3" x14ac:dyDescent="0.25">
      <c r="A540" s="21"/>
      <c r="B540" s="5"/>
      <c r="C540" s="5"/>
    </row>
    <row r="541" spans="1:3" x14ac:dyDescent="0.25">
      <c r="A541" s="21"/>
      <c r="B541" s="5"/>
      <c r="C541" s="5"/>
    </row>
    <row r="542" spans="1:3" x14ac:dyDescent="0.25">
      <c r="A542" s="21"/>
      <c r="B542" s="5"/>
      <c r="C542" s="5"/>
    </row>
    <row r="543" spans="1:3" x14ac:dyDescent="0.25">
      <c r="A543" s="21"/>
      <c r="B543" s="5"/>
      <c r="C543" s="5"/>
    </row>
    <row r="544" spans="1:3" x14ac:dyDescent="0.25">
      <c r="A544" s="21"/>
      <c r="B544" s="5"/>
      <c r="C544" s="5"/>
    </row>
    <row r="545" spans="1:3" x14ac:dyDescent="0.25">
      <c r="A545" s="21"/>
      <c r="B545" s="5"/>
      <c r="C545" s="5"/>
    </row>
    <row r="546" spans="1:3" x14ac:dyDescent="0.25">
      <c r="A546" s="21"/>
      <c r="B546" s="5"/>
      <c r="C546" s="5"/>
    </row>
    <row r="547" spans="1:3" x14ac:dyDescent="0.25">
      <c r="A547" s="21"/>
      <c r="B547" s="5"/>
      <c r="C547" s="5"/>
    </row>
    <row r="548" spans="1:3" x14ac:dyDescent="0.25">
      <c r="A548" s="21"/>
      <c r="B548" s="5"/>
      <c r="C548" s="5"/>
    </row>
    <row r="549" spans="1:3" x14ac:dyDescent="0.25">
      <c r="A549" s="21"/>
      <c r="B549" s="5"/>
      <c r="C549" s="5"/>
    </row>
    <row r="550" spans="1:3" x14ac:dyDescent="0.25">
      <c r="A550" s="21"/>
      <c r="B550" s="5"/>
      <c r="C550" s="5"/>
    </row>
    <row r="551" spans="1:3" x14ac:dyDescent="0.25">
      <c r="A551" s="21"/>
      <c r="B551" s="5"/>
      <c r="C551" s="5"/>
    </row>
    <row r="552" spans="1:3" x14ac:dyDescent="0.25">
      <c r="A552" s="21"/>
      <c r="B552" s="5"/>
      <c r="C552" s="5"/>
    </row>
    <row r="553" spans="1:3" x14ac:dyDescent="0.25">
      <c r="A553" s="21"/>
      <c r="B553" s="5"/>
      <c r="C553" s="5"/>
    </row>
    <row r="554" spans="1:3" x14ac:dyDescent="0.25">
      <c r="A554" s="21"/>
      <c r="B554" s="5"/>
      <c r="C554" s="5"/>
    </row>
    <row r="555" spans="1:3" x14ac:dyDescent="0.25">
      <c r="A555" s="21"/>
      <c r="B555" s="5"/>
      <c r="C555" s="5"/>
    </row>
    <row r="556" spans="1:3" x14ac:dyDescent="0.25">
      <c r="A556" s="21"/>
      <c r="B556" s="5"/>
      <c r="C556" s="5"/>
    </row>
    <row r="557" spans="1:3" x14ac:dyDescent="0.25">
      <c r="A557" s="21"/>
      <c r="B557" s="5"/>
      <c r="C557" s="5"/>
    </row>
    <row r="558" spans="1:3" x14ac:dyDescent="0.25">
      <c r="A558" s="21"/>
      <c r="B558" s="5"/>
      <c r="C558" s="5"/>
    </row>
    <row r="559" spans="1:3" x14ac:dyDescent="0.25">
      <c r="A559" s="21"/>
      <c r="B559" s="5"/>
      <c r="C559" s="5"/>
    </row>
    <row r="560" spans="1:3" x14ac:dyDescent="0.25">
      <c r="A560" s="21"/>
      <c r="B560" s="5"/>
      <c r="C560" s="5"/>
    </row>
    <row r="561" spans="1:3" x14ac:dyDescent="0.25">
      <c r="A561" s="21"/>
      <c r="B561" s="5"/>
      <c r="C561" s="5"/>
    </row>
    <row r="562" spans="1:3" x14ac:dyDescent="0.25">
      <c r="A562" s="21"/>
      <c r="B562" s="5"/>
      <c r="C562" s="5"/>
    </row>
    <row r="563" spans="1:3" x14ac:dyDescent="0.25">
      <c r="A563" s="21"/>
      <c r="B563" s="5"/>
      <c r="C563" s="5"/>
    </row>
    <row r="564" spans="1:3" x14ac:dyDescent="0.25">
      <c r="A564" s="21"/>
      <c r="B564" s="5"/>
      <c r="C564" s="5"/>
    </row>
    <row r="565" spans="1:3" x14ac:dyDescent="0.25">
      <c r="A565" s="21"/>
      <c r="B565" s="5"/>
      <c r="C565" s="5"/>
    </row>
    <row r="566" spans="1:3" x14ac:dyDescent="0.25">
      <c r="A566" s="21"/>
      <c r="B566" s="5"/>
      <c r="C566" s="5"/>
    </row>
    <row r="567" spans="1:3" x14ac:dyDescent="0.25">
      <c r="A567" s="21"/>
      <c r="B567" s="5"/>
      <c r="C567" s="5"/>
    </row>
    <row r="568" spans="1:3" x14ac:dyDescent="0.25">
      <c r="A568" s="21"/>
      <c r="B568" s="5"/>
      <c r="C568" s="5"/>
    </row>
    <row r="569" spans="1:3" x14ac:dyDescent="0.25">
      <c r="A569" s="21"/>
      <c r="B569" s="5"/>
      <c r="C569" s="5"/>
    </row>
    <row r="570" spans="1:3" x14ac:dyDescent="0.25">
      <c r="A570" s="21"/>
      <c r="B570" s="5"/>
      <c r="C570" s="5"/>
    </row>
    <row r="571" spans="1:3" x14ac:dyDescent="0.25">
      <c r="A571" s="21"/>
      <c r="B571" s="5"/>
      <c r="C571" s="5"/>
    </row>
    <row r="572" spans="1:3" x14ac:dyDescent="0.25">
      <c r="A572" s="21"/>
      <c r="B572" s="5"/>
      <c r="C572" s="5"/>
    </row>
    <row r="573" spans="1:3" x14ac:dyDescent="0.25">
      <c r="A573" s="21"/>
      <c r="B573" s="5"/>
      <c r="C573" s="5"/>
    </row>
    <row r="574" spans="1:3" x14ac:dyDescent="0.25">
      <c r="A574" s="21"/>
      <c r="B574" s="5"/>
      <c r="C574" s="5"/>
    </row>
    <row r="575" spans="1:3" x14ac:dyDescent="0.25">
      <c r="A575" s="21"/>
      <c r="B575" s="5"/>
      <c r="C575" s="5"/>
    </row>
    <row r="576" spans="1:3" x14ac:dyDescent="0.25">
      <c r="A576" s="21"/>
      <c r="B576" s="5"/>
      <c r="C576" s="5"/>
    </row>
    <row r="577" spans="1:3" x14ac:dyDescent="0.25">
      <c r="A577" s="21"/>
      <c r="B577" s="5"/>
      <c r="C577" s="5"/>
    </row>
    <row r="578" spans="1:3" x14ac:dyDescent="0.25">
      <c r="A578" s="21"/>
      <c r="B578" s="5"/>
      <c r="C578" s="5"/>
    </row>
    <row r="579" spans="1:3" x14ac:dyDescent="0.25">
      <c r="A579" s="21"/>
      <c r="B579" s="5"/>
      <c r="C579" s="5"/>
    </row>
    <row r="580" spans="1:3" x14ac:dyDescent="0.25">
      <c r="A580" s="21"/>
      <c r="B580" s="5"/>
      <c r="C580" s="5"/>
    </row>
    <row r="581" spans="1:3" x14ac:dyDescent="0.25">
      <c r="A581" s="21"/>
      <c r="B581" s="5"/>
      <c r="C581" s="5"/>
    </row>
    <row r="582" spans="1:3" x14ac:dyDescent="0.25">
      <c r="A582" s="21"/>
      <c r="B582" s="5"/>
      <c r="C582" s="5"/>
    </row>
    <row r="583" spans="1:3" x14ac:dyDescent="0.25">
      <c r="A583" s="21"/>
      <c r="B583" s="5"/>
      <c r="C583" s="5"/>
    </row>
    <row r="584" spans="1:3" x14ac:dyDescent="0.25">
      <c r="A584" s="21"/>
      <c r="B584" s="5"/>
      <c r="C584" s="5"/>
    </row>
    <row r="585" spans="1:3" x14ac:dyDescent="0.25">
      <c r="A585" s="21"/>
      <c r="B585" s="5"/>
      <c r="C585" s="5"/>
    </row>
    <row r="586" spans="1:3" x14ac:dyDescent="0.25">
      <c r="A586" s="21"/>
      <c r="B586" s="5"/>
      <c r="C586" s="5"/>
    </row>
    <row r="587" spans="1:3" x14ac:dyDescent="0.25">
      <c r="A587" s="21"/>
      <c r="B587" s="5"/>
      <c r="C587" s="5"/>
    </row>
    <row r="588" spans="1:3" x14ac:dyDescent="0.25">
      <c r="A588" s="21"/>
      <c r="B588" s="5"/>
      <c r="C588" s="5"/>
    </row>
    <row r="589" spans="1:3" x14ac:dyDescent="0.25">
      <c r="A589" s="21"/>
      <c r="B589" s="5"/>
      <c r="C589" s="5"/>
    </row>
    <row r="590" spans="1:3" x14ac:dyDescent="0.25">
      <c r="A590" s="21"/>
      <c r="B590" s="5"/>
      <c r="C590" s="5"/>
    </row>
    <row r="591" spans="1:3" x14ac:dyDescent="0.25">
      <c r="A591" s="21"/>
      <c r="B591" s="5"/>
      <c r="C591" s="5"/>
    </row>
    <row r="592" spans="1:3" x14ac:dyDescent="0.25">
      <c r="A592" s="21"/>
      <c r="B592" s="5"/>
      <c r="C592" s="5"/>
    </row>
    <row r="593" spans="1:3" x14ac:dyDescent="0.25">
      <c r="A593" s="21"/>
      <c r="B593" s="5"/>
      <c r="C593" s="5"/>
    </row>
    <row r="594" spans="1:3" x14ac:dyDescent="0.25">
      <c r="A594" s="21"/>
      <c r="B594" s="5"/>
      <c r="C594" s="5"/>
    </row>
    <row r="595" spans="1:3" x14ac:dyDescent="0.25">
      <c r="A595" s="21"/>
      <c r="B595" s="5"/>
      <c r="C595" s="5"/>
    </row>
    <row r="596" spans="1:3" x14ac:dyDescent="0.25">
      <c r="A596" s="21"/>
      <c r="B596" s="5"/>
      <c r="C596" s="5"/>
    </row>
    <row r="597" spans="1:3" x14ac:dyDescent="0.25">
      <c r="A597" s="21"/>
      <c r="B597" s="5"/>
      <c r="C597" s="5"/>
    </row>
    <row r="598" spans="1:3" x14ac:dyDescent="0.25">
      <c r="A598" s="21"/>
      <c r="B598" s="5"/>
      <c r="C598" s="5"/>
    </row>
    <row r="599" spans="1:3" x14ac:dyDescent="0.25">
      <c r="A599" s="21"/>
      <c r="B599" s="5"/>
      <c r="C599" s="5"/>
    </row>
    <row r="600" spans="1:3" x14ac:dyDescent="0.25">
      <c r="A600" s="21"/>
      <c r="B600" s="5"/>
      <c r="C600" s="5"/>
    </row>
    <row r="601" spans="1:3" x14ac:dyDescent="0.25">
      <c r="A601" s="21"/>
      <c r="B601" s="5"/>
      <c r="C601" s="5"/>
    </row>
    <row r="602" spans="1:3" x14ac:dyDescent="0.25">
      <c r="A602" s="21"/>
      <c r="B602" s="5"/>
      <c r="C602" s="5"/>
    </row>
    <row r="603" spans="1:3" x14ac:dyDescent="0.25">
      <c r="A603" s="21"/>
      <c r="B603" s="5"/>
      <c r="C603" s="5"/>
    </row>
    <row r="604" spans="1:3" x14ac:dyDescent="0.25">
      <c r="A604" s="21"/>
      <c r="B604" s="5"/>
      <c r="C604" s="5"/>
    </row>
    <row r="605" spans="1:3" x14ac:dyDescent="0.25">
      <c r="A605" s="21"/>
      <c r="B605" s="5"/>
      <c r="C605" s="5"/>
    </row>
    <row r="606" spans="1:3" x14ac:dyDescent="0.25">
      <c r="A606" s="21"/>
      <c r="B606" s="5"/>
      <c r="C606" s="5"/>
    </row>
    <row r="607" spans="1:3" x14ac:dyDescent="0.25">
      <c r="A607" s="21"/>
      <c r="B607" s="5"/>
      <c r="C607" s="5"/>
    </row>
    <row r="608" spans="1:3" x14ac:dyDescent="0.25">
      <c r="A608" s="21"/>
      <c r="B608" s="5"/>
      <c r="C608" s="5"/>
    </row>
    <row r="609" spans="1:3" x14ac:dyDescent="0.25">
      <c r="A609" s="21"/>
      <c r="B609" s="5"/>
      <c r="C609" s="5"/>
    </row>
    <row r="610" spans="1:3" x14ac:dyDescent="0.25">
      <c r="A610" s="21"/>
      <c r="B610" s="5"/>
      <c r="C610" s="5"/>
    </row>
    <row r="611" spans="1:3" x14ac:dyDescent="0.25">
      <c r="A611" s="21"/>
      <c r="B611" s="5"/>
      <c r="C611" s="5"/>
    </row>
    <row r="612" spans="1:3" x14ac:dyDescent="0.25">
      <c r="A612" s="21"/>
      <c r="B612" s="5"/>
      <c r="C612" s="5"/>
    </row>
    <row r="613" spans="1:3" x14ac:dyDescent="0.25">
      <c r="A613" s="21"/>
      <c r="B613" s="5"/>
      <c r="C613" s="5"/>
    </row>
    <row r="614" spans="1:3" x14ac:dyDescent="0.25">
      <c r="A614" s="21"/>
      <c r="B614" s="5"/>
      <c r="C614" s="5"/>
    </row>
    <row r="615" spans="1:3" x14ac:dyDescent="0.25">
      <c r="A615" s="21"/>
      <c r="B615" s="5"/>
      <c r="C615" s="5"/>
    </row>
    <row r="616" spans="1:3" x14ac:dyDescent="0.25">
      <c r="A616" s="21"/>
      <c r="B616" s="5"/>
      <c r="C616" s="5"/>
    </row>
    <row r="617" spans="1:3" x14ac:dyDescent="0.25">
      <c r="A617" s="21"/>
      <c r="B617" s="5"/>
      <c r="C617" s="5"/>
    </row>
    <row r="618" spans="1:3" x14ac:dyDescent="0.25">
      <c r="A618" s="21"/>
      <c r="B618" s="5"/>
      <c r="C618" s="5"/>
    </row>
    <row r="619" spans="1:3" x14ac:dyDescent="0.25">
      <c r="A619" s="21"/>
      <c r="B619" s="5"/>
      <c r="C619" s="5"/>
    </row>
    <row r="620" spans="1:3" x14ac:dyDescent="0.25">
      <c r="A620" s="21"/>
      <c r="B620" s="5"/>
      <c r="C620" s="5"/>
    </row>
    <row r="621" spans="1:3" x14ac:dyDescent="0.25">
      <c r="A621" s="21"/>
      <c r="B621" s="5"/>
      <c r="C621" s="5"/>
    </row>
    <row r="622" spans="1:3" x14ac:dyDescent="0.25">
      <c r="A622" s="21"/>
      <c r="B622" s="5"/>
      <c r="C622" s="5"/>
    </row>
    <row r="623" spans="1:3" x14ac:dyDescent="0.25">
      <c r="A623" s="21"/>
      <c r="B623" s="5"/>
      <c r="C623" s="5"/>
    </row>
    <row r="624" spans="1:3" x14ac:dyDescent="0.25">
      <c r="A624" s="21"/>
      <c r="B624" s="5"/>
      <c r="C624" s="5"/>
    </row>
    <row r="625" spans="1:3" x14ac:dyDescent="0.25">
      <c r="A625" s="21"/>
      <c r="B625" s="5"/>
      <c r="C625" s="5"/>
    </row>
    <row r="626" spans="1:3" x14ac:dyDescent="0.25">
      <c r="A626" s="21"/>
      <c r="B626" s="5"/>
      <c r="C626" s="5"/>
    </row>
    <row r="627" spans="1:3" x14ac:dyDescent="0.25">
      <c r="A627" s="21"/>
      <c r="B627" s="5"/>
      <c r="C627" s="5"/>
    </row>
    <row r="628" spans="1:3" x14ac:dyDescent="0.25">
      <c r="A628" s="21"/>
      <c r="B628" s="5"/>
      <c r="C628" s="5"/>
    </row>
    <row r="629" spans="1:3" x14ac:dyDescent="0.25">
      <c r="A629" s="21"/>
      <c r="B629" s="5"/>
      <c r="C629" s="5"/>
    </row>
    <row r="630" spans="1:3" x14ac:dyDescent="0.25">
      <c r="A630" s="21"/>
      <c r="B630" s="5"/>
      <c r="C630" s="5"/>
    </row>
    <row r="631" spans="1:3" x14ac:dyDescent="0.25">
      <c r="A631" s="21"/>
      <c r="B631" s="5"/>
      <c r="C631" s="5"/>
    </row>
    <row r="632" spans="1:3" x14ac:dyDescent="0.25">
      <c r="A632" s="21"/>
      <c r="B632" s="5"/>
      <c r="C632" s="5"/>
    </row>
    <row r="633" spans="1:3" x14ac:dyDescent="0.25">
      <c r="A633" s="21"/>
      <c r="B633" s="5"/>
      <c r="C633" s="5"/>
    </row>
    <row r="634" spans="1:3" x14ac:dyDescent="0.25">
      <c r="A634" s="21"/>
      <c r="B634" s="5"/>
      <c r="C634" s="5"/>
    </row>
    <row r="635" spans="1:3" x14ac:dyDescent="0.25">
      <c r="A635" s="21"/>
      <c r="B635" s="5"/>
      <c r="C635" s="5"/>
    </row>
    <row r="636" spans="1:3" x14ac:dyDescent="0.25">
      <c r="A636" s="21"/>
      <c r="B636" s="5"/>
      <c r="C636" s="5"/>
    </row>
    <row r="637" spans="1:3" x14ac:dyDescent="0.25">
      <c r="A637" s="21"/>
      <c r="B637" s="5"/>
      <c r="C637" s="5"/>
    </row>
    <row r="638" spans="1:3" x14ac:dyDescent="0.25">
      <c r="A638" s="21"/>
      <c r="B638" s="5"/>
      <c r="C638" s="5"/>
    </row>
    <row r="639" spans="1:3" x14ac:dyDescent="0.25">
      <c r="A639" s="21"/>
      <c r="B639" s="5"/>
      <c r="C639" s="5"/>
    </row>
    <row r="640" spans="1:3" x14ac:dyDescent="0.25">
      <c r="A640" s="21"/>
      <c r="B640" s="5"/>
      <c r="C640" s="5"/>
    </row>
    <row r="641" spans="1:3" x14ac:dyDescent="0.25">
      <c r="A641" s="21"/>
      <c r="B641" s="5"/>
      <c r="C641" s="5"/>
    </row>
    <row r="642" spans="1:3" x14ac:dyDescent="0.25">
      <c r="A642" s="21"/>
      <c r="B642" s="5"/>
      <c r="C642" s="5"/>
    </row>
    <row r="643" spans="1:3" x14ac:dyDescent="0.25">
      <c r="A643" s="21"/>
      <c r="B643" s="5"/>
      <c r="C643" s="5"/>
    </row>
    <row r="644" spans="1:3" x14ac:dyDescent="0.25">
      <c r="A644" s="21"/>
      <c r="B644" s="5"/>
      <c r="C644" s="5"/>
    </row>
    <row r="645" spans="1:3" x14ac:dyDescent="0.25">
      <c r="A645" s="21"/>
      <c r="B645" s="5"/>
      <c r="C645" s="5"/>
    </row>
    <row r="646" spans="1:3" x14ac:dyDescent="0.25">
      <c r="A646" s="21"/>
      <c r="B646" s="5"/>
      <c r="C646" s="5"/>
    </row>
    <row r="647" spans="1:3" x14ac:dyDescent="0.25">
      <c r="A647" s="21"/>
      <c r="B647" s="5"/>
      <c r="C647" s="5"/>
    </row>
    <row r="648" spans="1:3" x14ac:dyDescent="0.25">
      <c r="A648" s="21"/>
      <c r="B648" s="5"/>
      <c r="C648" s="5"/>
    </row>
    <row r="649" spans="1:3" x14ac:dyDescent="0.25">
      <c r="A649" s="21"/>
      <c r="B649" s="5"/>
      <c r="C649" s="5"/>
    </row>
    <row r="650" spans="1:3" x14ac:dyDescent="0.25">
      <c r="A650" s="21"/>
      <c r="B650" s="5"/>
      <c r="C650" s="5"/>
    </row>
    <row r="651" spans="1:3" x14ac:dyDescent="0.25">
      <c r="A651" s="21"/>
      <c r="B651" s="5"/>
      <c r="C651" s="5"/>
    </row>
    <row r="652" spans="1:3" x14ac:dyDescent="0.25">
      <c r="A652" s="21"/>
      <c r="B652" s="5"/>
      <c r="C652" s="5"/>
    </row>
    <row r="653" spans="1:3" x14ac:dyDescent="0.25">
      <c r="A653" s="21"/>
      <c r="B653" s="5"/>
      <c r="C653" s="5"/>
    </row>
    <row r="654" spans="1:3" x14ac:dyDescent="0.25">
      <c r="A654" s="21"/>
      <c r="B654" s="5"/>
      <c r="C654" s="5"/>
    </row>
    <row r="655" spans="1:3" x14ac:dyDescent="0.25">
      <c r="A655" s="21"/>
      <c r="B655" s="5"/>
      <c r="C655" s="5"/>
    </row>
    <row r="656" spans="1:3" x14ac:dyDescent="0.25">
      <c r="A656" s="21"/>
      <c r="B656" s="5"/>
      <c r="C656" s="5"/>
    </row>
    <row r="657" spans="1:3" x14ac:dyDescent="0.25">
      <c r="A657" s="21"/>
      <c r="B657" s="5"/>
      <c r="C657" s="5"/>
    </row>
    <row r="658" spans="1:3" x14ac:dyDescent="0.25">
      <c r="A658" s="21"/>
      <c r="B658" s="5"/>
      <c r="C658" s="5"/>
    </row>
    <row r="659" spans="1:3" x14ac:dyDescent="0.25">
      <c r="A659" s="21"/>
      <c r="B659" s="5"/>
      <c r="C659" s="5"/>
    </row>
    <row r="660" spans="1:3" x14ac:dyDescent="0.25">
      <c r="A660" s="21"/>
      <c r="B660" s="5"/>
      <c r="C660" s="5"/>
    </row>
    <row r="661" spans="1:3" x14ac:dyDescent="0.25">
      <c r="A661" s="21"/>
      <c r="B661" s="5"/>
      <c r="C661" s="5"/>
    </row>
    <row r="662" spans="1:3" x14ac:dyDescent="0.25">
      <c r="A662" s="21"/>
      <c r="B662" s="5"/>
      <c r="C662" s="5"/>
    </row>
    <row r="663" spans="1:3" x14ac:dyDescent="0.25">
      <c r="A663" s="21"/>
      <c r="B663" s="5"/>
      <c r="C663" s="5"/>
    </row>
    <row r="664" spans="1:3" x14ac:dyDescent="0.25">
      <c r="A664" s="21"/>
      <c r="B664" s="5"/>
      <c r="C664" s="5"/>
    </row>
    <row r="665" spans="1:3" x14ac:dyDescent="0.25">
      <c r="A665" s="21"/>
      <c r="B665" s="5"/>
      <c r="C665" s="5"/>
    </row>
    <row r="666" spans="1:3" x14ac:dyDescent="0.25">
      <c r="A666" s="21"/>
      <c r="B666" s="5"/>
      <c r="C666" s="5"/>
    </row>
    <row r="667" spans="1:3" x14ac:dyDescent="0.25">
      <c r="A667" s="21"/>
      <c r="B667" s="5"/>
      <c r="C667" s="5"/>
    </row>
    <row r="668" spans="1:3" x14ac:dyDescent="0.25">
      <c r="A668" s="21"/>
      <c r="B668" s="5"/>
      <c r="C668" s="5"/>
    </row>
    <row r="669" spans="1:3" x14ac:dyDescent="0.25">
      <c r="A669" s="21"/>
      <c r="B669" s="5"/>
      <c r="C669" s="5"/>
    </row>
    <row r="670" spans="1:3" x14ac:dyDescent="0.25">
      <c r="A670" s="21"/>
      <c r="B670" s="5"/>
      <c r="C670" s="5"/>
    </row>
    <row r="671" spans="1:3" x14ac:dyDescent="0.25">
      <c r="A671" s="21"/>
      <c r="B671" s="5"/>
      <c r="C671" s="5"/>
    </row>
    <row r="672" spans="1:3" x14ac:dyDescent="0.25">
      <c r="A672" s="21"/>
      <c r="B672" s="5"/>
      <c r="C672" s="5"/>
    </row>
    <row r="673" spans="1:3" x14ac:dyDescent="0.25">
      <c r="A673" s="21"/>
      <c r="B673" s="5"/>
      <c r="C673" s="5"/>
    </row>
    <row r="674" spans="1:3" x14ac:dyDescent="0.25">
      <c r="A674" s="21"/>
      <c r="B674" s="5"/>
      <c r="C674" s="5"/>
    </row>
    <row r="675" spans="1:3" x14ac:dyDescent="0.25">
      <c r="A675" s="21"/>
      <c r="B675" s="5"/>
      <c r="C675" s="5"/>
    </row>
    <row r="676" spans="1:3" x14ac:dyDescent="0.25">
      <c r="A676" s="21"/>
      <c r="B676" s="5"/>
      <c r="C676" s="5"/>
    </row>
    <row r="677" spans="1:3" x14ac:dyDescent="0.25">
      <c r="A677" s="21"/>
      <c r="B677" s="5"/>
      <c r="C677" s="5"/>
    </row>
    <row r="678" spans="1:3" x14ac:dyDescent="0.25">
      <c r="A678" s="21"/>
      <c r="B678" s="5"/>
      <c r="C678" s="5"/>
    </row>
    <row r="679" spans="1:3" x14ac:dyDescent="0.25">
      <c r="A679" s="21"/>
      <c r="B679" s="5"/>
      <c r="C679" s="5"/>
    </row>
    <row r="680" spans="1:3" x14ac:dyDescent="0.25">
      <c r="A680" s="21"/>
      <c r="B680" s="5"/>
      <c r="C680" s="5"/>
    </row>
    <row r="681" spans="1:3" x14ac:dyDescent="0.25">
      <c r="A681" s="21"/>
      <c r="B681" s="5"/>
      <c r="C681" s="5"/>
    </row>
    <row r="682" spans="1:3" x14ac:dyDescent="0.25">
      <c r="A682" s="21"/>
      <c r="B682" s="5"/>
      <c r="C682" s="5"/>
    </row>
    <row r="683" spans="1:3" x14ac:dyDescent="0.25">
      <c r="A683" s="21"/>
      <c r="B683" s="5"/>
      <c r="C683" s="5"/>
    </row>
    <row r="684" spans="1:3" x14ac:dyDescent="0.25">
      <c r="A684" s="21"/>
      <c r="B684" s="5"/>
      <c r="C684" s="5"/>
    </row>
    <row r="685" spans="1:3" x14ac:dyDescent="0.25">
      <c r="A685" s="21"/>
      <c r="B685" s="5"/>
      <c r="C685" s="5"/>
    </row>
    <row r="686" spans="1:3" x14ac:dyDescent="0.25">
      <c r="A686" s="21"/>
      <c r="B686" s="5"/>
      <c r="C686" s="5"/>
    </row>
    <row r="687" spans="1:3" x14ac:dyDescent="0.25">
      <c r="A687" s="21"/>
      <c r="B687" s="5"/>
      <c r="C687" s="5"/>
    </row>
    <row r="688" spans="1:3" x14ac:dyDescent="0.25">
      <c r="A688" s="21"/>
      <c r="B688" s="5"/>
      <c r="C688" s="5"/>
    </row>
    <row r="689" spans="1:3" x14ac:dyDescent="0.25">
      <c r="A689" s="21"/>
      <c r="B689" s="5"/>
      <c r="C689" s="5"/>
    </row>
    <row r="690" spans="1:3" x14ac:dyDescent="0.25">
      <c r="A690" s="21"/>
      <c r="B690" s="5"/>
      <c r="C690" s="5"/>
    </row>
    <row r="691" spans="1:3" x14ac:dyDescent="0.25">
      <c r="A691" s="21"/>
      <c r="B691" s="5"/>
      <c r="C691" s="5"/>
    </row>
    <row r="692" spans="1:3" x14ac:dyDescent="0.25">
      <c r="A692" s="21"/>
      <c r="B692" s="5"/>
      <c r="C692" s="5"/>
    </row>
    <row r="693" spans="1:3" x14ac:dyDescent="0.25">
      <c r="A693" s="21"/>
      <c r="B693" s="5"/>
      <c r="C693" s="5"/>
    </row>
    <row r="694" spans="1:3" x14ac:dyDescent="0.25">
      <c r="A694" s="21"/>
      <c r="B694" s="5"/>
      <c r="C694" s="5"/>
    </row>
    <row r="695" spans="1:3" x14ac:dyDescent="0.25">
      <c r="A695" s="21"/>
      <c r="B695" s="5"/>
      <c r="C695" s="5"/>
    </row>
    <row r="696" spans="1:3" x14ac:dyDescent="0.25">
      <c r="A696" s="21"/>
      <c r="B696" s="5"/>
      <c r="C696" s="5"/>
    </row>
    <row r="697" spans="1:3" x14ac:dyDescent="0.25">
      <c r="A697" s="21"/>
      <c r="B697" s="5"/>
      <c r="C697" s="5"/>
    </row>
    <row r="698" spans="1:3" x14ac:dyDescent="0.25">
      <c r="A698" s="21"/>
      <c r="B698" s="5"/>
      <c r="C698" s="5"/>
    </row>
    <row r="699" spans="1:3" x14ac:dyDescent="0.25">
      <c r="A699" s="21"/>
      <c r="B699" s="5"/>
      <c r="C699" s="5"/>
    </row>
    <row r="700" spans="1:3" x14ac:dyDescent="0.25">
      <c r="A700" s="21"/>
      <c r="B700" s="5"/>
      <c r="C700" s="5"/>
    </row>
    <row r="701" spans="1:3" x14ac:dyDescent="0.25">
      <c r="A701" s="21"/>
      <c r="B701" s="5"/>
      <c r="C701" s="5"/>
    </row>
    <row r="702" spans="1:3" x14ac:dyDescent="0.25">
      <c r="A702" s="21"/>
      <c r="B702" s="5"/>
      <c r="C702" s="5"/>
    </row>
    <row r="703" spans="1:3" x14ac:dyDescent="0.25">
      <c r="A703" s="21"/>
      <c r="B703" s="5"/>
      <c r="C703" s="5"/>
    </row>
    <row r="704" spans="1:3" x14ac:dyDescent="0.25">
      <c r="A704" s="21"/>
      <c r="B704" s="5"/>
      <c r="C704" s="5"/>
    </row>
    <row r="705" spans="1:3" x14ac:dyDescent="0.25">
      <c r="A705" s="21"/>
      <c r="B705" s="5"/>
      <c r="C705" s="5"/>
    </row>
    <row r="706" spans="1:3" x14ac:dyDescent="0.25">
      <c r="A706" s="21"/>
      <c r="B706" s="5"/>
      <c r="C706" s="5"/>
    </row>
    <row r="707" spans="1:3" x14ac:dyDescent="0.25">
      <c r="A707" s="21"/>
      <c r="B707" s="5"/>
      <c r="C707" s="5"/>
    </row>
    <row r="708" spans="1:3" x14ac:dyDescent="0.25">
      <c r="A708" s="21"/>
      <c r="B708" s="5"/>
      <c r="C708" s="5"/>
    </row>
    <row r="709" spans="1:3" x14ac:dyDescent="0.25">
      <c r="A709" s="21"/>
      <c r="B709" s="5"/>
      <c r="C709" s="5"/>
    </row>
    <row r="710" spans="1:3" x14ac:dyDescent="0.25">
      <c r="A710" s="21"/>
      <c r="B710" s="5"/>
      <c r="C710" s="5"/>
    </row>
    <row r="711" spans="1:3" x14ac:dyDescent="0.25">
      <c r="A711" s="21"/>
      <c r="B711" s="5"/>
      <c r="C711" s="5"/>
    </row>
    <row r="712" spans="1:3" x14ac:dyDescent="0.25">
      <c r="A712" s="21"/>
      <c r="B712" s="5"/>
      <c r="C712" s="5"/>
    </row>
    <row r="713" spans="1:3" x14ac:dyDescent="0.25">
      <c r="A713" s="21"/>
      <c r="B713" s="5"/>
      <c r="C713" s="5"/>
    </row>
    <row r="714" spans="1:3" x14ac:dyDescent="0.25">
      <c r="A714" s="21"/>
      <c r="B714" s="5"/>
      <c r="C714" s="5"/>
    </row>
    <row r="715" spans="1:3" x14ac:dyDescent="0.25">
      <c r="A715" s="21"/>
      <c r="B715" s="5"/>
      <c r="C715" s="5"/>
    </row>
    <row r="716" spans="1:3" x14ac:dyDescent="0.25">
      <c r="A716" s="21"/>
      <c r="B716" s="5"/>
      <c r="C716" s="5"/>
    </row>
    <row r="717" spans="1:3" x14ac:dyDescent="0.25">
      <c r="A717" s="21"/>
      <c r="B717" s="5"/>
      <c r="C717" s="5"/>
    </row>
    <row r="718" spans="1:3" x14ac:dyDescent="0.25">
      <c r="A718" s="21"/>
      <c r="B718" s="5"/>
      <c r="C718" s="5"/>
    </row>
    <row r="719" spans="1:3" x14ac:dyDescent="0.25">
      <c r="A719" s="21"/>
      <c r="B719" s="5"/>
      <c r="C719" s="5"/>
    </row>
    <row r="720" spans="1:3" x14ac:dyDescent="0.25">
      <c r="A720" s="21"/>
      <c r="B720" s="5"/>
      <c r="C720" s="5"/>
    </row>
    <row r="721" spans="1:3" x14ac:dyDescent="0.25">
      <c r="A721" s="21"/>
      <c r="B721" s="5"/>
      <c r="C721" s="5"/>
    </row>
    <row r="722" spans="1:3" x14ac:dyDescent="0.25">
      <c r="A722" s="21"/>
      <c r="B722" s="5"/>
      <c r="C722" s="5"/>
    </row>
    <row r="723" spans="1:3" x14ac:dyDescent="0.25">
      <c r="A723" s="21"/>
      <c r="B723" s="5"/>
      <c r="C723" s="5"/>
    </row>
    <row r="724" spans="1:3" x14ac:dyDescent="0.25">
      <c r="A724" s="21"/>
      <c r="B724" s="5"/>
      <c r="C724" s="5"/>
    </row>
    <row r="725" spans="1:3" x14ac:dyDescent="0.25">
      <c r="A725" s="21"/>
      <c r="B725" s="5"/>
      <c r="C725" s="5"/>
    </row>
    <row r="726" spans="1:3" x14ac:dyDescent="0.25">
      <c r="A726" s="21"/>
      <c r="B726" s="5"/>
      <c r="C726" s="5"/>
    </row>
    <row r="727" spans="1:3" x14ac:dyDescent="0.25">
      <c r="A727" s="21"/>
      <c r="B727" s="5"/>
      <c r="C727" s="5"/>
    </row>
    <row r="728" spans="1:3" x14ac:dyDescent="0.25">
      <c r="A728" s="21"/>
      <c r="B728" s="5"/>
      <c r="C728" s="5"/>
    </row>
    <row r="729" spans="1:3" x14ac:dyDescent="0.25">
      <c r="A729" s="21"/>
      <c r="B729" s="5"/>
      <c r="C729" s="5"/>
    </row>
    <row r="730" spans="1:3" x14ac:dyDescent="0.25">
      <c r="A730" s="21"/>
      <c r="B730" s="5"/>
      <c r="C730" s="5"/>
    </row>
    <row r="731" spans="1:3" x14ac:dyDescent="0.25">
      <c r="A731" s="21"/>
      <c r="B731" s="5"/>
      <c r="C731" s="5"/>
    </row>
    <row r="732" spans="1:3" x14ac:dyDescent="0.25">
      <c r="A732" s="21"/>
      <c r="B732" s="5"/>
      <c r="C732" s="5"/>
    </row>
    <row r="733" spans="1:3" x14ac:dyDescent="0.25">
      <c r="A733" s="21"/>
      <c r="B733" s="5"/>
      <c r="C733" s="5"/>
    </row>
    <row r="734" spans="1:3" x14ac:dyDescent="0.25">
      <c r="A734" s="21"/>
      <c r="B734" s="5"/>
      <c r="C734" s="5"/>
    </row>
    <row r="735" spans="1:3" x14ac:dyDescent="0.25">
      <c r="A735" s="21"/>
      <c r="B735" s="5"/>
      <c r="C735" s="5"/>
    </row>
    <row r="736" spans="1:3" x14ac:dyDescent="0.25">
      <c r="A736" s="21"/>
      <c r="B736" s="5"/>
      <c r="C736" s="5"/>
    </row>
    <row r="737" spans="1:3" x14ac:dyDescent="0.25">
      <c r="A737" s="21"/>
      <c r="B737" s="5"/>
      <c r="C737" s="5"/>
    </row>
    <row r="738" spans="1:3" x14ac:dyDescent="0.25">
      <c r="A738" s="21"/>
      <c r="B738" s="5"/>
      <c r="C738" s="5"/>
    </row>
    <row r="739" spans="1:3" x14ac:dyDescent="0.25">
      <c r="A739" s="21"/>
      <c r="B739" s="5"/>
      <c r="C739" s="5"/>
    </row>
    <row r="740" spans="1:3" x14ac:dyDescent="0.25">
      <c r="A740" s="21"/>
      <c r="B740" s="5"/>
      <c r="C740" s="5"/>
    </row>
    <row r="741" spans="1:3" x14ac:dyDescent="0.25">
      <c r="A741" s="21"/>
      <c r="B741" s="5"/>
      <c r="C741" s="5"/>
    </row>
    <row r="742" spans="1:3" x14ac:dyDescent="0.25">
      <c r="A742" s="21"/>
      <c r="B742" s="5"/>
      <c r="C742" s="5"/>
    </row>
    <row r="743" spans="1:3" x14ac:dyDescent="0.25">
      <c r="A743" s="21"/>
      <c r="B743" s="5"/>
      <c r="C743" s="5"/>
    </row>
    <row r="744" spans="1:3" x14ac:dyDescent="0.25">
      <c r="A744" s="21"/>
      <c r="B744" s="5"/>
      <c r="C744" s="5"/>
    </row>
    <row r="745" spans="1:3" x14ac:dyDescent="0.25">
      <c r="A745" s="21"/>
      <c r="B745" s="5"/>
      <c r="C745" s="5"/>
    </row>
    <row r="746" spans="1:3" x14ac:dyDescent="0.25">
      <c r="A746" s="21"/>
      <c r="B746" s="5"/>
      <c r="C746" s="5"/>
    </row>
    <row r="747" spans="1:3" x14ac:dyDescent="0.25">
      <c r="A747" s="21"/>
      <c r="B747" s="5"/>
      <c r="C747" s="5"/>
    </row>
    <row r="748" spans="1:3" x14ac:dyDescent="0.25">
      <c r="A748" s="21"/>
      <c r="B748" s="5"/>
      <c r="C748" s="5"/>
    </row>
    <row r="749" spans="1:3" x14ac:dyDescent="0.25">
      <c r="A749" s="21"/>
      <c r="B749" s="5"/>
      <c r="C749" s="5"/>
    </row>
    <row r="750" spans="1:3" x14ac:dyDescent="0.25">
      <c r="A750" s="21"/>
      <c r="B750" s="5"/>
      <c r="C750" s="5"/>
    </row>
    <row r="751" spans="1:3" x14ac:dyDescent="0.25">
      <c r="A751" s="21"/>
      <c r="B751" s="5"/>
      <c r="C751" s="5"/>
    </row>
    <row r="752" spans="1:3" x14ac:dyDescent="0.25">
      <c r="A752" s="21"/>
      <c r="B752" s="5"/>
      <c r="C752" s="5"/>
    </row>
    <row r="753" spans="1:3" x14ac:dyDescent="0.25">
      <c r="A753" s="21"/>
      <c r="B753" s="5"/>
      <c r="C753" s="5"/>
    </row>
    <row r="754" spans="1:3" x14ac:dyDescent="0.25">
      <c r="A754" s="21"/>
      <c r="B754" s="5"/>
      <c r="C754" s="5"/>
    </row>
    <row r="755" spans="1:3" x14ac:dyDescent="0.25">
      <c r="A755" s="21"/>
      <c r="B755" s="5"/>
      <c r="C755" s="5"/>
    </row>
    <row r="756" spans="1:3" x14ac:dyDescent="0.25">
      <c r="A756" s="21"/>
      <c r="B756" s="5"/>
      <c r="C756" s="5"/>
    </row>
    <row r="757" spans="1:3" x14ac:dyDescent="0.25">
      <c r="A757" s="21"/>
      <c r="B757" s="5"/>
      <c r="C757" s="5"/>
    </row>
    <row r="758" spans="1:3" x14ac:dyDescent="0.25">
      <c r="A758" s="21"/>
      <c r="B758" s="5"/>
      <c r="C758" s="5"/>
    </row>
    <row r="759" spans="1:3" x14ac:dyDescent="0.25">
      <c r="A759" s="21"/>
      <c r="B759" s="5"/>
      <c r="C759" s="5"/>
    </row>
    <row r="760" spans="1:3" x14ac:dyDescent="0.25">
      <c r="A760" s="21"/>
      <c r="B760" s="5"/>
      <c r="C760" s="5"/>
    </row>
    <row r="761" spans="1:3" x14ac:dyDescent="0.25">
      <c r="A761" s="21"/>
      <c r="B761" s="5"/>
      <c r="C761" s="5"/>
    </row>
    <row r="762" spans="1:3" x14ac:dyDescent="0.25">
      <c r="A762" s="21"/>
      <c r="B762" s="5"/>
      <c r="C762" s="5"/>
    </row>
    <row r="763" spans="1:3" x14ac:dyDescent="0.25">
      <c r="A763" s="21"/>
      <c r="B763" s="5"/>
      <c r="C763" s="5"/>
    </row>
    <row r="764" spans="1:3" x14ac:dyDescent="0.25">
      <c r="A764" s="21"/>
      <c r="B764" s="5"/>
      <c r="C764" s="5"/>
    </row>
    <row r="765" spans="1:3" x14ac:dyDescent="0.25">
      <c r="A765" s="21"/>
      <c r="B765" s="5"/>
      <c r="C765" s="5"/>
    </row>
    <row r="766" spans="1:3" x14ac:dyDescent="0.25">
      <c r="A766" s="21"/>
      <c r="B766" s="5"/>
      <c r="C766" s="5"/>
    </row>
    <row r="767" spans="1:3" x14ac:dyDescent="0.25">
      <c r="A767" s="21"/>
      <c r="B767" s="5"/>
      <c r="C767" s="5"/>
    </row>
    <row r="768" spans="1:3" x14ac:dyDescent="0.25">
      <c r="A768" s="21"/>
      <c r="B768" s="5"/>
      <c r="C768" s="5"/>
    </row>
    <row r="769" spans="1:3" x14ac:dyDescent="0.25">
      <c r="A769" s="21"/>
      <c r="B769" s="5"/>
      <c r="C769" s="5"/>
    </row>
    <row r="770" spans="1:3" x14ac:dyDescent="0.25">
      <c r="A770" s="21"/>
      <c r="B770" s="5"/>
      <c r="C770" s="5"/>
    </row>
    <row r="771" spans="1:3" x14ac:dyDescent="0.25">
      <c r="A771" s="21"/>
      <c r="B771" s="5"/>
      <c r="C771" s="5"/>
    </row>
    <row r="772" spans="1:3" x14ac:dyDescent="0.25">
      <c r="A772" s="21"/>
      <c r="B772" s="5"/>
      <c r="C772" s="5"/>
    </row>
    <row r="773" spans="1:3" x14ac:dyDescent="0.25">
      <c r="A773" s="21"/>
      <c r="B773" s="5"/>
      <c r="C773" s="5"/>
    </row>
    <row r="774" spans="1:3" x14ac:dyDescent="0.25">
      <c r="A774" s="21"/>
      <c r="B774" s="5"/>
      <c r="C774" s="5"/>
    </row>
    <row r="775" spans="1:3" x14ac:dyDescent="0.25">
      <c r="A775" s="21"/>
      <c r="B775" s="5"/>
      <c r="C775" s="5"/>
    </row>
    <row r="776" spans="1:3" x14ac:dyDescent="0.25">
      <c r="A776" s="21"/>
      <c r="B776" s="5"/>
      <c r="C776" s="5"/>
    </row>
    <row r="777" spans="1:3" x14ac:dyDescent="0.25">
      <c r="A777" s="21"/>
      <c r="B777" s="5"/>
      <c r="C777" s="5"/>
    </row>
    <row r="778" spans="1:3" x14ac:dyDescent="0.25">
      <c r="A778" s="21"/>
      <c r="B778" s="5"/>
      <c r="C778" s="5"/>
    </row>
    <row r="779" spans="1:3" x14ac:dyDescent="0.25">
      <c r="A779" s="21"/>
      <c r="B779" s="5"/>
      <c r="C779" s="5"/>
    </row>
    <row r="780" spans="1:3" x14ac:dyDescent="0.25">
      <c r="A780" s="21"/>
      <c r="B780" s="5"/>
      <c r="C780" s="5"/>
    </row>
    <row r="781" spans="1:3" x14ac:dyDescent="0.25">
      <c r="A781" s="21"/>
      <c r="B781" s="5"/>
      <c r="C781" s="5"/>
    </row>
    <row r="782" spans="1:3" x14ac:dyDescent="0.25">
      <c r="A782" s="21"/>
      <c r="B782" s="5"/>
      <c r="C782" s="5"/>
    </row>
    <row r="783" spans="1:3" x14ac:dyDescent="0.25">
      <c r="A783" s="21"/>
      <c r="B783" s="5"/>
      <c r="C783" s="5"/>
    </row>
    <row r="784" spans="1:3" x14ac:dyDescent="0.25">
      <c r="A784" s="21"/>
      <c r="B784" s="5"/>
      <c r="C784" s="5"/>
    </row>
    <row r="785" spans="1:3" x14ac:dyDescent="0.25">
      <c r="A785" s="21"/>
      <c r="B785" s="5"/>
      <c r="C785" s="5"/>
    </row>
    <row r="786" spans="1:3" x14ac:dyDescent="0.25">
      <c r="A786" s="21"/>
      <c r="B786" s="5"/>
      <c r="C786" s="5"/>
    </row>
    <row r="787" spans="1:3" x14ac:dyDescent="0.25">
      <c r="A787" s="21"/>
      <c r="B787" s="5"/>
      <c r="C787" s="5"/>
    </row>
    <row r="788" spans="1:3" x14ac:dyDescent="0.25">
      <c r="A788" s="21"/>
      <c r="B788" s="5"/>
      <c r="C788" s="5"/>
    </row>
    <row r="789" spans="1:3" x14ac:dyDescent="0.25">
      <c r="A789" s="21"/>
      <c r="B789" s="5"/>
      <c r="C789" s="5"/>
    </row>
    <row r="790" spans="1:3" x14ac:dyDescent="0.25">
      <c r="A790" s="21"/>
      <c r="B790" s="5"/>
      <c r="C790" s="5"/>
    </row>
    <row r="791" spans="1:3" x14ac:dyDescent="0.25">
      <c r="A791" s="21"/>
      <c r="B791" s="5"/>
      <c r="C791" s="5"/>
    </row>
    <row r="792" spans="1:3" x14ac:dyDescent="0.25">
      <c r="A792" s="21"/>
      <c r="B792" s="5"/>
      <c r="C792" s="5"/>
    </row>
    <row r="793" spans="1:3" x14ac:dyDescent="0.25">
      <c r="A793" s="21"/>
      <c r="B793" s="5"/>
      <c r="C793" s="5"/>
    </row>
    <row r="794" spans="1:3" x14ac:dyDescent="0.25">
      <c r="A794" s="21"/>
      <c r="B794" s="5"/>
      <c r="C794" s="5"/>
    </row>
    <row r="795" spans="1:3" x14ac:dyDescent="0.25">
      <c r="A795" s="21"/>
      <c r="B795" s="5"/>
      <c r="C795" s="5"/>
    </row>
    <row r="796" spans="1:3" x14ac:dyDescent="0.25">
      <c r="A796" s="21"/>
      <c r="B796" s="5"/>
      <c r="C796" s="5"/>
    </row>
    <row r="797" spans="1:3" x14ac:dyDescent="0.25">
      <c r="A797" s="21"/>
      <c r="B797" s="5"/>
      <c r="C797" s="5"/>
    </row>
    <row r="798" spans="1:3" x14ac:dyDescent="0.25">
      <c r="A798" s="21"/>
      <c r="B798" s="5"/>
      <c r="C798" s="5"/>
    </row>
    <row r="799" spans="1:3" x14ac:dyDescent="0.25">
      <c r="A799" s="21"/>
      <c r="B799" s="5"/>
      <c r="C799" s="5"/>
    </row>
    <row r="800" spans="1:3" x14ac:dyDescent="0.25">
      <c r="A800" s="21"/>
      <c r="B800" s="5"/>
      <c r="C800" s="5"/>
    </row>
    <row r="801" spans="1:3" x14ac:dyDescent="0.25">
      <c r="A801" s="21"/>
      <c r="B801" s="5"/>
      <c r="C801" s="5"/>
    </row>
    <row r="802" spans="1:3" x14ac:dyDescent="0.25">
      <c r="A802" s="21"/>
      <c r="B802" s="5"/>
      <c r="C802" s="5"/>
    </row>
    <row r="803" spans="1:3" x14ac:dyDescent="0.25">
      <c r="A803" s="21"/>
      <c r="B803" s="5"/>
      <c r="C803" s="5"/>
    </row>
    <row r="804" spans="1:3" x14ac:dyDescent="0.25">
      <c r="A804" s="21"/>
      <c r="B804" s="5"/>
      <c r="C804" s="5"/>
    </row>
    <row r="805" spans="1:3" x14ac:dyDescent="0.25">
      <c r="A805" s="21"/>
      <c r="B805" s="5"/>
      <c r="C805" s="5"/>
    </row>
    <row r="806" spans="1:3" x14ac:dyDescent="0.25">
      <c r="A806" s="21"/>
      <c r="B806" s="5"/>
      <c r="C806" s="5"/>
    </row>
    <row r="807" spans="1:3" x14ac:dyDescent="0.25">
      <c r="A807" s="21"/>
      <c r="B807" s="5"/>
      <c r="C807" s="5"/>
    </row>
    <row r="808" spans="1:3" x14ac:dyDescent="0.25">
      <c r="A808" s="21"/>
      <c r="B808" s="5"/>
      <c r="C808" s="5"/>
    </row>
    <row r="809" spans="1:3" x14ac:dyDescent="0.25">
      <c r="A809" s="21"/>
      <c r="B809" s="5"/>
      <c r="C809" s="5"/>
    </row>
    <row r="810" spans="1:3" x14ac:dyDescent="0.25">
      <c r="A810" s="21"/>
      <c r="B810" s="5"/>
      <c r="C810" s="5"/>
    </row>
    <row r="811" spans="1:3" x14ac:dyDescent="0.25">
      <c r="A811" s="21"/>
      <c r="B811" s="5"/>
      <c r="C811" s="5"/>
    </row>
    <row r="812" spans="1:3" x14ac:dyDescent="0.25">
      <c r="A812" s="21"/>
      <c r="B812" s="5"/>
      <c r="C812" s="5"/>
    </row>
    <row r="813" spans="1:3" x14ac:dyDescent="0.25">
      <c r="A813" s="21"/>
      <c r="B813" s="5"/>
      <c r="C813" s="5"/>
    </row>
    <row r="814" spans="1:3" x14ac:dyDescent="0.25">
      <c r="A814" s="21"/>
      <c r="B814" s="5"/>
      <c r="C814" s="5"/>
    </row>
    <row r="815" spans="1:3" x14ac:dyDescent="0.25">
      <c r="A815" s="21"/>
      <c r="B815" s="5"/>
      <c r="C815" s="5"/>
    </row>
    <row r="816" spans="1:3" x14ac:dyDescent="0.25">
      <c r="A816" s="21"/>
      <c r="B816" s="5"/>
      <c r="C816" s="5"/>
    </row>
    <row r="817" spans="1:3" x14ac:dyDescent="0.25">
      <c r="A817" s="21"/>
      <c r="B817" s="5"/>
      <c r="C817" s="5"/>
    </row>
    <row r="818" spans="1:3" x14ac:dyDescent="0.25">
      <c r="A818" s="21"/>
      <c r="B818" s="5"/>
      <c r="C818" s="5"/>
    </row>
    <row r="819" spans="1:3" x14ac:dyDescent="0.25">
      <c r="A819" s="21"/>
      <c r="B819" s="5"/>
      <c r="C819" s="5"/>
    </row>
    <row r="820" spans="1:3" x14ac:dyDescent="0.25">
      <c r="A820" s="21"/>
      <c r="B820" s="5"/>
      <c r="C820" s="5"/>
    </row>
    <row r="821" spans="1:3" x14ac:dyDescent="0.25">
      <c r="A821" s="21"/>
      <c r="B821" s="5"/>
      <c r="C821" s="5"/>
    </row>
    <row r="822" spans="1:3" x14ac:dyDescent="0.25">
      <c r="A822" s="21"/>
      <c r="B822" s="5"/>
      <c r="C822" s="5"/>
    </row>
    <row r="823" spans="1:3" x14ac:dyDescent="0.25">
      <c r="A823" s="21"/>
      <c r="B823" s="5"/>
      <c r="C823" s="5"/>
    </row>
    <row r="824" spans="1:3" x14ac:dyDescent="0.25">
      <c r="A824" s="21"/>
      <c r="B824" s="5"/>
      <c r="C824" s="5"/>
    </row>
    <row r="825" spans="1:3" x14ac:dyDescent="0.25">
      <c r="A825" s="21"/>
      <c r="B825" s="5"/>
      <c r="C825" s="5"/>
    </row>
    <row r="826" spans="1:3" x14ac:dyDescent="0.25">
      <c r="A826" s="21"/>
      <c r="B826" s="5"/>
      <c r="C826" s="5"/>
    </row>
    <row r="827" spans="1:3" x14ac:dyDescent="0.25">
      <c r="A827" s="21"/>
      <c r="B827" s="5"/>
      <c r="C827" s="5"/>
    </row>
    <row r="828" spans="1:3" x14ac:dyDescent="0.25">
      <c r="A828" s="21"/>
      <c r="B828" s="5"/>
      <c r="C828" s="5"/>
    </row>
    <row r="829" spans="1:3" x14ac:dyDescent="0.25">
      <c r="A829" s="21"/>
      <c r="B829" s="5"/>
      <c r="C829" s="5"/>
    </row>
    <row r="830" spans="1:3" x14ac:dyDescent="0.25">
      <c r="A830" s="21"/>
      <c r="B830" s="5"/>
      <c r="C830" s="5"/>
    </row>
    <row r="831" spans="1:3" x14ac:dyDescent="0.25">
      <c r="A831" s="21"/>
      <c r="B831" s="5"/>
      <c r="C831" s="5"/>
    </row>
    <row r="832" spans="1:3" x14ac:dyDescent="0.25">
      <c r="A832" s="21"/>
      <c r="B832" s="5"/>
      <c r="C832" s="5"/>
    </row>
    <row r="833" spans="1:3" x14ac:dyDescent="0.25">
      <c r="A833" s="21"/>
      <c r="B833" s="5"/>
      <c r="C833" s="5"/>
    </row>
    <row r="834" spans="1:3" x14ac:dyDescent="0.25">
      <c r="A834" s="21"/>
      <c r="B834" s="5"/>
      <c r="C834" s="5"/>
    </row>
    <row r="835" spans="1:3" x14ac:dyDescent="0.25">
      <c r="A835" s="21"/>
      <c r="B835" s="5"/>
      <c r="C835" s="5"/>
    </row>
    <row r="836" spans="1:3" x14ac:dyDescent="0.25">
      <c r="A836" s="21"/>
      <c r="B836" s="5"/>
      <c r="C836" s="5"/>
    </row>
    <row r="837" spans="1:3" x14ac:dyDescent="0.25">
      <c r="A837" s="21"/>
      <c r="B837" s="5"/>
      <c r="C837" s="5"/>
    </row>
    <row r="838" spans="1:3" x14ac:dyDescent="0.25">
      <c r="A838" s="21"/>
      <c r="B838" s="5"/>
      <c r="C838" s="5"/>
    </row>
    <row r="839" spans="1:3" x14ac:dyDescent="0.25">
      <c r="A839" s="21"/>
      <c r="B839" s="5"/>
      <c r="C839" s="5"/>
    </row>
    <row r="840" spans="1:3" x14ac:dyDescent="0.25">
      <c r="A840" s="21"/>
      <c r="B840" s="5"/>
      <c r="C840" s="5"/>
    </row>
    <row r="841" spans="1:3" x14ac:dyDescent="0.25">
      <c r="A841" s="21"/>
      <c r="B841" s="5"/>
      <c r="C841" s="5"/>
    </row>
    <row r="842" spans="1:3" x14ac:dyDescent="0.25">
      <c r="A842" s="21"/>
      <c r="B842" s="5"/>
      <c r="C842" s="5"/>
    </row>
    <row r="843" spans="1:3" x14ac:dyDescent="0.25">
      <c r="A843" s="21"/>
      <c r="B843" s="5"/>
      <c r="C843" s="5"/>
    </row>
    <row r="844" spans="1:3" x14ac:dyDescent="0.25">
      <c r="A844" s="21"/>
      <c r="B844" s="5"/>
      <c r="C844" s="5"/>
    </row>
    <row r="845" spans="1:3" x14ac:dyDescent="0.25">
      <c r="A845" s="21"/>
      <c r="B845" s="5"/>
      <c r="C845" s="5"/>
    </row>
    <row r="846" spans="1:3" x14ac:dyDescent="0.25">
      <c r="A846" s="21"/>
      <c r="B846" s="5"/>
      <c r="C846" s="5"/>
    </row>
    <row r="847" spans="1:3" x14ac:dyDescent="0.25">
      <c r="A847" s="21"/>
      <c r="B847" s="5"/>
      <c r="C847" s="5"/>
    </row>
    <row r="848" spans="1:3" x14ac:dyDescent="0.25">
      <c r="A848" s="21"/>
      <c r="B848" s="5"/>
      <c r="C848" s="5"/>
    </row>
    <row r="849" spans="1:3" x14ac:dyDescent="0.25">
      <c r="A849" s="21"/>
      <c r="B849" s="5"/>
      <c r="C849" s="5"/>
    </row>
    <row r="850" spans="1:3" x14ac:dyDescent="0.25">
      <c r="A850" s="21"/>
      <c r="B850" s="5"/>
      <c r="C850" s="5"/>
    </row>
    <row r="851" spans="1:3" x14ac:dyDescent="0.25">
      <c r="A851" s="21"/>
      <c r="B851" s="5"/>
      <c r="C851" s="5"/>
    </row>
    <row r="852" spans="1:3" x14ac:dyDescent="0.25">
      <c r="A852" s="21"/>
      <c r="B852" s="5"/>
      <c r="C852" s="5"/>
    </row>
    <row r="853" spans="1:3" x14ac:dyDescent="0.25">
      <c r="A853" s="21"/>
      <c r="B853" s="5"/>
      <c r="C853" s="5"/>
    </row>
    <row r="854" spans="1:3" x14ac:dyDescent="0.25">
      <c r="A854" s="21"/>
      <c r="B854" s="5"/>
      <c r="C854" s="5"/>
    </row>
    <row r="855" spans="1:3" x14ac:dyDescent="0.25">
      <c r="A855" s="21"/>
      <c r="B855" s="5"/>
      <c r="C855" s="5"/>
    </row>
    <row r="856" spans="1:3" x14ac:dyDescent="0.25">
      <c r="A856" s="21"/>
      <c r="B856" s="5"/>
      <c r="C856" s="5"/>
    </row>
    <row r="857" spans="1:3" x14ac:dyDescent="0.25">
      <c r="A857" s="21"/>
      <c r="B857" s="5"/>
      <c r="C857" s="5"/>
    </row>
    <row r="858" spans="1:3" x14ac:dyDescent="0.25">
      <c r="A858" s="21"/>
      <c r="B858" s="5"/>
      <c r="C858" s="5"/>
    </row>
    <row r="859" spans="1:3" x14ac:dyDescent="0.25">
      <c r="A859" s="21"/>
      <c r="B859" s="5"/>
      <c r="C859" s="5"/>
    </row>
    <row r="860" spans="1:3" x14ac:dyDescent="0.25">
      <c r="A860" s="21"/>
      <c r="B860" s="5"/>
      <c r="C860" s="5"/>
    </row>
    <row r="861" spans="1:3" x14ac:dyDescent="0.25">
      <c r="A861" s="21"/>
      <c r="B861" s="5"/>
      <c r="C861" s="5"/>
    </row>
    <row r="862" spans="1:3" x14ac:dyDescent="0.25">
      <c r="A862" s="21"/>
      <c r="B862" s="5"/>
      <c r="C862" s="5"/>
    </row>
    <row r="863" spans="1:3" x14ac:dyDescent="0.25">
      <c r="A863" s="21"/>
      <c r="B863" s="5"/>
      <c r="C863" s="5"/>
    </row>
    <row r="864" spans="1:3" x14ac:dyDescent="0.25">
      <c r="A864" s="21"/>
      <c r="B864" s="5"/>
      <c r="C864" s="5"/>
    </row>
    <row r="865" spans="1:3" x14ac:dyDescent="0.25">
      <c r="A865" s="21"/>
      <c r="B865" s="5"/>
      <c r="C865" s="5"/>
    </row>
    <row r="866" spans="1:3" x14ac:dyDescent="0.25">
      <c r="A866" s="21"/>
      <c r="B866" s="5"/>
      <c r="C866" s="5"/>
    </row>
    <row r="867" spans="1:3" x14ac:dyDescent="0.25">
      <c r="A867" s="21"/>
      <c r="B867" s="5"/>
      <c r="C867" s="5"/>
    </row>
    <row r="868" spans="1:3" x14ac:dyDescent="0.25">
      <c r="A868" s="21"/>
      <c r="B868" s="5"/>
      <c r="C868" s="5"/>
    </row>
    <row r="869" spans="1:3" x14ac:dyDescent="0.25">
      <c r="A869" s="21"/>
      <c r="B869" s="5"/>
      <c r="C869" s="5"/>
    </row>
    <row r="870" spans="1:3" x14ac:dyDescent="0.25">
      <c r="A870" s="21"/>
      <c r="B870" s="5"/>
      <c r="C870" s="5"/>
    </row>
    <row r="871" spans="1:3" x14ac:dyDescent="0.25">
      <c r="A871" s="21"/>
      <c r="B871" s="5"/>
      <c r="C871" s="5"/>
    </row>
    <row r="872" spans="1:3" x14ac:dyDescent="0.25">
      <c r="A872" s="21"/>
      <c r="B872" s="5"/>
      <c r="C872" s="5"/>
    </row>
    <row r="873" spans="1:3" x14ac:dyDescent="0.25">
      <c r="A873" s="21"/>
      <c r="B873" s="5"/>
      <c r="C873" s="5"/>
    </row>
    <row r="874" spans="1:3" x14ac:dyDescent="0.25">
      <c r="A874" s="21"/>
      <c r="B874" s="5"/>
      <c r="C874" s="5"/>
    </row>
    <row r="875" spans="1:3" x14ac:dyDescent="0.25">
      <c r="A875" s="21"/>
      <c r="B875" s="5"/>
      <c r="C875" s="5"/>
    </row>
    <row r="876" spans="1:3" x14ac:dyDescent="0.25">
      <c r="A876" s="21"/>
      <c r="B876" s="5"/>
      <c r="C876" s="5"/>
    </row>
    <row r="877" spans="1:3" x14ac:dyDescent="0.25">
      <c r="A877" s="21"/>
      <c r="B877" s="5"/>
      <c r="C877" s="5"/>
    </row>
    <row r="878" spans="1:3" x14ac:dyDescent="0.25">
      <c r="A878" s="21"/>
      <c r="B878" s="5"/>
      <c r="C878" s="5"/>
    </row>
    <row r="879" spans="1:3" x14ac:dyDescent="0.25">
      <c r="A879" s="21"/>
      <c r="B879" s="5"/>
      <c r="C879" s="5"/>
    </row>
    <row r="880" spans="1:3" x14ac:dyDescent="0.25">
      <c r="A880" s="21"/>
      <c r="B880" s="5"/>
      <c r="C880" s="5"/>
    </row>
    <row r="881" spans="1:3" x14ac:dyDescent="0.25">
      <c r="A881" s="21"/>
      <c r="B881" s="5"/>
      <c r="C881" s="5"/>
    </row>
    <row r="882" spans="1:3" x14ac:dyDescent="0.25">
      <c r="A882" s="21"/>
      <c r="B882" s="5"/>
      <c r="C882" s="5"/>
    </row>
    <row r="883" spans="1:3" x14ac:dyDescent="0.25">
      <c r="A883" s="21"/>
      <c r="B883" s="5"/>
      <c r="C883" s="5"/>
    </row>
    <row r="884" spans="1:3" x14ac:dyDescent="0.25">
      <c r="A884" s="21"/>
      <c r="B884" s="5"/>
      <c r="C884" s="5"/>
    </row>
    <row r="885" spans="1:3" x14ac:dyDescent="0.25">
      <c r="A885" s="21"/>
      <c r="B885" s="5"/>
      <c r="C885" s="5"/>
    </row>
    <row r="886" spans="1:3" x14ac:dyDescent="0.25">
      <c r="A886" s="21"/>
      <c r="B886" s="5"/>
      <c r="C886" s="5"/>
    </row>
    <row r="887" spans="1:3" x14ac:dyDescent="0.25">
      <c r="A887" s="21"/>
      <c r="B887" s="5"/>
      <c r="C887" s="5"/>
    </row>
    <row r="888" spans="1:3" x14ac:dyDescent="0.25">
      <c r="A888" s="21"/>
      <c r="B888" s="5"/>
      <c r="C888" s="5"/>
    </row>
    <row r="889" spans="1:3" x14ac:dyDescent="0.25">
      <c r="A889" s="21"/>
      <c r="B889" s="5"/>
      <c r="C889" s="5"/>
    </row>
    <row r="890" spans="1:3" x14ac:dyDescent="0.25">
      <c r="A890" s="21"/>
      <c r="B890" s="5"/>
      <c r="C890" s="5"/>
    </row>
    <row r="891" spans="1:3" x14ac:dyDescent="0.25">
      <c r="A891" s="21"/>
      <c r="B891" s="5"/>
      <c r="C891" s="5"/>
    </row>
    <row r="892" spans="1:3" x14ac:dyDescent="0.25">
      <c r="A892" s="21"/>
      <c r="B892" s="5"/>
      <c r="C892" s="5"/>
    </row>
    <row r="893" spans="1:3" x14ac:dyDescent="0.25">
      <c r="A893" s="21"/>
      <c r="B893" s="5"/>
      <c r="C893" s="5"/>
    </row>
    <row r="894" spans="1:3" x14ac:dyDescent="0.25">
      <c r="A894" s="21"/>
      <c r="B894" s="5"/>
      <c r="C894" s="5"/>
    </row>
    <row r="895" spans="1:3" x14ac:dyDescent="0.25">
      <c r="A895" s="21"/>
      <c r="B895" s="5"/>
      <c r="C895" s="5"/>
    </row>
    <row r="896" spans="1:3" x14ac:dyDescent="0.25">
      <c r="A896" s="21"/>
      <c r="B896" s="5"/>
      <c r="C896" s="5"/>
    </row>
    <row r="897" spans="1:3" x14ac:dyDescent="0.25">
      <c r="A897" s="21"/>
      <c r="B897" s="5"/>
      <c r="C897" s="5"/>
    </row>
    <row r="898" spans="1:3" x14ac:dyDescent="0.25">
      <c r="A898" s="21"/>
      <c r="B898" s="5"/>
      <c r="C898" s="5"/>
    </row>
    <row r="899" spans="1:3" x14ac:dyDescent="0.25">
      <c r="A899" s="21"/>
      <c r="B899" s="5"/>
      <c r="C899" s="5"/>
    </row>
    <row r="900" spans="1:3" x14ac:dyDescent="0.25">
      <c r="A900" s="21"/>
      <c r="B900" s="5"/>
      <c r="C900" s="5"/>
    </row>
    <row r="901" spans="1:3" x14ac:dyDescent="0.25">
      <c r="A901" s="21"/>
      <c r="B901" s="5"/>
      <c r="C901" s="5"/>
    </row>
    <row r="902" spans="1:3" x14ac:dyDescent="0.25">
      <c r="A902" s="21"/>
      <c r="B902" s="5"/>
      <c r="C902" s="5"/>
    </row>
    <row r="903" spans="1:3" x14ac:dyDescent="0.25">
      <c r="A903" s="21"/>
      <c r="B903" s="5"/>
      <c r="C903" s="5"/>
    </row>
    <row r="904" spans="1:3" x14ac:dyDescent="0.25">
      <c r="A904" s="21"/>
      <c r="B904" s="5"/>
      <c r="C904" s="5"/>
    </row>
    <row r="905" spans="1:3" x14ac:dyDescent="0.25">
      <c r="A905" s="21"/>
      <c r="B905" s="5"/>
      <c r="C905" s="5"/>
    </row>
    <row r="906" spans="1:3" x14ac:dyDescent="0.25">
      <c r="A906" s="21"/>
      <c r="B906" s="5"/>
      <c r="C906" s="5"/>
    </row>
    <row r="907" spans="1:3" x14ac:dyDescent="0.25">
      <c r="A907" s="21"/>
      <c r="B907" s="5"/>
      <c r="C907" s="5"/>
    </row>
    <row r="908" spans="1:3" x14ac:dyDescent="0.25">
      <c r="A908" s="21"/>
      <c r="B908" s="5"/>
      <c r="C908" s="5"/>
    </row>
    <row r="909" spans="1:3" x14ac:dyDescent="0.25">
      <c r="A909" s="21"/>
      <c r="B909" s="5"/>
      <c r="C909" s="5"/>
    </row>
    <row r="910" spans="1:3" x14ac:dyDescent="0.25">
      <c r="A910" s="21"/>
      <c r="B910" s="5"/>
      <c r="C910" s="5"/>
    </row>
    <row r="911" spans="1:3" x14ac:dyDescent="0.25">
      <c r="A911" s="21"/>
      <c r="B911" s="5"/>
      <c r="C911" s="5"/>
    </row>
    <row r="912" spans="1:3" x14ac:dyDescent="0.25">
      <c r="A912" s="21"/>
      <c r="B912" s="5"/>
      <c r="C912" s="5"/>
    </row>
    <row r="913" spans="1:3" x14ac:dyDescent="0.25">
      <c r="A913" s="21"/>
      <c r="B913" s="5"/>
      <c r="C913" s="5"/>
    </row>
    <row r="914" spans="1:3" x14ac:dyDescent="0.25">
      <c r="A914" s="21"/>
      <c r="B914" s="5"/>
      <c r="C914" s="5"/>
    </row>
    <row r="915" spans="1:3" x14ac:dyDescent="0.25">
      <c r="A915" s="21"/>
      <c r="B915" s="5"/>
      <c r="C915" s="5"/>
    </row>
    <row r="916" spans="1:3" x14ac:dyDescent="0.25">
      <c r="A916" s="21"/>
      <c r="B916" s="5"/>
      <c r="C916" s="5"/>
    </row>
    <row r="917" spans="1:3" x14ac:dyDescent="0.25">
      <c r="A917" s="21"/>
      <c r="B917" s="5"/>
      <c r="C917" s="5"/>
    </row>
    <row r="918" spans="1:3" x14ac:dyDescent="0.25">
      <c r="A918" s="21"/>
      <c r="B918" s="5"/>
      <c r="C918" s="5"/>
    </row>
    <row r="919" spans="1:3" x14ac:dyDescent="0.25">
      <c r="A919" s="21"/>
      <c r="B919" s="5"/>
      <c r="C919" s="5"/>
    </row>
    <row r="920" spans="1:3" x14ac:dyDescent="0.25">
      <c r="A920" s="21"/>
      <c r="B920" s="5"/>
      <c r="C920" s="5"/>
    </row>
    <row r="921" spans="1:3" x14ac:dyDescent="0.25">
      <c r="A921" s="21"/>
      <c r="B921" s="5"/>
      <c r="C921" s="5"/>
    </row>
    <row r="922" spans="1:3" x14ac:dyDescent="0.25">
      <c r="A922" s="21"/>
      <c r="B922" s="5"/>
      <c r="C922" s="5"/>
    </row>
    <row r="923" spans="1:3" x14ac:dyDescent="0.25">
      <c r="A923" s="21"/>
      <c r="B923" s="5"/>
      <c r="C923" s="5"/>
    </row>
    <row r="924" spans="1:3" x14ac:dyDescent="0.25">
      <c r="A924" s="21"/>
      <c r="B924" s="5"/>
      <c r="C924" s="5"/>
    </row>
    <row r="925" spans="1:3" x14ac:dyDescent="0.25">
      <c r="A925" s="21"/>
      <c r="B925" s="5"/>
      <c r="C925" s="5"/>
    </row>
    <row r="926" spans="1:3" x14ac:dyDescent="0.25">
      <c r="A926" s="21"/>
      <c r="B926" s="5"/>
      <c r="C926" s="5"/>
    </row>
    <row r="927" spans="1:3" x14ac:dyDescent="0.25">
      <c r="A927" s="21"/>
      <c r="B927" s="5"/>
      <c r="C927" s="5"/>
    </row>
    <row r="928" spans="1:3" x14ac:dyDescent="0.25">
      <c r="A928" s="21"/>
      <c r="B928" s="5"/>
      <c r="C928" s="5"/>
    </row>
    <row r="929" spans="1:3" x14ac:dyDescent="0.25">
      <c r="A929" s="21"/>
      <c r="B929" s="5"/>
      <c r="C929" s="5"/>
    </row>
    <row r="930" spans="1:3" x14ac:dyDescent="0.25">
      <c r="A930" s="21"/>
      <c r="B930" s="5"/>
      <c r="C930" s="5"/>
    </row>
    <row r="931" spans="1:3" x14ac:dyDescent="0.25">
      <c r="A931" s="21"/>
      <c r="B931" s="5"/>
      <c r="C931" s="5"/>
    </row>
    <row r="932" spans="1:3" x14ac:dyDescent="0.25">
      <c r="A932" s="21"/>
      <c r="B932" s="5"/>
      <c r="C932" s="5"/>
    </row>
    <row r="933" spans="1:3" x14ac:dyDescent="0.25">
      <c r="A933" s="21"/>
      <c r="B933" s="5"/>
      <c r="C933" s="5"/>
    </row>
    <row r="934" spans="1:3" x14ac:dyDescent="0.25">
      <c r="A934" s="21"/>
      <c r="B934" s="5"/>
      <c r="C934" s="5"/>
    </row>
    <row r="935" spans="1:3" x14ac:dyDescent="0.25">
      <c r="A935" s="21"/>
      <c r="B935" s="5"/>
      <c r="C935" s="5"/>
    </row>
    <row r="936" spans="1:3" x14ac:dyDescent="0.25">
      <c r="A936" s="21"/>
      <c r="B936" s="5"/>
      <c r="C936" s="5"/>
    </row>
    <row r="937" spans="1:3" x14ac:dyDescent="0.25">
      <c r="A937" s="21"/>
      <c r="B937" s="5"/>
      <c r="C937" s="5"/>
    </row>
    <row r="938" spans="1:3" x14ac:dyDescent="0.25">
      <c r="A938" s="21"/>
      <c r="B938" s="5"/>
      <c r="C938" s="5"/>
    </row>
    <row r="939" spans="1:3" x14ac:dyDescent="0.25">
      <c r="A939" s="21"/>
      <c r="B939" s="5"/>
      <c r="C939" s="5"/>
    </row>
    <row r="940" spans="1:3" x14ac:dyDescent="0.25">
      <c r="A940" s="21"/>
      <c r="B940" s="5"/>
      <c r="C940" s="5"/>
    </row>
    <row r="941" spans="1:3" x14ac:dyDescent="0.25">
      <c r="A941" s="21"/>
      <c r="B941" s="5"/>
      <c r="C941" s="5"/>
    </row>
    <row r="942" spans="1:3" x14ac:dyDescent="0.25">
      <c r="A942" s="21"/>
      <c r="B942" s="5"/>
      <c r="C942" s="5"/>
    </row>
    <row r="943" spans="1:3" x14ac:dyDescent="0.25">
      <c r="A943" s="21"/>
      <c r="B943" s="5"/>
      <c r="C943" s="5"/>
    </row>
    <row r="944" spans="1:3" x14ac:dyDescent="0.25">
      <c r="A944" s="21"/>
      <c r="B944" s="5"/>
      <c r="C944" s="5"/>
    </row>
    <row r="945" spans="1:3" x14ac:dyDescent="0.25">
      <c r="A945" s="21"/>
      <c r="B945" s="5"/>
      <c r="C945" s="5"/>
    </row>
    <row r="946" spans="1:3" x14ac:dyDescent="0.25">
      <c r="A946" s="21"/>
      <c r="B946" s="5"/>
      <c r="C946" s="5"/>
    </row>
    <row r="947" spans="1:3" x14ac:dyDescent="0.25">
      <c r="A947" s="21"/>
      <c r="B947" s="5"/>
      <c r="C947" s="5"/>
    </row>
    <row r="948" spans="1:3" x14ac:dyDescent="0.25">
      <c r="A948" s="21"/>
      <c r="B948" s="5"/>
      <c r="C948" s="5"/>
    </row>
    <row r="949" spans="1:3" x14ac:dyDescent="0.25">
      <c r="A949" s="21"/>
      <c r="B949" s="5"/>
      <c r="C949" s="5"/>
    </row>
    <row r="950" spans="1:3" x14ac:dyDescent="0.25">
      <c r="A950" s="21"/>
      <c r="B950" s="5"/>
      <c r="C950" s="5"/>
    </row>
    <row r="951" spans="1:3" x14ac:dyDescent="0.25">
      <c r="A951" s="21"/>
      <c r="B951" s="5"/>
      <c r="C951" s="5"/>
    </row>
    <row r="952" spans="1:3" x14ac:dyDescent="0.25">
      <c r="A952" s="21"/>
      <c r="B952" s="5"/>
      <c r="C952" s="5"/>
    </row>
    <row r="953" spans="1:3" x14ac:dyDescent="0.25">
      <c r="A953" s="21"/>
      <c r="B953" s="5"/>
      <c r="C953" s="5"/>
    </row>
    <row r="954" spans="1:3" x14ac:dyDescent="0.25">
      <c r="A954" s="21"/>
      <c r="B954" s="5"/>
      <c r="C954" s="5"/>
    </row>
    <row r="955" spans="1:3" x14ac:dyDescent="0.25">
      <c r="A955" s="21"/>
      <c r="B955" s="5"/>
      <c r="C955" s="5"/>
    </row>
    <row r="956" spans="1:3" x14ac:dyDescent="0.25">
      <c r="A956" s="21"/>
      <c r="B956" s="5"/>
      <c r="C956" s="5"/>
    </row>
    <row r="957" spans="1:3" x14ac:dyDescent="0.25">
      <c r="A957" s="21"/>
      <c r="B957" s="5"/>
      <c r="C957" s="5"/>
    </row>
    <row r="958" spans="1:3" x14ac:dyDescent="0.25">
      <c r="A958" s="21"/>
      <c r="B958" s="5"/>
      <c r="C958" s="5"/>
    </row>
    <row r="959" spans="1:3" x14ac:dyDescent="0.25">
      <c r="A959" s="21"/>
      <c r="B959" s="5"/>
      <c r="C959" s="5"/>
    </row>
    <row r="960" spans="1:3" x14ac:dyDescent="0.25">
      <c r="A960" s="21"/>
      <c r="B960" s="5"/>
      <c r="C960" s="5"/>
    </row>
    <row r="961" spans="1:3" x14ac:dyDescent="0.25">
      <c r="A961" s="21"/>
      <c r="B961" s="5"/>
      <c r="C961" s="5"/>
    </row>
    <row r="962" spans="1:3" x14ac:dyDescent="0.25">
      <c r="A962" s="21"/>
      <c r="B962" s="5"/>
      <c r="C962" s="5"/>
    </row>
    <row r="963" spans="1:3" x14ac:dyDescent="0.25">
      <c r="A963" s="21"/>
      <c r="B963" s="5"/>
      <c r="C963" s="5"/>
    </row>
    <row r="964" spans="1:3" x14ac:dyDescent="0.25">
      <c r="A964" s="21"/>
      <c r="B964" s="5"/>
      <c r="C964" s="5"/>
    </row>
    <row r="965" spans="1:3" x14ac:dyDescent="0.25">
      <c r="A965" s="21"/>
      <c r="B965" s="5"/>
      <c r="C965" s="5"/>
    </row>
    <row r="966" spans="1:3" x14ac:dyDescent="0.25">
      <c r="A966" s="21"/>
      <c r="B966" s="5"/>
      <c r="C966" s="5"/>
    </row>
    <row r="967" spans="1:3" x14ac:dyDescent="0.25">
      <c r="A967" s="21"/>
      <c r="B967" s="5"/>
      <c r="C967" s="5"/>
    </row>
    <row r="968" spans="1:3" x14ac:dyDescent="0.25">
      <c r="A968" s="21"/>
      <c r="B968" s="5"/>
      <c r="C968" s="5"/>
    </row>
    <row r="969" spans="1:3" x14ac:dyDescent="0.25">
      <c r="A969" s="21"/>
      <c r="B969" s="5"/>
      <c r="C969" s="5"/>
    </row>
    <row r="970" spans="1:3" x14ac:dyDescent="0.25">
      <c r="A970" s="21"/>
      <c r="B970" s="5"/>
      <c r="C970" s="5"/>
    </row>
    <row r="971" spans="1:3" x14ac:dyDescent="0.25">
      <c r="A971" s="21"/>
      <c r="B971" s="5"/>
      <c r="C971" s="5"/>
    </row>
    <row r="972" spans="1:3" x14ac:dyDescent="0.25">
      <c r="A972" s="21"/>
      <c r="B972" s="5"/>
      <c r="C972" s="5"/>
    </row>
    <row r="973" spans="1:3" x14ac:dyDescent="0.25">
      <c r="A973" s="21"/>
      <c r="B973" s="5"/>
      <c r="C973" s="5"/>
    </row>
    <row r="974" spans="1:3" x14ac:dyDescent="0.25">
      <c r="A974" s="21"/>
      <c r="B974" s="5"/>
      <c r="C974" s="5"/>
    </row>
    <row r="975" spans="1:3" x14ac:dyDescent="0.25">
      <c r="A975" s="21"/>
      <c r="B975" s="5"/>
      <c r="C975" s="5"/>
    </row>
    <row r="976" spans="1:3" x14ac:dyDescent="0.25">
      <c r="A976" s="21"/>
      <c r="B976" s="5"/>
      <c r="C976" s="5"/>
    </row>
    <row r="977" spans="1:3" x14ac:dyDescent="0.25">
      <c r="A977" s="21"/>
      <c r="B977" s="5"/>
      <c r="C977" s="5"/>
    </row>
    <row r="978" spans="1:3" x14ac:dyDescent="0.25">
      <c r="A978" s="21"/>
      <c r="B978" s="5"/>
      <c r="C978" s="5"/>
    </row>
    <row r="979" spans="1:3" x14ac:dyDescent="0.25">
      <c r="A979" s="21"/>
      <c r="B979" s="5"/>
      <c r="C979" s="5"/>
    </row>
    <row r="980" spans="1:3" x14ac:dyDescent="0.25">
      <c r="A980" s="21"/>
      <c r="B980" s="5"/>
      <c r="C980" s="5"/>
    </row>
    <row r="981" spans="1:3" x14ac:dyDescent="0.25">
      <c r="A981" s="21"/>
      <c r="B981" s="5"/>
      <c r="C981" s="5"/>
    </row>
    <row r="982" spans="1:3" x14ac:dyDescent="0.25">
      <c r="A982" s="21"/>
      <c r="B982" s="5"/>
      <c r="C982" s="5"/>
    </row>
    <row r="983" spans="1:3" x14ac:dyDescent="0.25">
      <c r="A983" s="21"/>
      <c r="B983" s="5"/>
      <c r="C983" s="5"/>
    </row>
    <row r="984" spans="1:3" x14ac:dyDescent="0.25">
      <c r="A984" s="21"/>
      <c r="B984" s="5"/>
      <c r="C984" s="5"/>
    </row>
    <row r="985" spans="1:3" x14ac:dyDescent="0.25">
      <c r="A985" s="21"/>
      <c r="B985" s="5"/>
      <c r="C985" s="5"/>
    </row>
    <row r="986" spans="1:3" x14ac:dyDescent="0.25">
      <c r="A986" s="21"/>
      <c r="B986" s="5"/>
      <c r="C986" s="5"/>
    </row>
    <row r="987" spans="1:3" x14ac:dyDescent="0.25">
      <c r="A987" s="21"/>
      <c r="B987" s="5"/>
      <c r="C987" s="5"/>
    </row>
    <row r="988" spans="1:3" x14ac:dyDescent="0.25">
      <c r="A988" s="21"/>
      <c r="B988" s="5"/>
      <c r="C988" s="5"/>
    </row>
    <row r="989" spans="1:3" x14ac:dyDescent="0.25">
      <c r="A989" s="21"/>
      <c r="B989" s="5"/>
      <c r="C989" s="5"/>
    </row>
    <row r="990" spans="1:3" x14ac:dyDescent="0.25">
      <c r="A990" s="21"/>
      <c r="B990" s="5"/>
      <c r="C990" s="5"/>
    </row>
    <row r="991" spans="1:3" x14ac:dyDescent="0.25">
      <c r="A991" s="21"/>
      <c r="B991" s="5"/>
      <c r="C991" s="5"/>
    </row>
    <row r="992" spans="1:3" x14ac:dyDescent="0.25">
      <c r="A992" s="21"/>
      <c r="B992" s="5"/>
      <c r="C992" s="5"/>
    </row>
    <row r="993" spans="1:3" x14ac:dyDescent="0.25">
      <c r="A993" s="21"/>
      <c r="B993" s="5"/>
      <c r="C993" s="5"/>
    </row>
    <row r="994" spans="1:3" x14ac:dyDescent="0.25">
      <c r="A994" s="21"/>
      <c r="B994" s="5"/>
      <c r="C994" s="5"/>
    </row>
    <row r="995" spans="1:3" x14ac:dyDescent="0.25">
      <c r="A995" s="21"/>
      <c r="B995" s="5"/>
      <c r="C995" s="5"/>
    </row>
    <row r="996" spans="1:3" x14ac:dyDescent="0.25">
      <c r="A996" s="21"/>
      <c r="B996" s="5"/>
      <c r="C996" s="5"/>
    </row>
    <row r="997" spans="1:3" x14ac:dyDescent="0.25">
      <c r="A997" s="21"/>
      <c r="B997" s="5"/>
      <c r="C997" s="5"/>
    </row>
    <row r="998" spans="1:3" x14ac:dyDescent="0.25">
      <c r="A998" s="21"/>
      <c r="B998" s="5"/>
      <c r="C998" s="5"/>
    </row>
    <row r="999" spans="1:3" x14ac:dyDescent="0.25">
      <c r="A999" s="21"/>
      <c r="B999" s="5"/>
      <c r="C999" s="5"/>
    </row>
    <row r="1000" spans="1:3" x14ac:dyDescent="0.25">
      <c r="A1000" s="21"/>
      <c r="B1000" s="5"/>
      <c r="C1000" s="5"/>
    </row>
    <row r="1001" spans="1:3" x14ac:dyDescent="0.25">
      <c r="A1001" s="21"/>
      <c r="B1001" s="5"/>
      <c r="C1001" s="5"/>
    </row>
    <row r="1002" spans="1:3" x14ac:dyDescent="0.25">
      <c r="A1002" s="21"/>
      <c r="B1002" s="5"/>
      <c r="C1002" s="5"/>
    </row>
    <row r="1003" spans="1:3" x14ac:dyDescent="0.25">
      <c r="A1003" s="21"/>
      <c r="B1003" s="5"/>
      <c r="C1003" s="5"/>
    </row>
    <row r="1004" spans="1:3" x14ac:dyDescent="0.25">
      <c r="A1004" s="21"/>
      <c r="B1004" s="5"/>
      <c r="C1004" s="5"/>
    </row>
    <row r="1005" spans="1:3" x14ac:dyDescent="0.25">
      <c r="A1005" s="21"/>
      <c r="B1005" s="5"/>
      <c r="C1005" s="5"/>
    </row>
    <row r="1006" spans="1:3" x14ac:dyDescent="0.25">
      <c r="A1006" s="21"/>
      <c r="B1006" s="5"/>
      <c r="C1006" s="5"/>
    </row>
    <row r="1007" spans="1:3" x14ac:dyDescent="0.25">
      <c r="A1007" s="21"/>
      <c r="B1007" s="5"/>
      <c r="C1007" s="5"/>
    </row>
    <row r="1008" spans="1:3" x14ac:dyDescent="0.25">
      <c r="A1008" s="21"/>
      <c r="B1008" s="5"/>
      <c r="C1008" s="5"/>
    </row>
    <row r="1009" spans="1:3" x14ac:dyDescent="0.25">
      <c r="A1009" s="21"/>
      <c r="B1009" s="5"/>
      <c r="C1009" s="5"/>
    </row>
    <row r="1010" spans="1:3" x14ac:dyDescent="0.25">
      <c r="A1010" s="21"/>
      <c r="B1010" s="5"/>
      <c r="C1010" s="5"/>
    </row>
    <row r="1011" spans="1:3" x14ac:dyDescent="0.25">
      <c r="A1011" s="21"/>
      <c r="B1011" s="5"/>
      <c r="C1011" s="5"/>
    </row>
    <row r="1012" spans="1:3" x14ac:dyDescent="0.25">
      <c r="A1012" s="21"/>
      <c r="B1012" s="5"/>
      <c r="C1012" s="5"/>
    </row>
    <row r="1013" spans="1:3" x14ac:dyDescent="0.25">
      <c r="A1013" s="21"/>
      <c r="B1013" s="5"/>
      <c r="C1013" s="5"/>
    </row>
    <row r="1014" spans="1:3" x14ac:dyDescent="0.25">
      <c r="A1014" s="21"/>
      <c r="B1014" s="5"/>
      <c r="C1014" s="5"/>
    </row>
    <row r="1015" spans="1:3" x14ac:dyDescent="0.25">
      <c r="A1015" s="21"/>
      <c r="B1015" s="5"/>
      <c r="C1015" s="5"/>
    </row>
    <row r="1016" spans="1:3" x14ac:dyDescent="0.25">
      <c r="A1016" s="21"/>
      <c r="B1016" s="5"/>
      <c r="C1016" s="5"/>
    </row>
    <row r="1017" spans="1:3" x14ac:dyDescent="0.25">
      <c r="A1017" s="21"/>
      <c r="B1017" s="5"/>
      <c r="C1017" s="5"/>
    </row>
    <row r="1018" spans="1:3" x14ac:dyDescent="0.25">
      <c r="A1018" s="21"/>
      <c r="B1018" s="5"/>
      <c r="C1018" s="5"/>
    </row>
    <row r="1019" spans="1:3" x14ac:dyDescent="0.25">
      <c r="A1019" s="21"/>
      <c r="B1019" s="5"/>
      <c r="C1019" s="5"/>
    </row>
    <row r="1020" spans="1:3" x14ac:dyDescent="0.25">
      <c r="A1020" s="21"/>
      <c r="B1020" s="5"/>
      <c r="C1020" s="5"/>
    </row>
    <row r="1021" spans="1:3" x14ac:dyDescent="0.25">
      <c r="A1021" s="21"/>
      <c r="B1021" s="5"/>
      <c r="C1021" s="5"/>
    </row>
    <row r="1022" spans="1:3" x14ac:dyDescent="0.25">
      <c r="A1022" s="21"/>
      <c r="B1022" s="5"/>
      <c r="C1022" s="5"/>
    </row>
    <row r="1023" spans="1:3" x14ac:dyDescent="0.25">
      <c r="A1023" s="21"/>
      <c r="B1023" s="5"/>
      <c r="C1023" s="5"/>
    </row>
    <row r="1024" spans="1:3" x14ac:dyDescent="0.25">
      <c r="A1024" s="21"/>
      <c r="B1024" s="5"/>
      <c r="C1024" s="5"/>
    </row>
    <row r="1025" spans="1:3" x14ac:dyDescent="0.25">
      <c r="A1025" s="21"/>
      <c r="B1025" s="5"/>
      <c r="C1025" s="5"/>
    </row>
    <row r="1026" spans="1:3" x14ac:dyDescent="0.25">
      <c r="A1026" s="21"/>
      <c r="B1026" s="5"/>
      <c r="C1026" s="5"/>
    </row>
    <row r="1027" spans="1:3" x14ac:dyDescent="0.25">
      <c r="A1027" s="21"/>
      <c r="B1027" s="5"/>
      <c r="C1027" s="5"/>
    </row>
    <row r="1028" spans="1:3" x14ac:dyDescent="0.25">
      <c r="A1028" s="21"/>
      <c r="B1028" s="5"/>
      <c r="C1028" s="5"/>
    </row>
    <row r="1029" spans="1:3" x14ac:dyDescent="0.25">
      <c r="A1029" s="21"/>
      <c r="B1029" s="5"/>
      <c r="C1029" s="5"/>
    </row>
    <row r="1030" spans="1:3" x14ac:dyDescent="0.25">
      <c r="A1030" s="21"/>
      <c r="B1030" s="5"/>
      <c r="C1030" s="5"/>
    </row>
    <row r="1031" spans="1:3" x14ac:dyDescent="0.25">
      <c r="A1031" s="21"/>
      <c r="B1031" s="5"/>
      <c r="C1031" s="5"/>
    </row>
    <row r="1032" spans="1:3" x14ac:dyDescent="0.25">
      <c r="A1032" s="21"/>
      <c r="B1032" s="5"/>
      <c r="C1032" s="5"/>
    </row>
    <row r="1033" spans="1:3" x14ac:dyDescent="0.25">
      <c r="A1033" s="21"/>
      <c r="B1033" s="5"/>
      <c r="C1033" s="5"/>
    </row>
    <row r="1034" spans="1:3" x14ac:dyDescent="0.25">
      <c r="A1034" s="21"/>
      <c r="B1034" s="5"/>
      <c r="C1034" s="5"/>
    </row>
    <row r="1035" spans="1:3" x14ac:dyDescent="0.25">
      <c r="A1035" s="21"/>
      <c r="B1035" s="5"/>
      <c r="C1035" s="5"/>
    </row>
    <row r="1036" spans="1:3" x14ac:dyDescent="0.25">
      <c r="A1036" s="21"/>
      <c r="B1036" s="5"/>
      <c r="C1036" s="5"/>
    </row>
    <row r="1037" spans="1:3" x14ac:dyDescent="0.25">
      <c r="A1037" s="21"/>
      <c r="B1037" s="5"/>
      <c r="C1037" s="5"/>
    </row>
    <row r="1038" spans="1:3" x14ac:dyDescent="0.25">
      <c r="A1038" s="21"/>
      <c r="B1038" s="5"/>
      <c r="C1038" s="5"/>
    </row>
    <row r="1039" spans="1:3" x14ac:dyDescent="0.25">
      <c r="A1039" s="21"/>
      <c r="B1039" s="5"/>
      <c r="C1039" s="5"/>
    </row>
    <row r="1040" spans="1:3" x14ac:dyDescent="0.25">
      <c r="A1040" s="21"/>
      <c r="B1040" s="5"/>
      <c r="C1040" s="5"/>
    </row>
    <row r="1041" spans="1:3" x14ac:dyDescent="0.25">
      <c r="A1041" s="21"/>
      <c r="B1041" s="5"/>
      <c r="C1041" s="5"/>
    </row>
    <row r="1042" spans="1:3" x14ac:dyDescent="0.25">
      <c r="A1042" s="21"/>
      <c r="B1042" s="5"/>
      <c r="C1042" s="5"/>
    </row>
    <row r="1043" spans="1:3" x14ac:dyDescent="0.25">
      <c r="A1043" s="21"/>
      <c r="B1043" s="5"/>
      <c r="C1043" s="5"/>
    </row>
    <row r="1044" spans="1:3" x14ac:dyDescent="0.25">
      <c r="A1044" s="21"/>
      <c r="B1044" s="5"/>
      <c r="C1044" s="5"/>
    </row>
    <row r="1045" spans="1:3" x14ac:dyDescent="0.25">
      <c r="A1045" s="21"/>
      <c r="B1045" s="5"/>
      <c r="C1045" s="5"/>
    </row>
    <row r="1046" spans="1:3" x14ac:dyDescent="0.25">
      <c r="A1046" s="21"/>
      <c r="B1046" s="5"/>
      <c r="C1046" s="5"/>
    </row>
    <row r="1047" spans="1:3" x14ac:dyDescent="0.25">
      <c r="A1047" s="21"/>
      <c r="B1047" s="5"/>
      <c r="C1047" s="5"/>
    </row>
    <row r="1048" spans="1:3" x14ac:dyDescent="0.25">
      <c r="A1048" s="21"/>
      <c r="B1048" s="5"/>
      <c r="C1048" s="5"/>
    </row>
    <row r="1049" spans="1:3" x14ac:dyDescent="0.25">
      <c r="A1049" s="21"/>
      <c r="B1049" s="5"/>
      <c r="C1049" s="5"/>
    </row>
    <row r="1050" spans="1:3" x14ac:dyDescent="0.25">
      <c r="A1050" s="21"/>
      <c r="B1050" s="5"/>
      <c r="C1050" s="5"/>
    </row>
    <row r="1051" spans="1:3" x14ac:dyDescent="0.25">
      <c r="A1051" s="21"/>
      <c r="B1051" s="5"/>
      <c r="C1051" s="5"/>
    </row>
    <row r="1052" spans="1:3" x14ac:dyDescent="0.25">
      <c r="A1052" s="21"/>
      <c r="B1052" s="5"/>
      <c r="C1052" s="5"/>
    </row>
    <row r="1053" spans="1:3" x14ac:dyDescent="0.25">
      <c r="A1053" s="21"/>
      <c r="B1053" s="5"/>
      <c r="C1053" s="5"/>
    </row>
    <row r="1054" spans="1:3" x14ac:dyDescent="0.25">
      <c r="A1054" s="21"/>
      <c r="B1054" s="5"/>
      <c r="C1054" s="5"/>
    </row>
    <row r="1055" spans="1:3" x14ac:dyDescent="0.25">
      <c r="A1055" s="21"/>
      <c r="B1055" s="5"/>
      <c r="C1055" s="5"/>
    </row>
    <row r="1056" spans="1:3" x14ac:dyDescent="0.25">
      <c r="A1056" s="21"/>
      <c r="B1056" s="5"/>
      <c r="C1056" s="5"/>
    </row>
    <row r="1057" spans="1:3" x14ac:dyDescent="0.25">
      <c r="A1057" s="21"/>
      <c r="B1057" s="5"/>
      <c r="C1057" s="5"/>
    </row>
    <row r="1058" spans="1:3" x14ac:dyDescent="0.25">
      <c r="A1058" s="21"/>
      <c r="B1058" s="5"/>
      <c r="C1058" s="5"/>
    </row>
    <row r="1059" spans="1:3" x14ac:dyDescent="0.25">
      <c r="A1059" s="21"/>
      <c r="B1059" s="5"/>
      <c r="C1059" s="5"/>
    </row>
    <row r="1060" spans="1:3" x14ac:dyDescent="0.25">
      <c r="A1060" s="21"/>
      <c r="B1060" s="5"/>
      <c r="C1060" s="5"/>
    </row>
    <row r="1061" spans="1:3" x14ac:dyDescent="0.25">
      <c r="A1061" s="21"/>
      <c r="B1061" s="5"/>
      <c r="C1061" s="5"/>
    </row>
    <row r="1062" spans="1:3" x14ac:dyDescent="0.25">
      <c r="A1062" s="21"/>
      <c r="B1062" s="5"/>
      <c r="C1062" s="5"/>
    </row>
    <row r="1063" spans="1:3" x14ac:dyDescent="0.25">
      <c r="A1063" s="21"/>
      <c r="B1063" s="5"/>
      <c r="C1063" s="5"/>
    </row>
    <row r="1064" spans="1:3" x14ac:dyDescent="0.25">
      <c r="A1064" s="21"/>
      <c r="B1064" s="5"/>
      <c r="C1064" s="5"/>
    </row>
    <row r="1065" spans="1:3" x14ac:dyDescent="0.25">
      <c r="A1065" s="21"/>
      <c r="B1065" s="5"/>
      <c r="C1065" s="5"/>
    </row>
    <row r="1066" spans="1:3" x14ac:dyDescent="0.25">
      <c r="A1066" s="21"/>
      <c r="B1066" s="5"/>
      <c r="C1066" s="5"/>
    </row>
    <row r="1067" spans="1:3" x14ac:dyDescent="0.25">
      <c r="A1067" s="21"/>
      <c r="B1067" s="5"/>
      <c r="C1067" s="5"/>
    </row>
    <row r="1068" spans="1:3" x14ac:dyDescent="0.25">
      <c r="A1068" s="21"/>
      <c r="B1068" s="5"/>
      <c r="C1068" s="5"/>
    </row>
    <row r="1069" spans="1:3" x14ac:dyDescent="0.25">
      <c r="A1069" s="21"/>
      <c r="B1069" s="5"/>
      <c r="C1069" s="5"/>
    </row>
    <row r="1070" spans="1:3" x14ac:dyDescent="0.25">
      <c r="A1070" s="21"/>
      <c r="B1070" s="5"/>
      <c r="C1070" s="5"/>
    </row>
    <row r="1071" spans="1:3" x14ac:dyDescent="0.25">
      <c r="A1071" s="21"/>
      <c r="B1071" s="5"/>
      <c r="C1071" s="5"/>
    </row>
    <row r="1072" spans="1:3" x14ac:dyDescent="0.25">
      <c r="A1072" s="21"/>
      <c r="B1072" s="5"/>
      <c r="C1072" s="5"/>
    </row>
    <row r="1073" spans="1:3" x14ac:dyDescent="0.25">
      <c r="A1073" s="21"/>
      <c r="B1073" s="5"/>
      <c r="C1073" s="5"/>
    </row>
    <row r="1074" spans="1:3" x14ac:dyDescent="0.25">
      <c r="A1074" s="21"/>
      <c r="B1074" s="5"/>
      <c r="C1074" s="5"/>
    </row>
    <row r="1075" spans="1:3" x14ac:dyDescent="0.25">
      <c r="A1075" s="21"/>
      <c r="B1075" s="5"/>
      <c r="C1075" s="5"/>
    </row>
    <row r="1076" spans="1:3" x14ac:dyDescent="0.25">
      <c r="A1076" s="21"/>
      <c r="B1076" s="5"/>
      <c r="C1076" s="5"/>
    </row>
    <row r="1077" spans="1:3" x14ac:dyDescent="0.25">
      <c r="A1077" s="21"/>
      <c r="B1077" s="5"/>
      <c r="C1077" s="5"/>
    </row>
    <row r="1078" spans="1:3" x14ac:dyDescent="0.25">
      <c r="A1078" s="21"/>
      <c r="B1078" s="5"/>
      <c r="C1078" s="5"/>
    </row>
    <row r="1079" spans="1:3" x14ac:dyDescent="0.25">
      <c r="A1079" s="21"/>
      <c r="B1079" s="5"/>
      <c r="C1079" s="5"/>
    </row>
    <row r="1080" spans="1:3" x14ac:dyDescent="0.25">
      <c r="A1080" s="21"/>
      <c r="B1080" s="5"/>
      <c r="C1080" s="5"/>
    </row>
    <row r="1081" spans="1:3" x14ac:dyDescent="0.25">
      <c r="A1081" s="21"/>
      <c r="B1081" s="5"/>
      <c r="C1081" s="5"/>
    </row>
    <row r="1082" spans="1:3" x14ac:dyDescent="0.25">
      <c r="A1082" s="21"/>
      <c r="B1082" s="5"/>
      <c r="C1082" s="5"/>
    </row>
    <row r="1083" spans="1:3" x14ac:dyDescent="0.25">
      <c r="A1083" s="21"/>
      <c r="B1083" s="5"/>
      <c r="C1083" s="5"/>
    </row>
    <row r="1084" spans="1:3" x14ac:dyDescent="0.25">
      <c r="A1084" s="21"/>
      <c r="B1084" s="5"/>
      <c r="C1084" s="5"/>
    </row>
    <row r="1085" spans="1:3" x14ac:dyDescent="0.25">
      <c r="A1085" s="21"/>
      <c r="B1085" s="5"/>
      <c r="C1085" s="5"/>
    </row>
    <row r="1086" spans="1:3" x14ac:dyDescent="0.25">
      <c r="A1086" s="21"/>
      <c r="B1086" s="5"/>
      <c r="C1086" s="5"/>
    </row>
    <row r="1087" spans="1:3" x14ac:dyDescent="0.25">
      <c r="A1087" s="21"/>
      <c r="B1087" s="5"/>
      <c r="C1087" s="5"/>
    </row>
    <row r="1088" spans="1:3" x14ac:dyDescent="0.25">
      <c r="A1088" s="21"/>
      <c r="B1088" s="5"/>
      <c r="C1088" s="5"/>
    </row>
    <row r="1089" spans="1:3" x14ac:dyDescent="0.25">
      <c r="A1089" s="21"/>
      <c r="B1089" s="5"/>
      <c r="C1089" s="5"/>
    </row>
    <row r="1090" spans="1:3" x14ac:dyDescent="0.25">
      <c r="A1090" s="21"/>
      <c r="B1090" s="5"/>
      <c r="C1090" s="5"/>
    </row>
    <row r="1091" spans="1:3" x14ac:dyDescent="0.25">
      <c r="A1091" s="21"/>
      <c r="B1091" s="5"/>
      <c r="C1091" s="5"/>
    </row>
    <row r="1092" spans="1:3" x14ac:dyDescent="0.25">
      <c r="A1092" s="21"/>
      <c r="B1092" s="5"/>
      <c r="C1092" s="5"/>
    </row>
    <row r="1093" spans="1:3" x14ac:dyDescent="0.25">
      <c r="A1093" s="21"/>
      <c r="B1093" s="5"/>
      <c r="C1093" s="5"/>
    </row>
    <row r="1094" spans="1:3" x14ac:dyDescent="0.25">
      <c r="A1094" s="21"/>
      <c r="B1094" s="5"/>
      <c r="C1094" s="5"/>
    </row>
    <row r="1095" spans="1:3" x14ac:dyDescent="0.25">
      <c r="A1095" s="21"/>
      <c r="B1095" s="5"/>
      <c r="C1095" s="5"/>
    </row>
    <row r="1096" spans="1:3" x14ac:dyDescent="0.25">
      <c r="A1096" s="21"/>
      <c r="B1096" s="5"/>
      <c r="C1096" s="5"/>
    </row>
    <row r="1097" spans="1:3" x14ac:dyDescent="0.25">
      <c r="A1097" s="21"/>
      <c r="B1097" s="5"/>
      <c r="C1097" s="5"/>
    </row>
    <row r="1098" spans="1:3" x14ac:dyDescent="0.25">
      <c r="A1098" s="21"/>
      <c r="B1098" s="5"/>
      <c r="C1098" s="5"/>
    </row>
    <row r="1099" spans="1:3" x14ac:dyDescent="0.25">
      <c r="A1099" s="21"/>
      <c r="B1099" s="5"/>
      <c r="C1099" s="5"/>
    </row>
    <row r="1100" spans="1:3" x14ac:dyDescent="0.25">
      <c r="A1100" s="21"/>
      <c r="B1100" s="5"/>
      <c r="C1100" s="5"/>
    </row>
    <row r="1101" spans="1:3" x14ac:dyDescent="0.25">
      <c r="A1101" s="21"/>
      <c r="B1101" s="5"/>
      <c r="C1101" s="5"/>
    </row>
    <row r="1102" spans="1:3" x14ac:dyDescent="0.25">
      <c r="A1102" s="21"/>
      <c r="B1102" s="5"/>
      <c r="C1102" s="5"/>
    </row>
    <row r="1103" spans="1:3" x14ac:dyDescent="0.25">
      <c r="A1103" s="21"/>
      <c r="B1103" s="5"/>
      <c r="C1103" s="5"/>
    </row>
    <row r="1104" spans="1:3" x14ac:dyDescent="0.25">
      <c r="A1104" s="21"/>
      <c r="B1104" s="5"/>
      <c r="C1104" s="5"/>
    </row>
    <row r="1105" spans="1:3" x14ac:dyDescent="0.25">
      <c r="A1105" s="21"/>
      <c r="B1105" s="5"/>
      <c r="C1105" s="5"/>
    </row>
    <row r="1106" spans="1:3" x14ac:dyDescent="0.25">
      <c r="A1106" s="21"/>
      <c r="B1106" s="5"/>
      <c r="C1106" s="5"/>
    </row>
    <row r="1107" spans="1:3" x14ac:dyDescent="0.25">
      <c r="A1107" s="21"/>
      <c r="B1107" s="5"/>
      <c r="C1107" s="5"/>
    </row>
    <row r="1108" spans="1:3" x14ac:dyDescent="0.25">
      <c r="A1108" s="21"/>
      <c r="B1108" s="5"/>
      <c r="C1108" s="5"/>
    </row>
    <row r="1109" spans="1:3" x14ac:dyDescent="0.25">
      <c r="A1109" s="21"/>
      <c r="B1109" s="5"/>
      <c r="C1109" s="5"/>
    </row>
    <row r="1110" spans="1:3" x14ac:dyDescent="0.25">
      <c r="A1110" s="21"/>
      <c r="B1110" s="5"/>
      <c r="C1110" s="5"/>
    </row>
    <row r="1111" spans="1:3" x14ac:dyDescent="0.25">
      <c r="A1111" s="21"/>
      <c r="B1111" s="5"/>
      <c r="C1111" s="5"/>
    </row>
    <row r="1112" spans="1:3" x14ac:dyDescent="0.25">
      <c r="A1112" s="21"/>
      <c r="B1112" s="5"/>
      <c r="C1112" s="5"/>
    </row>
    <row r="1113" spans="1:3" x14ac:dyDescent="0.25">
      <c r="A1113" s="21"/>
      <c r="B1113" s="5"/>
      <c r="C1113" s="5"/>
    </row>
    <row r="1114" spans="1:3" x14ac:dyDescent="0.25">
      <c r="A1114" s="21"/>
      <c r="B1114" s="5"/>
      <c r="C1114" s="5"/>
    </row>
    <row r="1115" spans="1:3" x14ac:dyDescent="0.25">
      <c r="A1115" s="21"/>
      <c r="B1115" s="5"/>
      <c r="C1115" s="5"/>
    </row>
    <row r="1116" spans="1:3" x14ac:dyDescent="0.25">
      <c r="A1116" s="21"/>
      <c r="B1116" s="5"/>
      <c r="C1116" s="5"/>
    </row>
    <row r="1117" spans="1:3" x14ac:dyDescent="0.25">
      <c r="A1117" s="21"/>
      <c r="B1117" s="5"/>
      <c r="C1117" s="5"/>
    </row>
    <row r="1118" spans="1:3" x14ac:dyDescent="0.25">
      <c r="A1118" s="21"/>
      <c r="B1118" s="5"/>
      <c r="C1118" s="5"/>
    </row>
    <row r="1119" spans="1:3" x14ac:dyDescent="0.25">
      <c r="A1119" s="21"/>
      <c r="B1119" s="5"/>
      <c r="C1119" s="5"/>
    </row>
    <row r="1120" spans="1:3" x14ac:dyDescent="0.25">
      <c r="A1120" s="21"/>
      <c r="B1120" s="5"/>
      <c r="C1120" s="5"/>
    </row>
    <row r="1121" spans="1:3" x14ac:dyDescent="0.25">
      <c r="A1121" s="21"/>
      <c r="B1121" s="5"/>
      <c r="C1121" s="5"/>
    </row>
    <row r="1122" spans="1:3" x14ac:dyDescent="0.25">
      <c r="A1122" s="21"/>
      <c r="B1122" s="5"/>
      <c r="C1122" s="5"/>
    </row>
    <row r="1123" spans="1:3" x14ac:dyDescent="0.25">
      <c r="A1123" s="21"/>
      <c r="B1123" s="5"/>
      <c r="C1123" s="5"/>
    </row>
    <row r="1124" spans="1:3" x14ac:dyDescent="0.25">
      <c r="A1124" s="21"/>
      <c r="B1124" s="5"/>
      <c r="C1124" s="5"/>
    </row>
    <row r="1125" spans="1:3" x14ac:dyDescent="0.25">
      <c r="A1125" s="21"/>
      <c r="B1125" s="5"/>
      <c r="C1125" s="5"/>
    </row>
    <row r="1126" spans="1:3" x14ac:dyDescent="0.25">
      <c r="A1126" s="21"/>
      <c r="B1126" s="5"/>
      <c r="C1126" s="5"/>
    </row>
    <row r="1127" spans="1:3" x14ac:dyDescent="0.25">
      <c r="A1127" s="21"/>
      <c r="B1127" s="5"/>
      <c r="C1127" s="5"/>
    </row>
    <row r="1128" spans="1:3" x14ac:dyDescent="0.25">
      <c r="A1128" s="21"/>
      <c r="B1128" s="5"/>
      <c r="C1128" s="5"/>
    </row>
    <row r="1129" spans="1:3" x14ac:dyDescent="0.25">
      <c r="A1129" s="21"/>
      <c r="B1129" s="5"/>
      <c r="C1129" s="5"/>
    </row>
    <row r="1130" spans="1:3" x14ac:dyDescent="0.25">
      <c r="A1130" s="21"/>
      <c r="B1130" s="5"/>
      <c r="C1130" s="5"/>
    </row>
    <row r="1131" spans="1:3" x14ac:dyDescent="0.25">
      <c r="A1131" s="21"/>
      <c r="B1131" s="5"/>
      <c r="C1131" s="5"/>
    </row>
    <row r="1132" spans="1:3" x14ac:dyDescent="0.25">
      <c r="A1132" s="21"/>
      <c r="B1132" s="5"/>
      <c r="C1132" s="5"/>
    </row>
    <row r="1133" spans="1:3" x14ac:dyDescent="0.25">
      <c r="A1133" s="21"/>
      <c r="B1133" s="5"/>
      <c r="C1133" s="5"/>
    </row>
    <row r="1134" spans="1:3" x14ac:dyDescent="0.25">
      <c r="A1134" s="21"/>
      <c r="B1134" s="5"/>
      <c r="C1134" s="5"/>
    </row>
    <row r="1135" spans="1:3" x14ac:dyDescent="0.25">
      <c r="A1135" s="21"/>
      <c r="B1135" s="5"/>
      <c r="C1135" s="5"/>
    </row>
    <row r="1136" spans="1:3" x14ac:dyDescent="0.25">
      <c r="A1136" s="21"/>
      <c r="B1136" s="5"/>
      <c r="C1136" s="5"/>
    </row>
    <row r="1137" spans="1:3" x14ac:dyDescent="0.25">
      <c r="A1137" s="21"/>
      <c r="B1137" s="5"/>
      <c r="C1137" s="5"/>
    </row>
    <row r="1138" spans="1:3" x14ac:dyDescent="0.25">
      <c r="A1138" s="21"/>
      <c r="B1138" s="5"/>
      <c r="C1138" s="5"/>
    </row>
    <row r="1139" spans="1:3" x14ac:dyDescent="0.25">
      <c r="A1139" s="21"/>
      <c r="B1139" s="5"/>
      <c r="C1139" s="5"/>
    </row>
    <row r="1140" spans="1:3" x14ac:dyDescent="0.25">
      <c r="A1140" s="21"/>
      <c r="B1140" s="5"/>
      <c r="C1140" s="5"/>
    </row>
    <row r="1141" spans="1:3" x14ac:dyDescent="0.25">
      <c r="A1141" s="21"/>
      <c r="B1141" s="5"/>
      <c r="C1141" s="5"/>
    </row>
    <row r="1142" spans="1:3" x14ac:dyDescent="0.25">
      <c r="A1142" s="21"/>
      <c r="B1142" s="5"/>
      <c r="C1142" s="5"/>
    </row>
    <row r="1143" spans="1:3" x14ac:dyDescent="0.25">
      <c r="A1143" s="21"/>
      <c r="B1143" s="5"/>
      <c r="C1143" s="5"/>
    </row>
    <row r="1144" spans="1:3" x14ac:dyDescent="0.25">
      <c r="A1144" s="21"/>
      <c r="B1144" s="5"/>
      <c r="C1144" s="5"/>
    </row>
    <row r="1145" spans="1:3" x14ac:dyDescent="0.25">
      <c r="A1145" s="21"/>
      <c r="B1145" s="5"/>
      <c r="C1145" s="5"/>
    </row>
    <row r="1146" spans="1:3" x14ac:dyDescent="0.25">
      <c r="A1146" s="21"/>
      <c r="B1146" s="5"/>
      <c r="C1146" s="5"/>
    </row>
    <row r="1147" spans="1:3" x14ac:dyDescent="0.25">
      <c r="A1147" s="21"/>
      <c r="B1147" s="5"/>
      <c r="C1147" s="5"/>
    </row>
    <row r="1148" spans="1:3" x14ac:dyDescent="0.25">
      <c r="A1148" s="21"/>
      <c r="B1148" s="5"/>
      <c r="C1148" s="5"/>
    </row>
    <row r="1149" spans="1:3" x14ac:dyDescent="0.25">
      <c r="A1149" s="21"/>
      <c r="B1149" s="5"/>
      <c r="C1149" s="5"/>
    </row>
    <row r="1150" spans="1:3" x14ac:dyDescent="0.25">
      <c r="A1150" s="21"/>
      <c r="B1150" s="5"/>
      <c r="C1150" s="5"/>
    </row>
    <row r="1151" spans="1:3" x14ac:dyDescent="0.25">
      <c r="A1151" s="21"/>
      <c r="B1151" s="5"/>
      <c r="C1151" s="5"/>
    </row>
    <row r="1152" spans="1:3" x14ac:dyDescent="0.25">
      <c r="A1152" s="21"/>
      <c r="B1152" s="5"/>
      <c r="C1152" s="5"/>
    </row>
    <row r="1153" spans="1:3" x14ac:dyDescent="0.25">
      <c r="A1153" s="21"/>
      <c r="B1153" s="5"/>
      <c r="C1153" s="5"/>
    </row>
    <row r="1154" spans="1:3" x14ac:dyDescent="0.25">
      <c r="A1154" s="21"/>
      <c r="B1154" s="5"/>
      <c r="C1154" s="5"/>
    </row>
    <row r="1155" spans="1:3" x14ac:dyDescent="0.25">
      <c r="A1155" s="21"/>
      <c r="B1155" s="5"/>
      <c r="C1155" s="5"/>
    </row>
    <row r="1156" spans="1:3" x14ac:dyDescent="0.25">
      <c r="A1156" s="21"/>
      <c r="B1156" s="5"/>
      <c r="C1156" s="5"/>
    </row>
    <row r="1157" spans="1:3" x14ac:dyDescent="0.25">
      <c r="A1157" s="21"/>
      <c r="B1157" s="5"/>
      <c r="C1157" s="5"/>
    </row>
    <row r="1158" spans="1:3" x14ac:dyDescent="0.25">
      <c r="A1158" s="21"/>
      <c r="B1158" s="5"/>
      <c r="C1158" s="5"/>
    </row>
    <row r="1159" spans="1:3" x14ac:dyDescent="0.25">
      <c r="A1159" s="21"/>
      <c r="B1159" s="5"/>
      <c r="C1159" s="5"/>
    </row>
    <row r="1160" spans="1:3" x14ac:dyDescent="0.25">
      <c r="A1160" s="21"/>
      <c r="B1160" s="5"/>
      <c r="C1160" s="5"/>
    </row>
    <row r="1161" spans="1:3" x14ac:dyDescent="0.25">
      <c r="A1161" s="21"/>
      <c r="B1161" s="5"/>
      <c r="C1161" s="5"/>
    </row>
    <row r="1162" spans="1:3" x14ac:dyDescent="0.25">
      <c r="A1162" s="21"/>
      <c r="B1162" s="5"/>
      <c r="C1162" s="5"/>
    </row>
    <row r="1163" spans="1:3" x14ac:dyDescent="0.25">
      <c r="A1163" s="21"/>
      <c r="B1163" s="5"/>
      <c r="C1163" s="5"/>
    </row>
    <row r="1164" spans="1:3" x14ac:dyDescent="0.25">
      <c r="A1164" s="21"/>
      <c r="B1164" s="5"/>
      <c r="C1164" s="5"/>
    </row>
    <row r="1165" spans="1:3" x14ac:dyDescent="0.25">
      <c r="A1165" s="21"/>
      <c r="B1165" s="5"/>
      <c r="C1165" s="5"/>
    </row>
    <row r="1166" spans="1:3" x14ac:dyDescent="0.25">
      <c r="A1166" s="21"/>
      <c r="B1166" s="5"/>
      <c r="C1166" s="5"/>
    </row>
    <row r="1167" spans="1:3" x14ac:dyDescent="0.25">
      <c r="A1167" s="21"/>
      <c r="B1167" s="5"/>
      <c r="C1167" s="5"/>
    </row>
    <row r="1168" spans="1:3" x14ac:dyDescent="0.25">
      <c r="A1168" s="21"/>
      <c r="B1168" s="5"/>
      <c r="C1168" s="5"/>
    </row>
    <row r="1169" spans="1:3" x14ac:dyDescent="0.25">
      <c r="A1169" s="21"/>
      <c r="B1169" s="5"/>
      <c r="C1169" s="5"/>
    </row>
    <row r="1170" spans="1:3" x14ac:dyDescent="0.25">
      <c r="A1170" s="21"/>
      <c r="B1170" s="5"/>
      <c r="C1170" s="5"/>
    </row>
    <row r="1171" spans="1:3" x14ac:dyDescent="0.25">
      <c r="A1171" s="21"/>
      <c r="B1171" s="5"/>
      <c r="C1171" s="5"/>
    </row>
    <row r="1172" spans="1:3" x14ac:dyDescent="0.25">
      <c r="A1172" s="21"/>
      <c r="B1172" s="5"/>
      <c r="C1172" s="5"/>
    </row>
    <row r="1173" spans="1:3" x14ac:dyDescent="0.25">
      <c r="A1173" s="21"/>
      <c r="B1173" s="5"/>
      <c r="C1173" s="5"/>
    </row>
    <row r="1174" spans="1:3" x14ac:dyDescent="0.25">
      <c r="A1174" s="21"/>
      <c r="B1174" s="5"/>
      <c r="C1174" s="5"/>
    </row>
    <row r="1175" spans="1:3" x14ac:dyDescent="0.25">
      <c r="A1175" s="21"/>
      <c r="B1175" s="5"/>
      <c r="C1175" s="5"/>
    </row>
    <row r="1176" spans="1:3" x14ac:dyDescent="0.25">
      <c r="A1176" s="21"/>
      <c r="B1176" s="5"/>
      <c r="C1176" s="5"/>
    </row>
    <row r="1177" spans="1:3" x14ac:dyDescent="0.25">
      <c r="A1177" s="21"/>
      <c r="B1177" s="5"/>
      <c r="C1177" s="5"/>
    </row>
    <row r="1178" spans="1:3" x14ac:dyDescent="0.25">
      <c r="A1178" s="21"/>
      <c r="B1178" s="5"/>
      <c r="C1178" s="5"/>
    </row>
    <row r="1179" spans="1:3" x14ac:dyDescent="0.25">
      <c r="A1179" s="21"/>
      <c r="B1179" s="5"/>
      <c r="C1179" s="5"/>
    </row>
    <row r="1180" spans="1:3" x14ac:dyDescent="0.25">
      <c r="A1180" s="21"/>
      <c r="B1180" s="5"/>
      <c r="C1180" s="5"/>
    </row>
    <row r="1181" spans="1:3" x14ac:dyDescent="0.25">
      <c r="A1181" s="21"/>
      <c r="B1181" s="5"/>
      <c r="C1181" s="5"/>
    </row>
    <row r="1182" spans="1:3" x14ac:dyDescent="0.25">
      <c r="A1182" s="21"/>
      <c r="B1182" s="5"/>
      <c r="C1182" s="5"/>
    </row>
    <row r="1183" spans="1:3" x14ac:dyDescent="0.25">
      <c r="A1183" s="21"/>
      <c r="B1183" s="5"/>
      <c r="C1183" s="5"/>
    </row>
    <row r="1184" spans="1:3" x14ac:dyDescent="0.25">
      <c r="A1184" s="21"/>
      <c r="B1184" s="5"/>
      <c r="C1184" s="5"/>
    </row>
    <row r="1185" spans="1:3" x14ac:dyDescent="0.25">
      <c r="A1185" s="21"/>
      <c r="B1185" s="5"/>
      <c r="C1185" s="5"/>
    </row>
    <row r="1186" spans="1:3" x14ac:dyDescent="0.25">
      <c r="A1186" s="21"/>
      <c r="B1186" s="5"/>
      <c r="C1186" s="5"/>
    </row>
    <row r="1187" spans="1:3" x14ac:dyDescent="0.25">
      <c r="A1187" s="21"/>
      <c r="B1187" s="5"/>
      <c r="C1187" s="5"/>
    </row>
    <row r="1188" spans="1:3" x14ac:dyDescent="0.25">
      <c r="A1188" s="21"/>
      <c r="B1188" s="5"/>
      <c r="C1188" s="5"/>
    </row>
    <row r="1189" spans="1:3" x14ac:dyDescent="0.25">
      <c r="A1189" s="21"/>
      <c r="B1189" s="5"/>
      <c r="C1189" s="5"/>
    </row>
    <row r="1190" spans="1:3" x14ac:dyDescent="0.25">
      <c r="A1190" s="21"/>
      <c r="B1190" s="5"/>
      <c r="C1190" s="5"/>
    </row>
    <row r="1191" spans="1:3" x14ac:dyDescent="0.25">
      <c r="A1191" s="21"/>
      <c r="B1191" s="5"/>
      <c r="C1191" s="5"/>
    </row>
    <row r="1192" spans="1:3" x14ac:dyDescent="0.25">
      <c r="A1192" s="21"/>
      <c r="B1192" s="5"/>
      <c r="C1192" s="5"/>
    </row>
    <row r="1193" spans="1:3" x14ac:dyDescent="0.25">
      <c r="A1193" s="21"/>
      <c r="B1193" s="5"/>
      <c r="C1193" s="5"/>
    </row>
    <row r="1194" spans="1:3" x14ac:dyDescent="0.25">
      <c r="A1194" s="21"/>
      <c r="B1194" s="5"/>
      <c r="C1194" s="5"/>
    </row>
    <row r="1195" spans="1:3" x14ac:dyDescent="0.25">
      <c r="A1195" s="21"/>
      <c r="B1195" s="5"/>
      <c r="C1195" s="5"/>
    </row>
    <row r="1196" spans="1:3" x14ac:dyDescent="0.25">
      <c r="A1196" s="21"/>
      <c r="B1196" s="5"/>
      <c r="C1196" s="5"/>
    </row>
    <row r="1197" spans="1:3" x14ac:dyDescent="0.25">
      <c r="A1197" s="21"/>
      <c r="B1197" s="5"/>
      <c r="C1197" s="5"/>
    </row>
    <row r="1198" spans="1:3" x14ac:dyDescent="0.25">
      <c r="A1198" s="21"/>
      <c r="B1198" s="5"/>
      <c r="C1198" s="5"/>
    </row>
    <row r="1199" spans="1:3" x14ac:dyDescent="0.25">
      <c r="A1199" s="21"/>
      <c r="B1199" s="5"/>
      <c r="C1199" s="5"/>
    </row>
    <row r="1200" spans="1:3" x14ac:dyDescent="0.25">
      <c r="A1200" s="21"/>
      <c r="B1200" s="5"/>
      <c r="C1200" s="5"/>
    </row>
    <row r="1201" spans="1:3" x14ac:dyDescent="0.25">
      <c r="A1201" s="21"/>
      <c r="B1201" s="5"/>
      <c r="C1201" s="5"/>
    </row>
    <row r="1202" spans="1:3" x14ac:dyDescent="0.25">
      <c r="A1202" s="21"/>
      <c r="B1202" s="5"/>
      <c r="C1202" s="5"/>
    </row>
    <row r="1203" spans="1:3" x14ac:dyDescent="0.25">
      <c r="A1203" s="21"/>
      <c r="B1203" s="5"/>
      <c r="C1203" s="5"/>
    </row>
    <row r="1204" spans="1:3" x14ac:dyDescent="0.25">
      <c r="A1204" s="21"/>
      <c r="B1204" s="5"/>
      <c r="C1204" s="5"/>
    </row>
    <row r="1205" spans="1:3" x14ac:dyDescent="0.25">
      <c r="A1205" s="21"/>
      <c r="B1205" s="5"/>
      <c r="C1205" s="5"/>
    </row>
    <row r="1206" spans="1:3" x14ac:dyDescent="0.25">
      <c r="A1206" s="21"/>
      <c r="B1206" s="5"/>
      <c r="C1206" s="5"/>
    </row>
    <row r="1207" spans="1:3" x14ac:dyDescent="0.25">
      <c r="A1207" s="21"/>
      <c r="B1207" s="5"/>
      <c r="C1207" s="5"/>
    </row>
    <row r="1208" spans="1:3" x14ac:dyDescent="0.25">
      <c r="A1208" s="21"/>
      <c r="B1208" s="5"/>
      <c r="C1208" s="5"/>
    </row>
    <row r="1209" spans="1:3" x14ac:dyDescent="0.25">
      <c r="A1209" s="21"/>
      <c r="B1209" s="5"/>
      <c r="C1209" s="5"/>
    </row>
    <row r="1210" spans="1:3" x14ac:dyDescent="0.25">
      <c r="A1210" s="21"/>
      <c r="B1210" s="5"/>
      <c r="C1210" s="5"/>
    </row>
    <row r="1211" spans="1:3" x14ac:dyDescent="0.25">
      <c r="A1211" s="21"/>
      <c r="B1211" s="5"/>
      <c r="C1211" s="5"/>
    </row>
    <row r="1212" spans="1:3" x14ac:dyDescent="0.25">
      <c r="A1212" s="21"/>
      <c r="B1212" s="5"/>
      <c r="C1212" s="5"/>
    </row>
    <row r="1213" spans="1:3" x14ac:dyDescent="0.25">
      <c r="A1213" s="21"/>
      <c r="B1213" s="5"/>
      <c r="C1213" s="5"/>
    </row>
    <row r="1214" spans="1:3" x14ac:dyDescent="0.25">
      <c r="A1214" s="21"/>
      <c r="B1214" s="5"/>
      <c r="C1214" s="5"/>
    </row>
    <row r="1215" spans="1:3" x14ac:dyDescent="0.25">
      <c r="A1215" s="21"/>
      <c r="B1215" s="5"/>
      <c r="C1215" s="5"/>
    </row>
    <row r="1216" spans="1:3" x14ac:dyDescent="0.25">
      <c r="A1216" s="21"/>
      <c r="B1216" s="5"/>
      <c r="C1216" s="5"/>
    </row>
    <row r="1217" spans="1:3" x14ac:dyDescent="0.25">
      <c r="A1217" s="21"/>
      <c r="B1217" s="5"/>
      <c r="C1217" s="5"/>
    </row>
    <row r="1218" spans="1:3" x14ac:dyDescent="0.25">
      <c r="A1218" s="21"/>
      <c r="B1218" s="5"/>
      <c r="C1218" s="5"/>
    </row>
    <row r="1219" spans="1:3" x14ac:dyDescent="0.25">
      <c r="A1219" s="21"/>
      <c r="B1219" s="5"/>
      <c r="C1219" s="5"/>
    </row>
    <row r="1220" spans="1:3" x14ac:dyDescent="0.25">
      <c r="A1220" s="21"/>
      <c r="B1220" s="5"/>
      <c r="C1220" s="5"/>
    </row>
    <row r="1221" spans="1:3" x14ac:dyDescent="0.25">
      <c r="A1221" s="21"/>
      <c r="B1221" s="5"/>
      <c r="C1221" s="5"/>
    </row>
    <row r="1222" spans="1:3" x14ac:dyDescent="0.25">
      <c r="A1222" s="21"/>
      <c r="B1222" s="5"/>
      <c r="C1222" s="5"/>
    </row>
    <row r="1223" spans="1:3" x14ac:dyDescent="0.25">
      <c r="A1223" s="21"/>
      <c r="B1223" s="5"/>
      <c r="C1223" s="5"/>
    </row>
    <row r="1224" spans="1:3" x14ac:dyDescent="0.25">
      <c r="A1224" s="21"/>
      <c r="B1224" s="5"/>
      <c r="C1224" s="5"/>
    </row>
    <row r="1225" spans="1:3" x14ac:dyDescent="0.25">
      <c r="A1225" s="21"/>
      <c r="B1225" s="5"/>
      <c r="C1225" s="5"/>
    </row>
    <row r="1226" spans="1:3" x14ac:dyDescent="0.25">
      <c r="A1226" s="21"/>
      <c r="B1226" s="5"/>
      <c r="C1226" s="5"/>
    </row>
    <row r="1227" spans="1:3" x14ac:dyDescent="0.25">
      <c r="A1227" s="21"/>
      <c r="B1227" s="5"/>
      <c r="C1227" s="5"/>
    </row>
    <row r="1228" spans="1:3" x14ac:dyDescent="0.25">
      <c r="A1228" s="21"/>
      <c r="B1228" s="5"/>
      <c r="C1228" s="5"/>
    </row>
    <row r="1229" spans="1:3" x14ac:dyDescent="0.25">
      <c r="A1229" s="21"/>
      <c r="B1229" s="5"/>
      <c r="C1229" s="5"/>
    </row>
    <row r="1230" spans="1:3" x14ac:dyDescent="0.25">
      <c r="A1230" s="21"/>
      <c r="B1230" s="5"/>
      <c r="C1230" s="5"/>
    </row>
    <row r="1231" spans="1:3" x14ac:dyDescent="0.25">
      <c r="A1231" s="21"/>
      <c r="B1231" s="5"/>
      <c r="C1231" s="5"/>
    </row>
    <row r="1232" spans="1:3" x14ac:dyDescent="0.25">
      <c r="A1232" s="21"/>
      <c r="B1232" s="5"/>
      <c r="C1232" s="5"/>
    </row>
    <row r="1233" spans="1:3" x14ac:dyDescent="0.25">
      <c r="A1233" s="21"/>
      <c r="B1233" s="5"/>
      <c r="C1233" s="5"/>
    </row>
    <row r="1234" spans="1:3" x14ac:dyDescent="0.25">
      <c r="A1234" s="21"/>
      <c r="B1234" s="5"/>
      <c r="C1234" s="5"/>
    </row>
    <row r="1235" spans="1:3" x14ac:dyDescent="0.25">
      <c r="A1235" s="21"/>
      <c r="B1235" s="5"/>
      <c r="C1235" s="5"/>
    </row>
    <row r="1236" spans="1:3" x14ac:dyDescent="0.25">
      <c r="A1236" s="21"/>
      <c r="B1236" s="5"/>
      <c r="C1236" s="5"/>
    </row>
    <row r="1237" spans="1:3" x14ac:dyDescent="0.25">
      <c r="A1237" s="21"/>
      <c r="B1237" s="5"/>
      <c r="C1237" s="5"/>
    </row>
    <row r="1238" spans="1:3" x14ac:dyDescent="0.25">
      <c r="A1238" s="21"/>
      <c r="B1238" s="5"/>
      <c r="C1238" s="5"/>
    </row>
    <row r="1239" spans="1:3" x14ac:dyDescent="0.25">
      <c r="A1239" s="21"/>
      <c r="B1239" s="5"/>
      <c r="C1239" s="5"/>
    </row>
    <row r="1240" spans="1:3" x14ac:dyDescent="0.25">
      <c r="A1240" s="21"/>
      <c r="B1240" s="5"/>
      <c r="C1240" s="5"/>
    </row>
    <row r="1241" spans="1:3" x14ac:dyDescent="0.25">
      <c r="A1241" s="21"/>
      <c r="B1241" s="5"/>
      <c r="C1241" s="5"/>
    </row>
    <row r="1242" spans="1:3" x14ac:dyDescent="0.25">
      <c r="A1242" s="21"/>
      <c r="B1242" s="5"/>
      <c r="C1242" s="5"/>
    </row>
    <row r="1243" spans="1:3" x14ac:dyDescent="0.25">
      <c r="A1243" s="21"/>
      <c r="B1243" s="5"/>
      <c r="C1243" s="5"/>
    </row>
    <row r="1244" spans="1:3" x14ac:dyDescent="0.25">
      <c r="A1244" s="21"/>
      <c r="B1244" s="5"/>
      <c r="C1244" s="5"/>
    </row>
    <row r="1245" spans="1:3" x14ac:dyDescent="0.25">
      <c r="A1245" s="21"/>
      <c r="B1245" s="5"/>
      <c r="C1245" s="5"/>
    </row>
    <row r="1246" spans="1:3" x14ac:dyDescent="0.25">
      <c r="A1246" s="21"/>
      <c r="B1246" s="5"/>
      <c r="C1246" s="5"/>
    </row>
    <row r="1247" spans="1:3" x14ac:dyDescent="0.25">
      <c r="A1247" s="21"/>
      <c r="B1247" s="5"/>
      <c r="C1247" s="5"/>
    </row>
    <row r="1248" spans="1:3" x14ac:dyDescent="0.25">
      <c r="A1248" s="21"/>
      <c r="B1248" s="5"/>
      <c r="C1248" s="5"/>
    </row>
    <row r="1249" spans="1:3" x14ac:dyDescent="0.25">
      <c r="A1249" s="21"/>
      <c r="B1249" s="5"/>
      <c r="C1249" s="5"/>
    </row>
    <row r="1250" spans="1:3" x14ac:dyDescent="0.25">
      <c r="A1250" s="21"/>
      <c r="B1250" s="5"/>
      <c r="C1250" s="5"/>
    </row>
    <row r="1251" spans="1:3" x14ac:dyDescent="0.25">
      <c r="A1251" s="21"/>
      <c r="B1251" s="5"/>
      <c r="C1251" s="5"/>
    </row>
    <row r="1252" spans="1:3" x14ac:dyDescent="0.25">
      <c r="A1252" s="21"/>
      <c r="B1252" s="5"/>
      <c r="C1252" s="5"/>
    </row>
    <row r="1253" spans="1:3" x14ac:dyDescent="0.25">
      <c r="A1253" s="21"/>
      <c r="B1253" s="5"/>
      <c r="C1253" s="5"/>
    </row>
    <row r="1254" spans="1:3" x14ac:dyDescent="0.25">
      <c r="A1254" s="21"/>
      <c r="B1254" s="5"/>
      <c r="C1254" s="5"/>
    </row>
    <row r="1255" spans="1:3" x14ac:dyDescent="0.25">
      <c r="A1255" s="21"/>
      <c r="B1255" s="5"/>
      <c r="C1255" s="5"/>
    </row>
    <row r="1256" spans="1:3" x14ac:dyDescent="0.25">
      <c r="A1256" s="21"/>
      <c r="B1256" s="5"/>
      <c r="C1256" s="5"/>
    </row>
    <row r="1257" spans="1:3" x14ac:dyDescent="0.25">
      <c r="A1257" s="21"/>
      <c r="B1257" s="5"/>
      <c r="C1257" s="5"/>
    </row>
    <row r="1258" spans="1:3" x14ac:dyDescent="0.25">
      <c r="A1258" s="21"/>
      <c r="B1258" s="5"/>
      <c r="C1258" s="5"/>
    </row>
    <row r="1259" spans="1:3" x14ac:dyDescent="0.25">
      <c r="A1259" s="21"/>
      <c r="B1259" s="5"/>
      <c r="C1259" s="5"/>
    </row>
    <row r="1260" spans="1:3" x14ac:dyDescent="0.25">
      <c r="A1260" s="21"/>
      <c r="B1260" s="5"/>
      <c r="C1260" s="5"/>
    </row>
    <row r="1261" spans="1:3" x14ac:dyDescent="0.25">
      <c r="A1261" s="21"/>
      <c r="B1261" s="5"/>
      <c r="C1261" s="5"/>
    </row>
    <row r="1262" spans="1:3" x14ac:dyDescent="0.25">
      <c r="A1262" s="21"/>
      <c r="B1262" s="5"/>
      <c r="C1262" s="5"/>
    </row>
    <row r="1263" spans="1:3" x14ac:dyDescent="0.25">
      <c r="A1263" s="21"/>
      <c r="B1263" s="5"/>
      <c r="C1263" s="5"/>
    </row>
    <row r="1264" spans="1:3" x14ac:dyDescent="0.25">
      <c r="A1264" s="21"/>
      <c r="B1264" s="5"/>
      <c r="C1264" s="5"/>
    </row>
    <row r="1265" spans="1:3" x14ac:dyDescent="0.25">
      <c r="A1265" s="21"/>
      <c r="B1265" s="5"/>
      <c r="C1265" s="5"/>
    </row>
    <row r="1266" spans="1:3" x14ac:dyDescent="0.25">
      <c r="A1266" s="21"/>
      <c r="B1266" s="5"/>
      <c r="C1266" s="5"/>
    </row>
    <row r="1267" spans="1:3" x14ac:dyDescent="0.25">
      <c r="A1267" s="21"/>
      <c r="B1267" s="5"/>
      <c r="C1267" s="5"/>
    </row>
    <row r="1268" spans="1:3" x14ac:dyDescent="0.25">
      <c r="A1268" s="21"/>
      <c r="B1268" s="5"/>
      <c r="C1268" s="5"/>
    </row>
    <row r="1269" spans="1:3" x14ac:dyDescent="0.25">
      <c r="A1269" s="21"/>
      <c r="B1269" s="5"/>
      <c r="C1269" s="5"/>
    </row>
    <row r="1270" spans="1:3" x14ac:dyDescent="0.25">
      <c r="A1270" s="21"/>
      <c r="B1270" s="5"/>
      <c r="C1270" s="5"/>
    </row>
    <row r="1271" spans="1:3" x14ac:dyDescent="0.25">
      <c r="A1271" s="21"/>
      <c r="B1271" s="5"/>
      <c r="C1271" s="5"/>
    </row>
    <row r="1272" spans="1:3" x14ac:dyDescent="0.25">
      <c r="A1272" s="21"/>
      <c r="B1272" s="5"/>
      <c r="C1272" s="5"/>
    </row>
    <row r="1273" spans="1:3" x14ac:dyDescent="0.25">
      <c r="A1273" s="21"/>
      <c r="B1273" s="5"/>
      <c r="C1273" s="5"/>
    </row>
    <row r="1274" spans="1:3" x14ac:dyDescent="0.25">
      <c r="A1274" s="21"/>
      <c r="B1274" s="5"/>
      <c r="C1274" s="5"/>
    </row>
    <row r="1275" spans="1:3" x14ac:dyDescent="0.25">
      <c r="A1275" s="21"/>
      <c r="B1275" s="5"/>
      <c r="C1275" s="5"/>
    </row>
    <row r="1276" spans="1:3" x14ac:dyDescent="0.25">
      <c r="A1276" s="21"/>
      <c r="B1276" s="5"/>
      <c r="C1276" s="5"/>
    </row>
    <row r="1277" spans="1:3" x14ac:dyDescent="0.25">
      <c r="A1277" s="21"/>
      <c r="B1277" s="5"/>
      <c r="C1277" s="5"/>
    </row>
    <row r="1278" spans="1:3" x14ac:dyDescent="0.25">
      <c r="A1278" s="21"/>
      <c r="B1278" s="5"/>
      <c r="C1278" s="5"/>
    </row>
    <row r="1279" spans="1:3" x14ac:dyDescent="0.25">
      <c r="A1279" s="21"/>
      <c r="B1279" s="5"/>
      <c r="C1279" s="5"/>
    </row>
    <row r="1280" spans="1:3" x14ac:dyDescent="0.25">
      <c r="A1280" s="21"/>
      <c r="B1280" s="5"/>
      <c r="C1280" s="5"/>
    </row>
    <row r="1281" spans="1:3" x14ac:dyDescent="0.25">
      <c r="A1281" s="21"/>
      <c r="B1281" s="5"/>
      <c r="C1281" s="5"/>
    </row>
    <row r="1282" spans="1:3" x14ac:dyDescent="0.25">
      <c r="A1282" s="21"/>
      <c r="B1282" s="5"/>
      <c r="C1282" s="5"/>
    </row>
    <row r="1283" spans="1:3" x14ac:dyDescent="0.25">
      <c r="A1283" s="21"/>
      <c r="B1283" s="5"/>
      <c r="C1283" s="5"/>
    </row>
    <row r="1284" spans="1:3" x14ac:dyDescent="0.25">
      <c r="A1284" s="21"/>
      <c r="B1284" s="5"/>
      <c r="C1284" s="5"/>
    </row>
    <row r="1285" spans="1:3" x14ac:dyDescent="0.25">
      <c r="A1285" s="21"/>
      <c r="B1285" s="5"/>
      <c r="C1285" s="5"/>
    </row>
    <row r="1286" spans="1:3" x14ac:dyDescent="0.25">
      <c r="A1286" s="21"/>
      <c r="B1286" s="5"/>
      <c r="C1286" s="5"/>
    </row>
    <row r="1287" spans="1:3" x14ac:dyDescent="0.25">
      <c r="A1287" s="21"/>
      <c r="B1287" s="5"/>
      <c r="C1287" s="5"/>
    </row>
    <row r="1288" spans="1:3" x14ac:dyDescent="0.25">
      <c r="A1288" s="21"/>
      <c r="B1288" s="5"/>
      <c r="C1288" s="5"/>
    </row>
    <row r="1289" spans="1:3" x14ac:dyDescent="0.25">
      <c r="A1289" s="21"/>
      <c r="B1289" s="5"/>
      <c r="C1289" s="5"/>
    </row>
    <row r="1290" spans="1:3" x14ac:dyDescent="0.25">
      <c r="A1290" s="21"/>
      <c r="B1290" s="5"/>
      <c r="C1290" s="5"/>
    </row>
    <row r="1291" spans="1:3" x14ac:dyDescent="0.25">
      <c r="A1291" s="21"/>
      <c r="B1291" s="5"/>
      <c r="C1291" s="5"/>
    </row>
    <row r="1292" spans="1:3" x14ac:dyDescent="0.25">
      <c r="A1292" s="21"/>
      <c r="B1292" s="5"/>
      <c r="C1292" s="5"/>
    </row>
    <row r="1293" spans="1:3" x14ac:dyDescent="0.25">
      <c r="A1293" s="21"/>
      <c r="B1293" s="5"/>
      <c r="C1293" s="5"/>
    </row>
    <row r="1294" spans="1:3" x14ac:dyDescent="0.25">
      <c r="A1294" s="21"/>
      <c r="B1294" s="5"/>
      <c r="C1294" s="5"/>
    </row>
    <row r="1295" spans="1:3" x14ac:dyDescent="0.25">
      <c r="A1295" s="21"/>
      <c r="B1295" s="5"/>
      <c r="C1295" s="5"/>
    </row>
    <row r="1296" spans="1:3" x14ac:dyDescent="0.25">
      <c r="A1296" s="21"/>
      <c r="B1296" s="5"/>
      <c r="C1296" s="5"/>
    </row>
    <row r="1297" spans="1:3" x14ac:dyDescent="0.25">
      <c r="A1297" s="21"/>
      <c r="B1297" s="5"/>
      <c r="C1297" s="5"/>
    </row>
    <row r="1298" spans="1:3" x14ac:dyDescent="0.25">
      <c r="A1298" s="21"/>
      <c r="B1298" s="5"/>
      <c r="C1298" s="5"/>
    </row>
    <row r="1299" spans="1:3" x14ac:dyDescent="0.25">
      <c r="A1299" s="21"/>
      <c r="B1299" s="5"/>
      <c r="C1299" s="5"/>
    </row>
    <row r="1300" spans="1:3" x14ac:dyDescent="0.25">
      <c r="A1300" s="21"/>
      <c r="B1300" s="5"/>
      <c r="C1300" s="5"/>
    </row>
    <row r="1301" spans="1:3" x14ac:dyDescent="0.25">
      <c r="A1301" s="21"/>
      <c r="B1301" s="5"/>
      <c r="C1301" s="5"/>
    </row>
    <row r="1302" spans="1:3" x14ac:dyDescent="0.25">
      <c r="A1302" s="21"/>
      <c r="B1302" s="5"/>
      <c r="C1302" s="5"/>
    </row>
    <row r="1303" spans="1:3" x14ac:dyDescent="0.25">
      <c r="A1303" s="21"/>
      <c r="B1303" s="5"/>
      <c r="C1303" s="5"/>
    </row>
    <row r="1304" spans="1:3" x14ac:dyDescent="0.25">
      <c r="A1304" s="21"/>
      <c r="B1304" s="5"/>
      <c r="C1304" s="5"/>
    </row>
    <row r="1305" spans="1:3" x14ac:dyDescent="0.25">
      <c r="A1305" s="21"/>
      <c r="B1305" s="5"/>
      <c r="C1305" s="5"/>
    </row>
    <row r="1306" spans="1:3" x14ac:dyDescent="0.25">
      <c r="A1306" s="21"/>
      <c r="B1306" s="5"/>
      <c r="C1306" s="5"/>
    </row>
    <row r="1307" spans="1:3" x14ac:dyDescent="0.25">
      <c r="A1307" s="21"/>
      <c r="B1307" s="5"/>
      <c r="C1307" s="5"/>
    </row>
    <row r="1308" spans="1:3" x14ac:dyDescent="0.25">
      <c r="A1308" s="21"/>
      <c r="B1308" s="5"/>
      <c r="C1308" s="5"/>
    </row>
    <row r="1309" spans="1:3" x14ac:dyDescent="0.25">
      <c r="A1309" s="21"/>
      <c r="B1309" s="5"/>
      <c r="C1309" s="5"/>
    </row>
    <row r="1310" spans="1:3" x14ac:dyDescent="0.25">
      <c r="A1310" s="21"/>
      <c r="B1310" s="5"/>
      <c r="C1310" s="5"/>
    </row>
    <row r="1311" spans="1:3" x14ac:dyDescent="0.25">
      <c r="A1311" s="21"/>
      <c r="B1311" s="5"/>
      <c r="C1311" s="5"/>
    </row>
    <row r="1312" spans="1:3" x14ac:dyDescent="0.25">
      <c r="A1312" s="21"/>
      <c r="B1312" s="5"/>
      <c r="C1312" s="5"/>
    </row>
    <row r="1313" spans="1:3" x14ac:dyDescent="0.25">
      <c r="A1313" s="21"/>
      <c r="B1313" s="5"/>
      <c r="C1313" s="5"/>
    </row>
    <row r="1314" spans="1:3" x14ac:dyDescent="0.25">
      <c r="A1314" s="21"/>
      <c r="B1314" s="5"/>
      <c r="C1314" s="5"/>
    </row>
    <row r="1315" spans="1:3" x14ac:dyDescent="0.25">
      <c r="A1315" s="21"/>
      <c r="B1315" s="5"/>
      <c r="C1315" s="5"/>
    </row>
    <row r="1316" spans="1:3" x14ac:dyDescent="0.25">
      <c r="A1316" s="21"/>
      <c r="B1316" s="5"/>
      <c r="C1316" s="5"/>
    </row>
    <row r="1317" spans="1:3" x14ac:dyDescent="0.25">
      <c r="A1317" s="21"/>
      <c r="B1317" s="5"/>
      <c r="C1317" s="5"/>
    </row>
    <row r="1318" spans="1:3" x14ac:dyDescent="0.25">
      <c r="A1318" s="21"/>
      <c r="B1318" s="5"/>
      <c r="C1318" s="5"/>
    </row>
    <row r="1319" spans="1:3" x14ac:dyDescent="0.25">
      <c r="A1319" s="21"/>
      <c r="B1319" s="5"/>
      <c r="C1319" s="5"/>
    </row>
    <row r="1320" spans="1:3" x14ac:dyDescent="0.25">
      <c r="A1320" s="21"/>
      <c r="B1320" s="5"/>
      <c r="C1320" s="5"/>
    </row>
    <row r="1321" spans="1:3" x14ac:dyDescent="0.25">
      <c r="A1321" s="21"/>
      <c r="B1321" s="5"/>
      <c r="C1321" s="5"/>
    </row>
    <row r="1322" spans="1:3" x14ac:dyDescent="0.25">
      <c r="A1322" s="21"/>
      <c r="B1322" s="5"/>
      <c r="C1322" s="5"/>
    </row>
    <row r="1323" spans="1:3" x14ac:dyDescent="0.25">
      <c r="A1323" s="21"/>
      <c r="B1323" s="5"/>
      <c r="C1323" s="5"/>
    </row>
    <row r="1324" spans="1:3" x14ac:dyDescent="0.25">
      <c r="A1324" s="21"/>
      <c r="B1324" s="5"/>
      <c r="C1324" s="5"/>
    </row>
    <row r="1325" spans="1:3" x14ac:dyDescent="0.25">
      <c r="A1325" s="21"/>
      <c r="B1325" s="5"/>
      <c r="C1325" s="5"/>
    </row>
    <row r="1326" spans="1:3" x14ac:dyDescent="0.25">
      <c r="A1326" s="21"/>
      <c r="B1326" s="5"/>
      <c r="C1326" s="5"/>
    </row>
    <row r="1327" spans="1:3" x14ac:dyDescent="0.25">
      <c r="A1327" s="21"/>
      <c r="B1327" s="5"/>
      <c r="C1327" s="5"/>
    </row>
    <row r="1328" spans="1:3" x14ac:dyDescent="0.25">
      <c r="A1328" s="21"/>
      <c r="B1328" s="5"/>
      <c r="C1328" s="5"/>
    </row>
    <row r="1329" spans="1:3" x14ac:dyDescent="0.25">
      <c r="A1329" s="21"/>
      <c r="B1329" s="5"/>
      <c r="C1329" s="5"/>
    </row>
    <row r="1330" spans="1:3" x14ac:dyDescent="0.25">
      <c r="A1330" s="21"/>
      <c r="B1330" s="5"/>
      <c r="C1330" s="5"/>
    </row>
    <row r="1331" spans="1:3" x14ac:dyDescent="0.25">
      <c r="A1331" s="21"/>
      <c r="B1331" s="5"/>
      <c r="C1331" s="5"/>
    </row>
    <row r="1332" spans="1:3" x14ac:dyDescent="0.25">
      <c r="A1332" s="21"/>
      <c r="B1332" s="5"/>
      <c r="C1332" s="5"/>
    </row>
    <row r="1333" spans="1:3" x14ac:dyDescent="0.25">
      <c r="A1333" s="21"/>
      <c r="B1333" s="5"/>
      <c r="C1333" s="5"/>
    </row>
    <row r="1334" spans="1:3" x14ac:dyDescent="0.25">
      <c r="A1334" s="21"/>
      <c r="B1334" s="5"/>
      <c r="C1334" s="5"/>
    </row>
    <row r="1335" spans="1:3" x14ac:dyDescent="0.25">
      <c r="A1335" s="21"/>
      <c r="B1335" s="5"/>
      <c r="C1335" s="5"/>
    </row>
    <row r="1336" spans="1:3" x14ac:dyDescent="0.25">
      <c r="A1336" s="21"/>
      <c r="B1336" s="5"/>
      <c r="C1336" s="5"/>
    </row>
    <row r="1337" spans="1:3" x14ac:dyDescent="0.25">
      <c r="A1337" s="21"/>
      <c r="B1337" s="5"/>
      <c r="C1337" s="5"/>
    </row>
    <row r="1338" spans="1:3" x14ac:dyDescent="0.25">
      <c r="A1338" s="21"/>
      <c r="B1338" s="5"/>
      <c r="C1338" s="5"/>
    </row>
    <row r="1339" spans="1:3" x14ac:dyDescent="0.25">
      <c r="A1339" s="21"/>
      <c r="B1339" s="5"/>
      <c r="C1339" s="5"/>
    </row>
    <row r="1340" spans="1:3" x14ac:dyDescent="0.25">
      <c r="A1340" s="21"/>
      <c r="B1340" s="5"/>
      <c r="C1340" s="5"/>
    </row>
    <row r="1341" spans="1:3" x14ac:dyDescent="0.25">
      <c r="A1341" s="21"/>
      <c r="B1341" s="5"/>
      <c r="C1341" s="5"/>
    </row>
    <row r="1342" spans="1:3" x14ac:dyDescent="0.25">
      <c r="A1342" s="21"/>
      <c r="B1342" s="5"/>
      <c r="C1342" s="5"/>
    </row>
    <row r="1343" spans="1:3" x14ac:dyDescent="0.25">
      <c r="A1343" s="21"/>
      <c r="B1343" s="5"/>
      <c r="C1343" s="5"/>
    </row>
    <row r="1344" spans="1:3" x14ac:dyDescent="0.25">
      <c r="A1344" s="21"/>
      <c r="B1344" s="5"/>
      <c r="C1344" s="5"/>
    </row>
    <row r="1345" spans="1:3" x14ac:dyDescent="0.25">
      <c r="A1345" s="21"/>
      <c r="B1345" s="5"/>
      <c r="C1345" s="5"/>
    </row>
    <row r="1346" spans="1:3" x14ac:dyDescent="0.25">
      <c r="A1346" s="21"/>
      <c r="B1346" s="5"/>
      <c r="C1346" s="5"/>
    </row>
    <row r="1347" spans="1:3" x14ac:dyDescent="0.25">
      <c r="A1347" s="21"/>
      <c r="B1347" s="5"/>
      <c r="C1347" s="5"/>
    </row>
    <row r="1348" spans="1:3" x14ac:dyDescent="0.25">
      <c r="A1348" s="21"/>
      <c r="B1348" s="5"/>
      <c r="C1348" s="5"/>
    </row>
    <row r="1349" spans="1:3" x14ac:dyDescent="0.25">
      <c r="A1349" s="21"/>
      <c r="B1349" s="5"/>
      <c r="C1349" s="5"/>
    </row>
    <row r="1350" spans="1:3" x14ac:dyDescent="0.25">
      <c r="A1350" s="21"/>
      <c r="B1350" s="5"/>
      <c r="C1350" s="5"/>
    </row>
    <row r="1351" spans="1:3" x14ac:dyDescent="0.25">
      <c r="A1351" s="21"/>
      <c r="B1351" s="5"/>
      <c r="C1351" s="5"/>
    </row>
    <row r="1352" spans="1:3" x14ac:dyDescent="0.25">
      <c r="A1352" s="21"/>
      <c r="B1352" s="5"/>
      <c r="C1352" s="5"/>
    </row>
    <row r="1353" spans="1:3" x14ac:dyDescent="0.25">
      <c r="A1353" s="21"/>
      <c r="B1353" s="5"/>
      <c r="C1353" s="5"/>
    </row>
    <row r="1354" spans="1:3" x14ac:dyDescent="0.25">
      <c r="A1354" s="21"/>
      <c r="B1354" s="5"/>
      <c r="C1354" s="5"/>
    </row>
    <row r="1355" spans="1:3" x14ac:dyDescent="0.25">
      <c r="A1355" s="21"/>
      <c r="B1355" s="5"/>
      <c r="C1355" s="5"/>
    </row>
    <row r="1356" spans="1:3" x14ac:dyDescent="0.25">
      <c r="A1356" s="21"/>
      <c r="B1356" s="5"/>
      <c r="C1356" s="5"/>
    </row>
    <row r="1357" spans="1:3" x14ac:dyDescent="0.25">
      <c r="A1357" s="21"/>
      <c r="B1357" s="5"/>
      <c r="C1357" s="5"/>
    </row>
    <row r="1358" spans="1:3" x14ac:dyDescent="0.25">
      <c r="A1358" s="21"/>
      <c r="B1358" s="5"/>
      <c r="C1358" s="5"/>
    </row>
    <row r="1359" spans="1:3" x14ac:dyDescent="0.25">
      <c r="A1359" s="21"/>
      <c r="B1359" s="5"/>
      <c r="C1359" s="5"/>
    </row>
    <row r="1360" spans="1:3" x14ac:dyDescent="0.25">
      <c r="A1360" s="21"/>
      <c r="B1360" s="5"/>
      <c r="C1360" s="5"/>
    </row>
    <row r="1361" spans="1:3" x14ac:dyDescent="0.25">
      <c r="A1361" s="21"/>
      <c r="B1361" s="5"/>
      <c r="C1361" s="5"/>
    </row>
    <row r="1362" spans="1:3" x14ac:dyDescent="0.25">
      <c r="A1362" s="21"/>
      <c r="B1362" s="5"/>
      <c r="C1362" s="5"/>
    </row>
    <row r="1363" spans="1:3" x14ac:dyDescent="0.25">
      <c r="A1363" s="21"/>
      <c r="B1363" s="5"/>
      <c r="C1363" s="5"/>
    </row>
    <row r="1364" spans="1:3" x14ac:dyDescent="0.25">
      <c r="A1364" s="21"/>
      <c r="B1364" s="5"/>
      <c r="C1364" s="5"/>
    </row>
    <row r="1365" spans="1:3" x14ac:dyDescent="0.25">
      <c r="A1365" s="21"/>
      <c r="B1365" s="5"/>
      <c r="C1365" s="5"/>
    </row>
    <row r="1366" spans="1:3" x14ac:dyDescent="0.25">
      <c r="A1366" s="21"/>
      <c r="B1366" s="5"/>
      <c r="C1366" s="5"/>
    </row>
    <row r="1367" spans="1:3" x14ac:dyDescent="0.25">
      <c r="A1367" s="21"/>
      <c r="B1367" s="5"/>
      <c r="C1367" s="5"/>
    </row>
    <row r="1368" spans="1:3" x14ac:dyDescent="0.25">
      <c r="A1368" s="21"/>
      <c r="B1368" s="5"/>
      <c r="C1368" s="5"/>
    </row>
    <row r="1369" spans="1:3" x14ac:dyDescent="0.25">
      <c r="A1369" s="21"/>
      <c r="B1369" s="5"/>
      <c r="C1369" s="5"/>
    </row>
    <row r="1370" spans="1:3" x14ac:dyDescent="0.25">
      <c r="A1370" s="21"/>
      <c r="B1370" s="5"/>
      <c r="C1370" s="5"/>
    </row>
    <row r="1371" spans="1:3" x14ac:dyDescent="0.25">
      <c r="A1371" s="21"/>
      <c r="B1371" s="5"/>
      <c r="C1371" s="5"/>
    </row>
    <row r="1372" spans="1:3" x14ac:dyDescent="0.25">
      <c r="A1372" s="21"/>
      <c r="B1372" s="5"/>
      <c r="C1372" s="5"/>
    </row>
    <row r="1373" spans="1:3" x14ac:dyDescent="0.25">
      <c r="A1373" s="21"/>
      <c r="B1373" s="5"/>
      <c r="C1373" s="5"/>
    </row>
    <row r="1374" spans="1:3" x14ac:dyDescent="0.25">
      <c r="A1374" s="21"/>
      <c r="B1374" s="5"/>
      <c r="C1374" s="5"/>
    </row>
    <row r="1375" spans="1:3" x14ac:dyDescent="0.25">
      <c r="A1375" s="21"/>
      <c r="B1375" s="5"/>
      <c r="C1375" s="5"/>
    </row>
    <row r="1376" spans="1:3" x14ac:dyDescent="0.25">
      <c r="A1376" s="21"/>
      <c r="B1376" s="5"/>
      <c r="C1376" s="5"/>
    </row>
    <row r="1377" spans="1:3" x14ac:dyDescent="0.25">
      <c r="A1377" s="21"/>
      <c r="B1377" s="5"/>
      <c r="C1377" s="5"/>
    </row>
    <row r="1378" spans="1:3" x14ac:dyDescent="0.25">
      <c r="A1378" s="21"/>
      <c r="B1378" s="5"/>
      <c r="C1378" s="5"/>
    </row>
    <row r="1379" spans="1:3" x14ac:dyDescent="0.25">
      <c r="A1379" s="21"/>
      <c r="B1379" s="5"/>
      <c r="C1379" s="5"/>
    </row>
    <row r="1380" spans="1:3" x14ac:dyDescent="0.25">
      <c r="A1380" s="21"/>
      <c r="B1380" s="5"/>
      <c r="C1380" s="5"/>
    </row>
    <row r="1381" spans="1:3" x14ac:dyDescent="0.25">
      <c r="A1381" s="21"/>
      <c r="B1381" s="5"/>
      <c r="C1381" s="5"/>
    </row>
    <row r="1382" spans="1:3" x14ac:dyDescent="0.25">
      <c r="A1382" s="21"/>
      <c r="B1382" s="5"/>
      <c r="C1382" s="5"/>
    </row>
    <row r="1383" spans="1:3" x14ac:dyDescent="0.25">
      <c r="A1383" s="21"/>
      <c r="B1383" s="5"/>
      <c r="C1383" s="5"/>
    </row>
    <row r="1384" spans="1:3" x14ac:dyDescent="0.25">
      <c r="A1384" s="21"/>
      <c r="B1384" s="5"/>
      <c r="C1384" s="5"/>
    </row>
    <row r="1385" spans="1:3" x14ac:dyDescent="0.25">
      <c r="A1385" s="21"/>
      <c r="B1385" s="5"/>
      <c r="C1385" s="5"/>
    </row>
    <row r="1386" spans="1:3" x14ac:dyDescent="0.25">
      <c r="A1386" s="21"/>
      <c r="B1386" s="5"/>
      <c r="C1386" s="5"/>
    </row>
    <row r="1387" spans="1:3" x14ac:dyDescent="0.25">
      <c r="A1387" s="21"/>
      <c r="B1387" s="5"/>
      <c r="C1387" s="5"/>
    </row>
    <row r="1388" spans="1:3" x14ac:dyDescent="0.25">
      <c r="A1388" s="21"/>
      <c r="B1388" s="5"/>
      <c r="C1388" s="5"/>
    </row>
    <row r="1389" spans="1:3" x14ac:dyDescent="0.25">
      <c r="A1389" s="21"/>
      <c r="B1389" s="5"/>
      <c r="C1389" s="5"/>
    </row>
    <row r="1390" spans="1:3" x14ac:dyDescent="0.25">
      <c r="A1390" s="21"/>
      <c r="B1390" s="5"/>
      <c r="C1390" s="5"/>
    </row>
    <row r="1391" spans="1:3" x14ac:dyDescent="0.25">
      <c r="A1391" s="21"/>
      <c r="B1391" s="5"/>
      <c r="C1391" s="5"/>
    </row>
    <row r="1392" spans="1:3" x14ac:dyDescent="0.25">
      <c r="A1392" s="21"/>
      <c r="B1392" s="5"/>
      <c r="C1392" s="5"/>
    </row>
    <row r="1393" spans="1:3" x14ac:dyDescent="0.25">
      <c r="A1393" s="21"/>
      <c r="B1393" s="5"/>
      <c r="C1393" s="5"/>
    </row>
    <row r="1394" spans="1:3" x14ac:dyDescent="0.25">
      <c r="A1394" s="21"/>
      <c r="B1394" s="5"/>
      <c r="C1394" s="5"/>
    </row>
    <row r="1395" spans="1:3" x14ac:dyDescent="0.25">
      <c r="A1395" s="21"/>
      <c r="B1395" s="5"/>
      <c r="C1395" s="5"/>
    </row>
    <row r="1396" spans="1:3" x14ac:dyDescent="0.25">
      <c r="A1396" s="21"/>
      <c r="B1396" s="5"/>
      <c r="C1396" s="5"/>
    </row>
    <row r="1397" spans="1:3" x14ac:dyDescent="0.25">
      <c r="A1397" s="21"/>
      <c r="B1397" s="5"/>
      <c r="C1397" s="5"/>
    </row>
    <row r="1398" spans="1:3" x14ac:dyDescent="0.25">
      <c r="A1398" s="21"/>
      <c r="B1398" s="5"/>
      <c r="C1398" s="5"/>
    </row>
    <row r="1399" spans="1:3" x14ac:dyDescent="0.25">
      <c r="A1399" s="21"/>
      <c r="B1399" s="5"/>
      <c r="C1399" s="5"/>
    </row>
    <row r="1400" spans="1:3" x14ac:dyDescent="0.25">
      <c r="A1400" s="21"/>
      <c r="B1400" s="5"/>
      <c r="C1400" s="5"/>
    </row>
    <row r="1401" spans="1:3" x14ac:dyDescent="0.25">
      <c r="A1401" s="21"/>
      <c r="B1401" s="5"/>
      <c r="C1401" s="5"/>
    </row>
    <row r="1402" spans="1:3" x14ac:dyDescent="0.25">
      <c r="A1402" s="21"/>
      <c r="B1402" s="5"/>
      <c r="C1402" s="5"/>
    </row>
    <row r="1403" spans="1:3" x14ac:dyDescent="0.25">
      <c r="A1403" s="21"/>
      <c r="B1403" s="5"/>
      <c r="C1403" s="5"/>
    </row>
    <row r="1404" spans="1:3" x14ac:dyDescent="0.25">
      <c r="A1404" s="21"/>
      <c r="B1404" s="5"/>
      <c r="C1404" s="5"/>
    </row>
    <row r="1405" spans="1:3" x14ac:dyDescent="0.25">
      <c r="A1405" s="21"/>
      <c r="B1405" s="5"/>
      <c r="C1405" s="5"/>
    </row>
    <row r="1406" spans="1:3" x14ac:dyDescent="0.25">
      <c r="A1406" s="21"/>
      <c r="B1406" s="5"/>
      <c r="C1406" s="5"/>
    </row>
    <row r="1407" spans="1:3" x14ac:dyDescent="0.25">
      <c r="A1407" s="21"/>
      <c r="B1407" s="5"/>
      <c r="C1407" s="5"/>
    </row>
    <row r="1408" spans="1:3" x14ac:dyDescent="0.25">
      <c r="A1408" s="21"/>
      <c r="B1408" s="5"/>
      <c r="C1408" s="5"/>
    </row>
    <row r="1409" spans="1:3" x14ac:dyDescent="0.25">
      <c r="A1409" s="21"/>
      <c r="B1409" s="5"/>
      <c r="C1409" s="5"/>
    </row>
    <row r="1410" spans="1:3" x14ac:dyDescent="0.25">
      <c r="A1410" s="21"/>
      <c r="B1410" s="5"/>
      <c r="C1410" s="5"/>
    </row>
    <row r="1411" spans="1:3" x14ac:dyDescent="0.25">
      <c r="A1411" s="21"/>
      <c r="B1411" s="5"/>
      <c r="C1411" s="5"/>
    </row>
    <row r="1412" spans="1:3" x14ac:dyDescent="0.25">
      <c r="A1412" s="21"/>
      <c r="B1412" s="5"/>
      <c r="C1412" s="5"/>
    </row>
    <row r="1413" spans="1:3" x14ac:dyDescent="0.25">
      <c r="A1413" s="21"/>
      <c r="B1413" s="5"/>
      <c r="C1413" s="5"/>
    </row>
    <row r="1414" spans="1:3" x14ac:dyDescent="0.25">
      <c r="A1414" s="21"/>
      <c r="B1414" s="5"/>
      <c r="C1414" s="5"/>
    </row>
    <row r="1415" spans="1:3" x14ac:dyDescent="0.25">
      <c r="A1415" s="21"/>
      <c r="B1415" s="5"/>
      <c r="C1415" s="5"/>
    </row>
    <row r="1416" spans="1:3" x14ac:dyDescent="0.25">
      <c r="A1416" s="21"/>
      <c r="B1416" s="5"/>
      <c r="C1416" s="5"/>
    </row>
    <row r="1417" spans="1:3" x14ac:dyDescent="0.25">
      <c r="A1417" s="21"/>
      <c r="B1417" s="5"/>
      <c r="C1417" s="5"/>
    </row>
    <row r="1418" spans="1:3" x14ac:dyDescent="0.25">
      <c r="A1418" s="21"/>
      <c r="B1418" s="5"/>
      <c r="C1418" s="5"/>
    </row>
    <row r="1419" spans="1:3" x14ac:dyDescent="0.25">
      <c r="A1419" s="21"/>
      <c r="B1419" s="5"/>
      <c r="C1419" s="5"/>
    </row>
    <row r="1420" spans="1:3" x14ac:dyDescent="0.25">
      <c r="A1420" s="21"/>
      <c r="B1420" s="5"/>
      <c r="C1420" s="5"/>
    </row>
    <row r="1421" spans="1:3" x14ac:dyDescent="0.25">
      <c r="A1421" s="21"/>
      <c r="B1421" s="5"/>
      <c r="C1421" s="5"/>
    </row>
    <row r="1422" spans="1:3" x14ac:dyDescent="0.25">
      <c r="A1422" s="21"/>
      <c r="B1422" s="5"/>
      <c r="C1422" s="5"/>
    </row>
    <row r="1423" spans="1:3" x14ac:dyDescent="0.25">
      <c r="A1423" s="21"/>
      <c r="B1423" s="5"/>
      <c r="C1423" s="5"/>
    </row>
    <row r="1424" spans="1:3" x14ac:dyDescent="0.25">
      <c r="A1424" s="21"/>
      <c r="B1424" s="5"/>
      <c r="C1424" s="5"/>
    </row>
    <row r="1425" spans="1:3" x14ac:dyDescent="0.25">
      <c r="A1425" s="21"/>
      <c r="B1425" s="5"/>
      <c r="C1425" s="5"/>
    </row>
    <row r="1426" spans="1:3" x14ac:dyDescent="0.25">
      <c r="A1426" s="21"/>
      <c r="B1426" s="5"/>
      <c r="C1426" s="5"/>
    </row>
    <row r="1427" spans="1:3" x14ac:dyDescent="0.25">
      <c r="A1427" s="21"/>
      <c r="B1427" s="5"/>
      <c r="C1427" s="5"/>
    </row>
    <row r="1428" spans="1:3" x14ac:dyDescent="0.25">
      <c r="A1428" s="21"/>
      <c r="B1428" s="5"/>
      <c r="C1428" s="5"/>
    </row>
    <row r="1429" spans="1:3" x14ac:dyDescent="0.25">
      <c r="A1429" s="21"/>
      <c r="B1429" s="5"/>
      <c r="C1429" s="5"/>
    </row>
    <row r="1430" spans="1:3" x14ac:dyDescent="0.25">
      <c r="A1430" s="21"/>
      <c r="B1430" s="5"/>
      <c r="C1430" s="5"/>
    </row>
    <row r="1431" spans="1:3" x14ac:dyDescent="0.25">
      <c r="A1431" s="21"/>
      <c r="B1431" s="5"/>
      <c r="C1431" s="5"/>
    </row>
    <row r="1432" spans="1:3" x14ac:dyDescent="0.25">
      <c r="A1432" s="21"/>
      <c r="B1432" s="5"/>
      <c r="C1432" s="5"/>
    </row>
    <row r="1433" spans="1:3" x14ac:dyDescent="0.25">
      <c r="A1433" s="21"/>
      <c r="B1433" s="5"/>
      <c r="C1433" s="5"/>
    </row>
    <row r="1434" spans="1:3" x14ac:dyDescent="0.25">
      <c r="A1434" s="21"/>
      <c r="B1434" s="5"/>
      <c r="C1434" s="5"/>
    </row>
    <row r="1435" spans="1:3" x14ac:dyDescent="0.25">
      <c r="A1435" s="21"/>
      <c r="B1435" s="5"/>
      <c r="C1435" s="5"/>
    </row>
    <row r="1436" spans="1:3" x14ac:dyDescent="0.25">
      <c r="A1436" s="21"/>
      <c r="B1436" s="5"/>
      <c r="C1436" s="5"/>
    </row>
    <row r="1437" spans="1:3" x14ac:dyDescent="0.25">
      <c r="A1437" s="21"/>
      <c r="B1437" s="5"/>
      <c r="C1437" s="5"/>
    </row>
    <row r="1438" spans="1:3" x14ac:dyDescent="0.25">
      <c r="A1438" s="21"/>
      <c r="B1438" s="5"/>
      <c r="C1438" s="5"/>
    </row>
    <row r="1439" spans="1:3" x14ac:dyDescent="0.25">
      <c r="A1439" s="21"/>
      <c r="B1439" s="5"/>
      <c r="C1439" s="5"/>
    </row>
    <row r="1440" spans="1:3" x14ac:dyDescent="0.25">
      <c r="A1440" s="21"/>
      <c r="B1440" s="5"/>
      <c r="C1440" s="5"/>
    </row>
    <row r="1441" spans="1:3" x14ac:dyDescent="0.25">
      <c r="A1441" s="21"/>
      <c r="B1441" s="5"/>
      <c r="C1441" s="5"/>
    </row>
    <row r="1442" spans="1:3" x14ac:dyDescent="0.25">
      <c r="A1442" s="21"/>
      <c r="B1442" s="5"/>
      <c r="C1442" s="5"/>
    </row>
    <row r="1443" spans="1:3" x14ac:dyDescent="0.25">
      <c r="A1443" s="21"/>
      <c r="B1443" s="5"/>
      <c r="C1443" s="5"/>
    </row>
    <row r="1444" spans="1:3" x14ac:dyDescent="0.25">
      <c r="A1444" s="21"/>
      <c r="B1444" s="5"/>
      <c r="C1444" s="5"/>
    </row>
    <row r="1445" spans="1:3" x14ac:dyDescent="0.25">
      <c r="A1445" s="21"/>
      <c r="B1445" s="5"/>
      <c r="C1445" s="5"/>
    </row>
    <row r="1446" spans="1:3" x14ac:dyDescent="0.25">
      <c r="A1446" s="21"/>
      <c r="B1446" s="5"/>
      <c r="C1446" s="5"/>
    </row>
    <row r="1447" spans="1:3" x14ac:dyDescent="0.25">
      <c r="A1447" s="21"/>
      <c r="B1447" s="5"/>
      <c r="C1447" s="5"/>
    </row>
    <row r="1448" spans="1:3" x14ac:dyDescent="0.25">
      <c r="A1448" s="21"/>
      <c r="B1448" s="5"/>
      <c r="C1448" s="5"/>
    </row>
    <row r="1449" spans="1:3" x14ac:dyDescent="0.25">
      <c r="A1449" s="21"/>
      <c r="B1449" s="5"/>
      <c r="C1449" s="5"/>
    </row>
    <row r="1450" spans="1:3" x14ac:dyDescent="0.25">
      <c r="A1450" s="21"/>
      <c r="B1450" s="5"/>
      <c r="C1450" s="5"/>
    </row>
    <row r="1451" spans="1:3" x14ac:dyDescent="0.25">
      <c r="A1451" s="21"/>
      <c r="B1451" s="5"/>
      <c r="C1451" s="5"/>
    </row>
    <row r="1452" spans="1:3" x14ac:dyDescent="0.25">
      <c r="A1452" s="21"/>
      <c r="B1452" s="5"/>
      <c r="C1452" s="5"/>
    </row>
    <row r="1453" spans="1:3" x14ac:dyDescent="0.25">
      <c r="A1453" s="21"/>
      <c r="B1453" s="5"/>
      <c r="C1453" s="5"/>
    </row>
    <row r="1454" spans="1:3" x14ac:dyDescent="0.25">
      <c r="A1454" s="21"/>
      <c r="B1454" s="5"/>
      <c r="C1454" s="5"/>
    </row>
    <row r="1455" spans="1:3" x14ac:dyDescent="0.25">
      <c r="A1455" s="21"/>
      <c r="B1455" s="5"/>
      <c r="C1455" s="5"/>
    </row>
    <row r="1456" spans="1:3" x14ac:dyDescent="0.25">
      <c r="A1456" s="21"/>
      <c r="B1456" s="5"/>
      <c r="C1456" s="5"/>
    </row>
    <row r="1457" spans="1:3" x14ac:dyDescent="0.25">
      <c r="A1457" s="21"/>
      <c r="B1457" s="5"/>
      <c r="C1457" s="5"/>
    </row>
    <row r="1458" spans="1:3" x14ac:dyDescent="0.25">
      <c r="A1458" s="21"/>
      <c r="B1458" s="5"/>
      <c r="C1458" s="5"/>
    </row>
    <row r="1459" spans="1:3" x14ac:dyDescent="0.25">
      <c r="A1459" s="21"/>
      <c r="B1459" s="5"/>
      <c r="C1459" s="5"/>
    </row>
    <row r="1460" spans="1:3" x14ac:dyDescent="0.25">
      <c r="A1460" s="21"/>
      <c r="B1460" s="5"/>
      <c r="C1460" s="5"/>
    </row>
    <row r="1461" spans="1:3" x14ac:dyDescent="0.25">
      <c r="A1461" s="21"/>
      <c r="B1461" s="5"/>
      <c r="C1461" s="5"/>
    </row>
    <row r="1462" spans="1:3" x14ac:dyDescent="0.25">
      <c r="A1462" s="21"/>
      <c r="B1462" s="5"/>
      <c r="C1462" s="5"/>
    </row>
    <row r="1463" spans="1:3" x14ac:dyDescent="0.25">
      <c r="A1463" s="21"/>
      <c r="B1463" s="5"/>
      <c r="C1463" s="5"/>
    </row>
    <row r="1464" spans="1:3" x14ac:dyDescent="0.25">
      <c r="A1464" s="21"/>
      <c r="B1464" s="5"/>
      <c r="C1464" s="5"/>
    </row>
    <row r="1465" spans="1:3" x14ac:dyDescent="0.25">
      <c r="A1465" s="21"/>
      <c r="B1465" s="5"/>
      <c r="C1465" s="5"/>
    </row>
    <row r="1466" spans="1:3" x14ac:dyDescent="0.25">
      <c r="A1466" s="21"/>
      <c r="B1466" s="5"/>
      <c r="C1466" s="5"/>
    </row>
    <row r="1467" spans="1:3" x14ac:dyDescent="0.25">
      <c r="A1467" s="21"/>
      <c r="B1467" s="5"/>
      <c r="C1467" s="5"/>
    </row>
    <row r="1468" spans="1:3" x14ac:dyDescent="0.25">
      <c r="A1468" s="21"/>
      <c r="B1468" s="5"/>
      <c r="C1468" s="5"/>
    </row>
    <row r="1469" spans="1:3" x14ac:dyDescent="0.25">
      <c r="A1469" s="21"/>
      <c r="B1469" s="5"/>
      <c r="C1469" s="5"/>
    </row>
    <row r="1470" spans="1:3" x14ac:dyDescent="0.25">
      <c r="A1470" s="21"/>
      <c r="B1470" s="5"/>
      <c r="C1470" s="5"/>
    </row>
    <row r="1471" spans="1:3" x14ac:dyDescent="0.25">
      <c r="A1471" s="21"/>
      <c r="B1471" s="5"/>
      <c r="C1471" s="5"/>
    </row>
    <row r="1472" spans="1:3" x14ac:dyDescent="0.25">
      <c r="A1472" s="21"/>
      <c r="B1472" s="5"/>
      <c r="C1472" s="5"/>
    </row>
    <row r="1473" spans="1:3" x14ac:dyDescent="0.25">
      <c r="A1473" s="21"/>
      <c r="B1473" s="5"/>
      <c r="C1473" s="5"/>
    </row>
    <row r="1474" spans="1:3" x14ac:dyDescent="0.25">
      <c r="A1474" s="21"/>
      <c r="B1474" s="5"/>
      <c r="C1474" s="5"/>
    </row>
    <row r="1475" spans="1:3" x14ac:dyDescent="0.25">
      <c r="A1475" s="21"/>
      <c r="B1475" s="5"/>
      <c r="C1475" s="5"/>
    </row>
    <row r="1476" spans="1:3" x14ac:dyDescent="0.25">
      <c r="A1476" s="21"/>
      <c r="B1476" s="5"/>
      <c r="C1476" s="5"/>
    </row>
    <row r="1477" spans="1:3" x14ac:dyDescent="0.25">
      <c r="A1477" s="21"/>
      <c r="B1477" s="5"/>
      <c r="C1477" s="5"/>
    </row>
    <row r="1478" spans="1:3" x14ac:dyDescent="0.25">
      <c r="A1478" s="21"/>
      <c r="B1478" s="5"/>
      <c r="C1478" s="5"/>
    </row>
    <row r="1479" spans="1:3" x14ac:dyDescent="0.25">
      <c r="A1479" s="21"/>
      <c r="B1479" s="5"/>
      <c r="C1479" s="5"/>
    </row>
    <row r="1480" spans="1:3" x14ac:dyDescent="0.25">
      <c r="A1480" s="21"/>
      <c r="B1480" s="5"/>
      <c r="C1480" s="5"/>
    </row>
    <row r="1481" spans="1:3" x14ac:dyDescent="0.25">
      <c r="A1481" s="21"/>
      <c r="B1481" s="5"/>
      <c r="C1481" s="5"/>
    </row>
    <row r="1482" spans="1:3" x14ac:dyDescent="0.25">
      <c r="A1482" s="21"/>
      <c r="B1482" s="5"/>
      <c r="C1482" s="5"/>
    </row>
    <row r="1483" spans="1:3" x14ac:dyDescent="0.25">
      <c r="A1483" s="21"/>
      <c r="B1483" s="5"/>
      <c r="C1483" s="5"/>
    </row>
    <row r="1484" spans="1:3" x14ac:dyDescent="0.25">
      <c r="A1484" s="21"/>
      <c r="B1484" s="5"/>
      <c r="C1484" s="5"/>
    </row>
    <row r="1485" spans="1:3" x14ac:dyDescent="0.25">
      <c r="A1485" s="21"/>
      <c r="B1485" s="5"/>
      <c r="C1485" s="5"/>
    </row>
    <row r="1486" spans="1:3" x14ac:dyDescent="0.25">
      <c r="A1486" s="21"/>
      <c r="B1486" s="5"/>
      <c r="C1486" s="5"/>
    </row>
    <row r="1487" spans="1:3" x14ac:dyDescent="0.25">
      <c r="A1487" s="21"/>
      <c r="B1487" s="5"/>
      <c r="C1487" s="5"/>
    </row>
    <row r="1488" spans="1:3" x14ac:dyDescent="0.25">
      <c r="A1488" s="21"/>
      <c r="B1488" s="5"/>
      <c r="C1488" s="5"/>
    </row>
    <row r="1489" spans="1:3" x14ac:dyDescent="0.25">
      <c r="A1489" s="21"/>
      <c r="B1489" s="5"/>
      <c r="C1489" s="5"/>
    </row>
    <row r="1490" spans="1:3" x14ac:dyDescent="0.25">
      <c r="A1490" s="21"/>
      <c r="B1490" s="5"/>
      <c r="C1490" s="5"/>
    </row>
    <row r="1491" spans="1:3" x14ac:dyDescent="0.25">
      <c r="A1491" s="21"/>
      <c r="B1491" s="5"/>
      <c r="C1491" s="5"/>
    </row>
    <row r="1492" spans="1:3" x14ac:dyDescent="0.25">
      <c r="A1492" s="21"/>
      <c r="B1492" s="5"/>
      <c r="C1492" s="5"/>
    </row>
    <row r="1493" spans="1:3" x14ac:dyDescent="0.25">
      <c r="A1493" s="21"/>
      <c r="B1493" s="5"/>
      <c r="C1493" s="5"/>
    </row>
    <row r="1494" spans="1:3" x14ac:dyDescent="0.25">
      <c r="A1494" s="21"/>
      <c r="B1494" s="5"/>
      <c r="C1494" s="5"/>
    </row>
    <row r="1495" spans="1:3" x14ac:dyDescent="0.25">
      <c r="A1495" s="21"/>
      <c r="B1495" s="5"/>
      <c r="C1495" s="5"/>
    </row>
    <row r="1496" spans="1:3" x14ac:dyDescent="0.25">
      <c r="A1496" s="21"/>
      <c r="B1496" s="5"/>
      <c r="C1496" s="5"/>
    </row>
    <row r="1497" spans="1:3" x14ac:dyDescent="0.25">
      <c r="A1497" s="21"/>
      <c r="B1497" s="5"/>
      <c r="C1497" s="5"/>
    </row>
    <row r="1498" spans="1:3" x14ac:dyDescent="0.25">
      <c r="A1498" s="21"/>
      <c r="B1498" s="5"/>
      <c r="C1498" s="5"/>
    </row>
    <row r="1499" spans="1:3" x14ac:dyDescent="0.25">
      <c r="A1499" s="21"/>
      <c r="B1499" s="5"/>
      <c r="C1499" s="5"/>
    </row>
    <row r="1500" spans="1:3" x14ac:dyDescent="0.25">
      <c r="A1500" s="21"/>
      <c r="B1500" s="5"/>
      <c r="C1500" s="5"/>
    </row>
    <row r="1501" spans="1:3" x14ac:dyDescent="0.25">
      <c r="A1501" s="21"/>
      <c r="B1501" s="5"/>
      <c r="C1501" s="5"/>
    </row>
    <row r="1502" spans="1:3" x14ac:dyDescent="0.25">
      <c r="A1502" s="21"/>
      <c r="B1502" s="5"/>
      <c r="C1502" s="5"/>
    </row>
    <row r="1503" spans="1:3" x14ac:dyDescent="0.25">
      <c r="A1503" s="21"/>
      <c r="B1503" s="5"/>
      <c r="C1503" s="5"/>
    </row>
    <row r="1504" spans="1:3" x14ac:dyDescent="0.25">
      <c r="A1504" s="21"/>
      <c r="B1504" s="5"/>
      <c r="C1504" s="5"/>
    </row>
    <row r="1505" spans="1:3" x14ac:dyDescent="0.25">
      <c r="A1505" s="21"/>
      <c r="B1505" s="5"/>
      <c r="C1505" s="5"/>
    </row>
    <row r="1506" spans="1:3" x14ac:dyDescent="0.25">
      <c r="A1506" s="21"/>
      <c r="B1506" s="5"/>
      <c r="C1506" s="5"/>
    </row>
    <row r="1507" spans="1:3" x14ac:dyDescent="0.25">
      <c r="A1507" s="21"/>
      <c r="B1507" s="5"/>
      <c r="C1507" s="5"/>
    </row>
    <row r="1508" spans="1:3" x14ac:dyDescent="0.25">
      <c r="A1508" s="21"/>
      <c r="B1508" s="5"/>
      <c r="C1508" s="5"/>
    </row>
    <row r="1509" spans="1:3" x14ac:dyDescent="0.25">
      <c r="A1509" s="21"/>
      <c r="B1509" s="5"/>
      <c r="C1509" s="5"/>
    </row>
    <row r="1510" spans="1:3" x14ac:dyDescent="0.25">
      <c r="A1510" s="21"/>
      <c r="B1510" s="5"/>
      <c r="C1510" s="5"/>
    </row>
    <row r="1511" spans="1:3" x14ac:dyDescent="0.25">
      <c r="A1511" s="21"/>
      <c r="B1511" s="5"/>
      <c r="C1511" s="5"/>
    </row>
    <row r="1512" spans="1:3" x14ac:dyDescent="0.25">
      <c r="A1512" s="21"/>
      <c r="B1512" s="5"/>
      <c r="C1512" s="5"/>
    </row>
    <row r="1513" spans="1:3" x14ac:dyDescent="0.25">
      <c r="A1513" s="21"/>
      <c r="B1513" s="5"/>
      <c r="C1513" s="5"/>
    </row>
    <row r="1514" spans="1:3" x14ac:dyDescent="0.25">
      <c r="A1514" s="21"/>
      <c r="B1514" s="5"/>
      <c r="C1514" s="5"/>
    </row>
    <row r="1515" spans="1:3" x14ac:dyDescent="0.25">
      <c r="A1515" s="21"/>
      <c r="B1515" s="5"/>
      <c r="C1515" s="5"/>
    </row>
    <row r="1516" spans="1:3" x14ac:dyDescent="0.25">
      <c r="A1516" s="21"/>
      <c r="B1516" s="5"/>
      <c r="C1516" s="5"/>
    </row>
    <row r="1517" spans="1:3" x14ac:dyDescent="0.25">
      <c r="A1517" s="21"/>
      <c r="B1517" s="5"/>
      <c r="C1517" s="5"/>
    </row>
    <row r="1518" spans="1:3" x14ac:dyDescent="0.25">
      <c r="A1518" s="21"/>
      <c r="B1518" s="5"/>
      <c r="C1518" s="5"/>
    </row>
    <row r="1519" spans="1:3" x14ac:dyDescent="0.25">
      <c r="A1519" s="21"/>
      <c r="B1519" s="5"/>
      <c r="C1519" s="5"/>
    </row>
    <row r="1520" spans="1:3" x14ac:dyDescent="0.25">
      <c r="A1520" s="21"/>
      <c r="B1520" s="5"/>
      <c r="C1520" s="5"/>
    </row>
    <row r="1521" spans="1:3" x14ac:dyDescent="0.25">
      <c r="A1521" s="21"/>
      <c r="B1521" s="5"/>
      <c r="C1521" s="5"/>
    </row>
    <row r="1522" spans="1:3" x14ac:dyDescent="0.25">
      <c r="A1522" s="21"/>
      <c r="B1522" s="5"/>
      <c r="C1522" s="5"/>
    </row>
    <row r="1523" spans="1:3" x14ac:dyDescent="0.25">
      <c r="A1523" s="21"/>
      <c r="B1523" s="5"/>
      <c r="C1523" s="5"/>
    </row>
    <row r="1524" spans="1:3" x14ac:dyDescent="0.25">
      <c r="A1524" s="21"/>
      <c r="B1524" s="5"/>
      <c r="C1524" s="5"/>
    </row>
    <row r="1525" spans="1:3" x14ac:dyDescent="0.25">
      <c r="A1525" s="21"/>
      <c r="B1525" s="5"/>
      <c r="C1525" s="5"/>
    </row>
    <row r="1526" spans="1:3" x14ac:dyDescent="0.25">
      <c r="A1526" s="21"/>
      <c r="B1526" s="5"/>
      <c r="C1526" s="5"/>
    </row>
    <row r="1527" spans="1:3" x14ac:dyDescent="0.25">
      <c r="A1527" s="21"/>
      <c r="B1527" s="5"/>
      <c r="C1527" s="5"/>
    </row>
    <row r="1528" spans="1:3" x14ac:dyDescent="0.25">
      <c r="A1528" s="21"/>
      <c r="B1528" s="5"/>
      <c r="C1528" s="5"/>
    </row>
    <row r="1529" spans="1:3" x14ac:dyDescent="0.25">
      <c r="A1529" s="21"/>
      <c r="B1529" s="5"/>
      <c r="C1529" s="5"/>
    </row>
    <row r="1530" spans="1:3" x14ac:dyDescent="0.25">
      <c r="A1530" s="21"/>
      <c r="B1530" s="5"/>
      <c r="C1530" s="5"/>
    </row>
    <row r="1531" spans="1:3" x14ac:dyDescent="0.25">
      <c r="A1531" s="21"/>
      <c r="B1531" s="5"/>
      <c r="C1531" s="5"/>
    </row>
    <row r="1532" spans="1:3" x14ac:dyDescent="0.25">
      <c r="A1532" s="21"/>
      <c r="B1532" s="5"/>
      <c r="C1532" s="5"/>
    </row>
    <row r="1533" spans="1:3" x14ac:dyDescent="0.25">
      <c r="A1533" s="21"/>
      <c r="B1533" s="5"/>
      <c r="C1533" s="5"/>
    </row>
    <row r="1534" spans="1:3" x14ac:dyDescent="0.25">
      <c r="A1534" s="21"/>
      <c r="B1534" s="5"/>
      <c r="C1534" s="5"/>
    </row>
    <row r="1535" spans="1:3" x14ac:dyDescent="0.25">
      <c r="A1535" s="21"/>
      <c r="B1535" s="5"/>
      <c r="C1535" s="5"/>
    </row>
    <row r="1536" spans="1:3" x14ac:dyDescent="0.25">
      <c r="A1536" s="21"/>
      <c r="B1536" s="5"/>
      <c r="C1536" s="5"/>
    </row>
    <row r="1537" spans="1:3" x14ac:dyDescent="0.25">
      <c r="A1537" s="21"/>
      <c r="B1537" s="5"/>
      <c r="C1537" s="5"/>
    </row>
    <row r="1538" spans="1:3" x14ac:dyDescent="0.25">
      <c r="A1538" s="21"/>
      <c r="B1538" s="5"/>
      <c r="C1538" s="5"/>
    </row>
    <row r="1539" spans="1:3" x14ac:dyDescent="0.25">
      <c r="A1539" s="21"/>
      <c r="B1539" s="5"/>
      <c r="C1539" s="5"/>
    </row>
    <row r="1540" spans="1:3" x14ac:dyDescent="0.25">
      <c r="A1540" s="21"/>
      <c r="B1540" s="5"/>
      <c r="C1540" s="5"/>
    </row>
    <row r="1541" spans="1:3" x14ac:dyDescent="0.25">
      <c r="A1541" s="21"/>
      <c r="B1541" s="5"/>
      <c r="C1541" s="5"/>
    </row>
    <row r="1542" spans="1:3" x14ac:dyDescent="0.25">
      <c r="A1542" s="21"/>
      <c r="B1542" s="5"/>
      <c r="C1542" s="5"/>
    </row>
    <row r="1543" spans="1:3" x14ac:dyDescent="0.25">
      <c r="A1543" s="21"/>
      <c r="B1543" s="5"/>
      <c r="C1543" s="5"/>
    </row>
    <row r="1544" spans="1:3" x14ac:dyDescent="0.25">
      <c r="A1544" s="21"/>
      <c r="B1544" s="5"/>
      <c r="C1544" s="5"/>
    </row>
    <row r="1545" spans="1:3" x14ac:dyDescent="0.25">
      <c r="A1545" s="21"/>
      <c r="B1545" s="5"/>
      <c r="C1545" s="5"/>
    </row>
    <row r="1546" spans="1:3" x14ac:dyDescent="0.25">
      <c r="A1546" s="21"/>
      <c r="B1546" s="5"/>
      <c r="C1546" s="5"/>
    </row>
    <row r="1547" spans="1:3" x14ac:dyDescent="0.25">
      <c r="A1547" s="21"/>
      <c r="B1547" s="5"/>
      <c r="C1547" s="5"/>
    </row>
    <row r="1548" spans="1:3" x14ac:dyDescent="0.25">
      <c r="A1548" s="21"/>
      <c r="B1548" s="5"/>
      <c r="C1548" s="5"/>
    </row>
    <row r="1549" spans="1:3" x14ac:dyDescent="0.25">
      <c r="A1549" s="21"/>
      <c r="B1549" s="5"/>
      <c r="C1549" s="5"/>
    </row>
    <row r="1550" spans="1:3" x14ac:dyDescent="0.25">
      <c r="A1550" s="21"/>
      <c r="B1550" s="5"/>
      <c r="C1550" s="5"/>
    </row>
    <row r="1551" spans="1:3" x14ac:dyDescent="0.25">
      <c r="A1551" s="21"/>
      <c r="B1551" s="5"/>
      <c r="C1551" s="5"/>
    </row>
    <row r="1552" spans="1:3" x14ac:dyDescent="0.25">
      <c r="A1552" s="21"/>
      <c r="B1552" s="5"/>
      <c r="C1552" s="5"/>
    </row>
    <row r="1553" spans="1:3" x14ac:dyDescent="0.25">
      <c r="A1553" s="21"/>
      <c r="B1553" s="5"/>
      <c r="C1553" s="5"/>
    </row>
    <row r="1554" spans="1:3" x14ac:dyDescent="0.25">
      <c r="A1554" s="21"/>
      <c r="B1554" s="5"/>
      <c r="C1554" s="5"/>
    </row>
    <row r="1555" spans="1:3" x14ac:dyDescent="0.25">
      <c r="A1555" s="21"/>
      <c r="B1555" s="5"/>
      <c r="C1555" s="5"/>
    </row>
    <row r="1556" spans="1:3" x14ac:dyDescent="0.25">
      <c r="A1556" s="21"/>
      <c r="B1556" s="5"/>
      <c r="C1556" s="5"/>
    </row>
    <row r="1557" spans="1:3" x14ac:dyDescent="0.25">
      <c r="A1557" s="21"/>
      <c r="B1557" s="5"/>
      <c r="C1557" s="5"/>
    </row>
    <row r="1558" spans="1:3" x14ac:dyDescent="0.25">
      <c r="A1558" s="21"/>
      <c r="B1558" s="5"/>
      <c r="C1558" s="5"/>
    </row>
    <row r="1559" spans="1:3" x14ac:dyDescent="0.25">
      <c r="A1559" s="21"/>
      <c r="B1559" s="5"/>
      <c r="C1559" s="5"/>
    </row>
    <row r="1560" spans="1:3" x14ac:dyDescent="0.25">
      <c r="A1560" s="21"/>
      <c r="B1560" s="5"/>
      <c r="C1560" s="5"/>
    </row>
    <row r="1561" spans="1:3" x14ac:dyDescent="0.25">
      <c r="A1561" s="21"/>
      <c r="B1561" s="5"/>
      <c r="C1561" s="5"/>
    </row>
    <row r="1562" spans="1:3" x14ac:dyDescent="0.25">
      <c r="A1562" s="21"/>
      <c r="B1562" s="5"/>
      <c r="C1562" s="5"/>
    </row>
    <row r="1563" spans="1:3" x14ac:dyDescent="0.25">
      <c r="A1563" s="21"/>
      <c r="B1563" s="5"/>
      <c r="C1563" s="5"/>
    </row>
    <row r="1564" spans="1:3" x14ac:dyDescent="0.25">
      <c r="A1564" s="21"/>
      <c r="B1564" s="5"/>
      <c r="C1564" s="5"/>
    </row>
    <row r="1565" spans="1:3" x14ac:dyDescent="0.25">
      <c r="A1565" s="21"/>
      <c r="B1565" s="5"/>
      <c r="C1565" s="5"/>
    </row>
    <row r="1566" spans="1:3" x14ac:dyDescent="0.25">
      <c r="A1566" s="21"/>
      <c r="B1566" s="5"/>
      <c r="C1566" s="5"/>
    </row>
    <row r="1567" spans="1:3" x14ac:dyDescent="0.25">
      <c r="A1567" s="21"/>
      <c r="B1567" s="5"/>
      <c r="C1567" s="5"/>
    </row>
    <row r="1568" spans="1:3" x14ac:dyDescent="0.25">
      <c r="A1568" s="21"/>
      <c r="B1568" s="5"/>
      <c r="C1568" s="5"/>
    </row>
    <row r="1569" spans="1:3" x14ac:dyDescent="0.25">
      <c r="A1569" s="21"/>
      <c r="B1569" s="5"/>
      <c r="C1569" s="5"/>
    </row>
    <row r="1570" spans="1:3" x14ac:dyDescent="0.25">
      <c r="A1570" s="21"/>
      <c r="B1570" s="5"/>
      <c r="C1570" s="5"/>
    </row>
    <row r="1571" spans="1:3" x14ac:dyDescent="0.25">
      <c r="A1571" s="21"/>
      <c r="B1571" s="5"/>
      <c r="C1571" s="5"/>
    </row>
    <row r="1572" spans="1:3" x14ac:dyDescent="0.25">
      <c r="A1572" s="21"/>
      <c r="B1572" s="5"/>
      <c r="C1572" s="5"/>
    </row>
    <row r="1573" spans="1:3" x14ac:dyDescent="0.25">
      <c r="A1573" s="21"/>
      <c r="B1573" s="5"/>
      <c r="C1573" s="5"/>
    </row>
    <row r="1574" spans="1:3" x14ac:dyDescent="0.25">
      <c r="A1574" s="21"/>
      <c r="B1574" s="5"/>
      <c r="C1574" s="5"/>
    </row>
    <row r="1575" spans="1:3" x14ac:dyDescent="0.25">
      <c r="A1575" s="21"/>
      <c r="B1575" s="5"/>
      <c r="C1575" s="5"/>
    </row>
    <row r="1576" spans="1:3" x14ac:dyDescent="0.25">
      <c r="A1576" s="21"/>
      <c r="B1576" s="5"/>
      <c r="C1576" s="5"/>
    </row>
    <row r="1577" spans="1:3" x14ac:dyDescent="0.25">
      <c r="A1577" s="21"/>
      <c r="B1577" s="5"/>
      <c r="C1577" s="5"/>
    </row>
    <row r="1578" spans="1:3" x14ac:dyDescent="0.25">
      <c r="A1578" s="21"/>
      <c r="B1578" s="5"/>
      <c r="C1578" s="5"/>
    </row>
    <row r="1579" spans="1:3" x14ac:dyDescent="0.25">
      <c r="A1579" s="21"/>
      <c r="B1579" s="5"/>
      <c r="C1579" s="5"/>
    </row>
    <row r="1580" spans="1:3" x14ac:dyDescent="0.25">
      <c r="A1580" s="21"/>
      <c r="B1580" s="5"/>
      <c r="C1580" s="5"/>
    </row>
    <row r="1581" spans="1:3" x14ac:dyDescent="0.25">
      <c r="A1581" s="21"/>
      <c r="B1581" s="5"/>
      <c r="C1581" s="5"/>
    </row>
    <row r="1582" spans="1:3" x14ac:dyDescent="0.25">
      <c r="A1582" s="21"/>
      <c r="B1582" s="5"/>
      <c r="C1582" s="5"/>
    </row>
    <row r="1583" spans="1:3" x14ac:dyDescent="0.25">
      <c r="A1583" s="21"/>
      <c r="B1583" s="5"/>
      <c r="C1583" s="5"/>
    </row>
    <row r="1584" spans="1:3" x14ac:dyDescent="0.25">
      <c r="A1584" s="21"/>
      <c r="B1584" s="5"/>
      <c r="C1584" s="5"/>
    </row>
    <row r="1585" spans="1:3" x14ac:dyDescent="0.25">
      <c r="A1585" s="21"/>
      <c r="B1585" s="5"/>
      <c r="C1585" s="5"/>
    </row>
    <row r="1586" spans="1:3" x14ac:dyDescent="0.25">
      <c r="A1586" s="21"/>
      <c r="B1586" s="5"/>
      <c r="C1586" s="5"/>
    </row>
    <row r="1587" spans="1:3" x14ac:dyDescent="0.25">
      <c r="A1587" s="21"/>
      <c r="B1587" s="5"/>
      <c r="C1587" s="5"/>
    </row>
    <row r="1588" spans="1:3" x14ac:dyDescent="0.25">
      <c r="A1588" s="21"/>
      <c r="B1588" s="5"/>
      <c r="C1588" s="5"/>
    </row>
    <row r="1589" spans="1:3" x14ac:dyDescent="0.25">
      <c r="A1589" s="21"/>
      <c r="B1589" s="5"/>
      <c r="C1589" s="5"/>
    </row>
    <row r="1590" spans="1:3" x14ac:dyDescent="0.25">
      <c r="A1590" s="21"/>
      <c r="B1590" s="5"/>
      <c r="C1590" s="5"/>
    </row>
    <row r="1591" spans="1:3" x14ac:dyDescent="0.25">
      <c r="A1591" s="21"/>
      <c r="B1591" s="5"/>
      <c r="C1591" s="5"/>
    </row>
    <row r="1592" spans="1:3" x14ac:dyDescent="0.25">
      <c r="A1592" s="21"/>
      <c r="B1592" s="5"/>
      <c r="C1592" s="5"/>
    </row>
    <row r="1593" spans="1:3" x14ac:dyDescent="0.25">
      <c r="A1593" s="21"/>
      <c r="B1593" s="5"/>
      <c r="C1593" s="5"/>
    </row>
    <row r="1594" spans="1:3" x14ac:dyDescent="0.25">
      <c r="A1594" s="21"/>
      <c r="B1594" s="5"/>
      <c r="C1594" s="5"/>
    </row>
    <row r="1595" spans="1:3" x14ac:dyDescent="0.25">
      <c r="A1595" s="21"/>
      <c r="B1595" s="5"/>
      <c r="C1595" s="5"/>
    </row>
    <row r="1596" spans="1:3" x14ac:dyDescent="0.25">
      <c r="A1596" s="21"/>
      <c r="B1596" s="5"/>
      <c r="C1596" s="5"/>
    </row>
    <row r="1597" spans="1:3" x14ac:dyDescent="0.25">
      <c r="A1597" s="21"/>
      <c r="B1597" s="5"/>
      <c r="C1597" s="5"/>
    </row>
    <row r="1598" spans="1:3" x14ac:dyDescent="0.25">
      <c r="A1598" s="21"/>
      <c r="B1598" s="5"/>
      <c r="C1598" s="5"/>
    </row>
    <row r="1599" spans="1:3" x14ac:dyDescent="0.25">
      <c r="A1599" s="21"/>
      <c r="B1599" s="5"/>
      <c r="C1599" s="5"/>
    </row>
    <row r="1600" spans="1:3" x14ac:dyDescent="0.25">
      <c r="A1600" s="21"/>
      <c r="B1600" s="5"/>
      <c r="C1600" s="5"/>
    </row>
    <row r="1601" spans="1:3" x14ac:dyDescent="0.25">
      <c r="A1601" s="21"/>
      <c r="B1601" s="5"/>
      <c r="C1601" s="5"/>
    </row>
    <row r="1602" spans="1:3" x14ac:dyDescent="0.25">
      <c r="A1602" s="21"/>
      <c r="B1602" s="5"/>
      <c r="C1602" s="5"/>
    </row>
    <row r="1603" spans="1:3" x14ac:dyDescent="0.25">
      <c r="A1603" s="21"/>
      <c r="B1603" s="5"/>
      <c r="C1603" s="5"/>
    </row>
    <row r="1604" spans="1:3" x14ac:dyDescent="0.25">
      <c r="A1604" s="21"/>
      <c r="B1604" s="5"/>
      <c r="C1604" s="5"/>
    </row>
    <row r="1605" spans="1:3" x14ac:dyDescent="0.25">
      <c r="A1605" s="21"/>
      <c r="B1605" s="5"/>
      <c r="C1605" s="5"/>
    </row>
    <row r="1606" spans="1:3" x14ac:dyDescent="0.25">
      <c r="A1606" s="21"/>
      <c r="B1606" s="5"/>
      <c r="C1606" s="5"/>
    </row>
    <row r="1607" spans="1:3" x14ac:dyDescent="0.25">
      <c r="A1607" s="21"/>
      <c r="B1607" s="5"/>
      <c r="C1607" s="5"/>
    </row>
    <row r="1608" spans="1:3" x14ac:dyDescent="0.25">
      <c r="A1608" s="21"/>
      <c r="B1608" s="5"/>
      <c r="C1608" s="5"/>
    </row>
    <row r="1609" spans="1:3" x14ac:dyDescent="0.25">
      <c r="A1609" s="21"/>
      <c r="B1609" s="5"/>
      <c r="C1609" s="5"/>
    </row>
    <row r="1610" spans="1:3" x14ac:dyDescent="0.25">
      <c r="A1610" s="21"/>
      <c r="B1610" s="5"/>
      <c r="C1610" s="5"/>
    </row>
    <row r="1611" spans="1:3" x14ac:dyDescent="0.25">
      <c r="A1611" s="21"/>
      <c r="B1611" s="5"/>
      <c r="C1611" s="5"/>
    </row>
    <row r="1612" spans="1:3" x14ac:dyDescent="0.25">
      <c r="A1612" s="21"/>
      <c r="B1612" s="5"/>
      <c r="C1612" s="5"/>
    </row>
    <row r="1613" spans="1:3" x14ac:dyDescent="0.25">
      <c r="A1613" s="21"/>
      <c r="B1613" s="5"/>
      <c r="C1613" s="5"/>
    </row>
    <row r="1614" spans="1:3" x14ac:dyDescent="0.25">
      <c r="A1614" s="21"/>
      <c r="B1614" s="5"/>
      <c r="C1614" s="5"/>
    </row>
    <row r="1615" spans="1:3" x14ac:dyDescent="0.25">
      <c r="A1615" s="21"/>
      <c r="B1615" s="5"/>
      <c r="C1615" s="5"/>
    </row>
    <row r="1616" spans="1:3" x14ac:dyDescent="0.25">
      <c r="A1616" s="21"/>
      <c r="B1616" s="5"/>
      <c r="C1616" s="5"/>
    </row>
    <row r="1617" spans="1:3" x14ac:dyDescent="0.25">
      <c r="A1617" s="21"/>
      <c r="B1617" s="5"/>
      <c r="C1617" s="5"/>
    </row>
    <row r="1618" spans="1:3" x14ac:dyDescent="0.25">
      <c r="A1618" s="21"/>
      <c r="B1618" s="5"/>
      <c r="C1618" s="5"/>
    </row>
    <row r="1619" spans="1:3" x14ac:dyDescent="0.25">
      <c r="A1619" s="21"/>
      <c r="B1619" s="5"/>
      <c r="C1619" s="5"/>
    </row>
    <row r="1620" spans="1:3" x14ac:dyDescent="0.25">
      <c r="A1620" s="21"/>
      <c r="B1620" s="5"/>
      <c r="C1620" s="5"/>
    </row>
    <row r="1621" spans="1:3" x14ac:dyDescent="0.25">
      <c r="A1621" s="21"/>
      <c r="B1621" s="5"/>
      <c r="C1621" s="5"/>
    </row>
    <row r="1622" spans="1:3" x14ac:dyDescent="0.25">
      <c r="A1622" s="21"/>
      <c r="B1622" s="5"/>
      <c r="C1622" s="5"/>
    </row>
    <row r="1623" spans="1:3" x14ac:dyDescent="0.25">
      <c r="A1623" s="21"/>
      <c r="B1623" s="5"/>
      <c r="C1623" s="5"/>
    </row>
    <row r="1624" spans="1:3" x14ac:dyDescent="0.25">
      <c r="A1624" s="21"/>
      <c r="B1624" s="5"/>
      <c r="C1624" s="5"/>
    </row>
    <row r="1625" spans="1:3" x14ac:dyDescent="0.25">
      <c r="A1625" s="21"/>
      <c r="B1625" s="5"/>
      <c r="C1625" s="5"/>
    </row>
    <row r="1626" spans="1:3" x14ac:dyDescent="0.25">
      <c r="A1626" s="21"/>
      <c r="B1626" s="5"/>
      <c r="C1626" s="5"/>
    </row>
    <row r="1627" spans="1:3" x14ac:dyDescent="0.25">
      <c r="A1627" s="21"/>
      <c r="B1627" s="5"/>
      <c r="C1627" s="5"/>
    </row>
    <row r="1628" spans="1:3" x14ac:dyDescent="0.25">
      <c r="A1628" s="21"/>
      <c r="B1628" s="5"/>
      <c r="C1628" s="5"/>
    </row>
    <row r="1629" spans="1:3" x14ac:dyDescent="0.25">
      <c r="A1629" s="21"/>
      <c r="B1629" s="5"/>
      <c r="C1629" s="5"/>
    </row>
    <row r="1630" spans="1:3" x14ac:dyDescent="0.25">
      <c r="A1630" s="21"/>
      <c r="B1630" s="5"/>
      <c r="C1630" s="5"/>
    </row>
    <row r="1631" spans="1:3" x14ac:dyDescent="0.25">
      <c r="A1631" s="21"/>
      <c r="B1631" s="5"/>
      <c r="C1631" s="5"/>
    </row>
    <row r="1632" spans="1:3" x14ac:dyDescent="0.25">
      <c r="A1632" s="21"/>
      <c r="B1632" s="5"/>
      <c r="C1632" s="5"/>
    </row>
    <row r="1633" spans="1:3" x14ac:dyDescent="0.25">
      <c r="A1633" s="21"/>
      <c r="B1633" s="5"/>
      <c r="C1633" s="5"/>
    </row>
    <row r="1634" spans="1:3" x14ac:dyDescent="0.25">
      <c r="A1634" s="21"/>
      <c r="B1634" s="5"/>
      <c r="C1634" s="5"/>
    </row>
    <row r="1635" spans="1:3" x14ac:dyDescent="0.25">
      <c r="A1635" s="21"/>
      <c r="B1635" s="5"/>
      <c r="C1635" s="5"/>
    </row>
    <row r="1636" spans="1:3" x14ac:dyDescent="0.25">
      <c r="A1636" s="21"/>
      <c r="B1636" s="5"/>
      <c r="C1636" s="5"/>
    </row>
    <row r="1637" spans="1:3" x14ac:dyDescent="0.25">
      <c r="A1637" s="21"/>
      <c r="B1637" s="5"/>
      <c r="C1637" s="5"/>
    </row>
    <row r="1638" spans="1:3" x14ac:dyDescent="0.25">
      <c r="A1638" s="21"/>
      <c r="B1638" s="5"/>
      <c r="C1638" s="5"/>
    </row>
    <row r="1639" spans="1:3" x14ac:dyDescent="0.25">
      <c r="A1639" s="21"/>
      <c r="B1639" s="5"/>
      <c r="C1639" s="5"/>
    </row>
    <row r="1640" spans="1:3" x14ac:dyDescent="0.25">
      <c r="A1640" s="21"/>
      <c r="B1640" s="5"/>
      <c r="C1640" s="5"/>
    </row>
    <row r="1641" spans="1:3" x14ac:dyDescent="0.25">
      <c r="A1641" s="21"/>
      <c r="B1641" s="5"/>
      <c r="C1641" s="5"/>
    </row>
    <row r="1642" spans="1:3" x14ac:dyDescent="0.25">
      <c r="A1642" s="21"/>
      <c r="B1642" s="5"/>
      <c r="C1642" s="5"/>
    </row>
    <row r="1643" spans="1:3" x14ac:dyDescent="0.25">
      <c r="A1643" s="21"/>
      <c r="B1643" s="5"/>
      <c r="C1643" s="5"/>
    </row>
    <row r="1644" spans="1:3" x14ac:dyDescent="0.25">
      <c r="A1644" s="21"/>
      <c r="B1644" s="5"/>
      <c r="C1644" s="5"/>
    </row>
    <row r="1645" spans="1:3" x14ac:dyDescent="0.25">
      <c r="A1645" s="21"/>
      <c r="B1645" s="5"/>
      <c r="C1645" s="5"/>
    </row>
    <row r="1646" spans="1:3" x14ac:dyDescent="0.25">
      <c r="A1646" s="21"/>
      <c r="B1646" s="5"/>
      <c r="C1646" s="5"/>
    </row>
    <row r="1647" spans="1:3" x14ac:dyDescent="0.25">
      <c r="A1647" s="21"/>
      <c r="B1647" s="5"/>
      <c r="C1647" s="5"/>
    </row>
    <row r="1648" spans="1:3" x14ac:dyDescent="0.25">
      <c r="A1648" s="21"/>
      <c r="B1648" s="5"/>
      <c r="C1648" s="5"/>
    </row>
    <row r="1649" spans="1:3" x14ac:dyDescent="0.25">
      <c r="A1649" s="21"/>
      <c r="B1649" s="5"/>
      <c r="C1649" s="5"/>
    </row>
    <row r="1650" spans="1:3" x14ac:dyDescent="0.25">
      <c r="A1650" s="21"/>
      <c r="B1650" s="5"/>
      <c r="C1650" s="5"/>
    </row>
    <row r="1651" spans="1:3" x14ac:dyDescent="0.25">
      <c r="A1651" s="21"/>
      <c r="B1651" s="5"/>
      <c r="C1651" s="5"/>
    </row>
    <row r="1652" spans="1:3" x14ac:dyDescent="0.25">
      <c r="A1652" s="21"/>
      <c r="B1652" s="5"/>
      <c r="C1652" s="5"/>
    </row>
    <row r="1653" spans="1:3" x14ac:dyDescent="0.25">
      <c r="A1653" s="21"/>
      <c r="B1653" s="5"/>
      <c r="C1653" s="5"/>
    </row>
    <row r="1654" spans="1:3" x14ac:dyDescent="0.25">
      <c r="A1654" s="21"/>
      <c r="B1654" s="5"/>
      <c r="C1654" s="5"/>
    </row>
    <row r="1655" spans="1:3" x14ac:dyDescent="0.25">
      <c r="A1655" s="21"/>
      <c r="B1655" s="5"/>
      <c r="C1655" s="5"/>
    </row>
    <row r="1656" spans="1:3" x14ac:dyDescent="0.25">
      <c r="A1656" s="21"/>
      <c r="B1656" s="5"/>
      <c r="C1656" s="5"/>
    </row>
    <row r="1657" spans="1:3" x14ac:dyDescent="0.25">
      <c r="A1657" s="21"/>
      <c r="B1657" s="5"/>
      <c r="C1657" s="5"/>
    </row>
    <row r="1658" spans="1:3" x14ac:dyDescent="0.25">
      <c r="A1658" s="21"/>
      <c r="B1658" s="5"/>
      <c r="C1658" s="5"/>
    </row>
    <row r="1659" spans="1:3" x14ac:dyDescent="0.25">
      <c r="A1659" s="21"/>
      <c r="B1659" s="5"/>
      <c r="C1659" s="5"/>
    </row>
    <row r="1660" spans="1:3" x14ac:dyDescent="0.25">
      <c r="A1660" s="21"/>
      <c r="B1660" s="5"/>
      <c r="C1660" s="5"/>
    </row>
    <row r="1661" spans="1:3" x14ac:dyDescent="0.25">
      <c r="A1661" s="21"/>
      <c r="B1661" s="5"/>
      <c r="C1661" s="5"/>
    </row>
    <row r="1662" spans="1:3" x14ac:dyDescent="0.25">
      <c r="A1662" s="21"/>
      <c r="B1662" s="5"/>
      <c r="C1662" s="5"/>
    </row>
    <row r="1663" spans="1:3" x14ac:dyDescent="0.25">
      <c r="A1663" s="21"/>
      <c r="B1663" s="5"/>
      <c r="C1663" s="5"/>
    </row>
    <row r="1664" spans="1:3" x14ac:dyDescent="0.25">
      <c r="A1664" s="21"/>
      <c r="B1664" s="5"/>
      <c r="C1664" s="5"/>
    </row>
    <row r="1665" spans="1:3" x14ac:dyDescent="0.25">
      <c r="A1665" s="21"/>
      <c r="B1665" s="5"/>
      <c r="C1665" s="5"/>
    </row>
    <row r="1666" spans="1:3" x14ac:dyDescent="0.25">
      <c r="A1666" s="21"/>
      <c r="B1666" s="5"/>
      <c r="C1666" s="5"/>
    </row>
    <row r="1667" spans="1:3" x14ac:dyDescent="0.25">
      <c r="A1667" s="21"/>
      <c r="B1667" s="5"/>
      <c r="C1667" s="5"/>
    </row>
    <row r="1668" spans="1:3" x14ac:dyDescent="0.25">
      <c r="A1668" s="21"/>
      <c r="B1668" s="5"/>
      <c r="C1668" s="5"/>
    </row>
    <row r="1669" spans="1:3" x14ac:dyDescent="0.25">
      <c r="A1669" s="21"/>
      <c r="B1669" s="5"/>
      <c r="C1669" s="5"/>
    </row>
    <row r="1670" spans="1:3" x14ac:dyDescent="0.25">
      <c r="A1670" s="21"/>
      <c r="B1670" s="5"/>
      <c r="C1670" s="5"/>
    </row>
    <row r="1671" spans="1:3" x14ac:dyDescent="0.25">
      <c r="A1671" s="21"/>
      <c r="B1671" s="5"/>
      <c r="C1671" s="5"/>
    </row>
    <row r="1672" spans="1:3" x14ac:dyDescent="0.25">
      <c r="A1672" s="21"/>
      <c r="B1672" s="5"/>
      <c r="C1672" s="5"/>
    </row>
    <row r="1673" spans="1:3" x14ac:dyDescent="0.25">
      <c r="A1673" s="21"/>
      <c r="B1673" s="5"/>
      <c r="C1673" s="5"/>
    </row>
    <row r="1674" spans="1:3" x14ac:dyDescent="0.25">
      <c r="A1674" s="21"/>
      <c r="B1674" s="5"/>
      <c r="C1674" s="5"/>
    </row>
    <row r="1675" spans="1:3" x14ac:dyDescent="0.25">
      <c r="A1675" s="21"/>
      <c r="B1675" s="5"/>
      <c r="C1675" s="5"/>
    </row>
    <row r="1676" spans="1:3" x14ac:dyDescent="0.25">
      <c r="A1676" s="21"/>
      <c r="B1676" s="5"/>
      <c r="C1676" s="5"/>
    </row>
    <row r="1677" spans="1:3" x14ac:dyDescent="0.25">
      <c r="A1677" s="21"/>
      <c r="B1677" s="5"/>
      <c r="C1677" s="5"/>
    </row>
    <row r="1678" spans="1:3" x14ac:dyDescent="0.25">
      <c r="A1678" s="21"/>
      <c r="B1678" s="5"/>
      <c r="C1678" s="5"/>
    </row>
    <row r="1679" spans="1:3" x14ac:dyDescent="0.25">
      <c r="A1679" s="21"/>
      <c r="B1679" s="5"/>
      <c r="C1679" s="5"/>
    </row>
    <row r="1680" spans="1:3" x14ac:dyDescent="0.25">
      <c r="A1680" s="21"/>
      <c r="B1680" s="5"/>
      <c r="C1680" s="5"/>
    </row>
    <row r="1681" spans="1:3" x14ac:dyDescent="0.25">
      <c r="A1681" s="21"/>
      <c r="B1681" s="5"/>
      <c r="C1681" s="5"/>
    </row>
    <row r="1682" spans="1:3" x14ac:dyDescent="0.25">
      <c r="A1682" s="21"/>
      <c r="B1682" s="5"/>
      <c r="C1682" s="5"/>
    </row>
    <row r="1683" spans="1:3" x14ac:dyDescent="0.25">
      <c r="A1683" s="21"/>
      <c r="B1683" s="5"/>
      <c r="C1683" s="5"/>
    </row>
    <row r="1684" spans="1:3" x14ac:dyDescent="0.25">
      <c r="A1684" s="21"/>
      <c r="B1684" s="5"/>
      <c r="C1684" s="5"/>
    </row>
    <row r="1685" spans="1:3" x14ac:dyDescent="0.25">
      <c r="A1685" s="21"/>
      <c r="B1685" s="5"/>
      <c r="C1685" s="5"/>
    </row>
    <row r="1686" spans="1:3" x14ac:dyDescent="0.25">
      <c r="A1686" s="21"/>
      <c r="B1686" s="5"/>
      <c r="C1686" s="5"/>
    </row>
    <row r="1687" spans="1:3" x14ac:dyDescent="0.25">
      <c r="A1687" s="21"/>
      <c r="B1687" s="5"/>
      <c r="C1687" s="5"/>
    </row>
    <row r="1688" spans="1:3" x14ac:dyDescent="0.25">
      <c r="A1688" s="21"/>
      <c r="B1688" s="5"/>
      <c r="C1688" s="5"/>
    </row>
    <row r="1689" spans="1:3" x14ac:dyDescent="0.25">
      <c r="A1689" s="21"/>
      <c r="B1689" s="5"/>
      <c r="C1689" s="5"/>
    </row>
    <row r="1690" spans="1:3" x14ac:dyDescent="0.25">
      <c r="A1690" s="21"/>
      <c r="B1690" s="5"/>
      <c r="C1690" s="5"/>
    </row>
    <row r="1691" spans="1:3" x14ac:dyDescent="0.25">
      <c r="A1691" s="21"/>
      <c r="B1691" s="5"/>
      <c r="C1691" s="5"/>
    </row>
    <row r="1692" spans="1:3" x14ac:dyDescent="0.25">
      <c r="A1692" s="21"/>
      <c r="B1692" s="5"/>
      <c r="C1692" s="5"/>
    </row>
    <row r="1693" spans="1:3" x14ac:dyDescent="0.25">
      <c r="A1693" s="21"/>
      <c r="B1693" s="5"/>
      <c r="C1693" s="5"/>
    </row>
    <row r="1694" spans="1:3" x14ac:dyDescent="0.25">
      <c r="A1694" s="21"/>
      <c r="B1694" s="5"/>
      <c r="C1694" s="5"/>
    </row>
    <row r="1695" spans="1:3" x14ac:dyDescent="0.25">
      <c r="A1695" s="21"/>
      <c r="B1695" s="5"/>
      <c r="C1695" s="5"/>
    </row>
    <row r="1696" spans="1:3" x14ac:dyDescent="0.25">
      <c r="A1696" s="21"/>
      <c r="B1696" s="5"/>
      <c r="C1696" s="5"/>
    </row>
    <row r="1697" spans="1:3" x14ac:dyDescent="0.25">
      <c r="A1697" s="21"/>
      <c r="B1697" s="5"/>
      <c r="C1697" s="5"/>
    </row>
    <row r="1698" spans="1:3" x14ac:dyDescent="0.25">
      <c r="A1698" s="21"/>
      <c r="B1698" s="5"/>
      <c r="C1698" s="5"/>
    </row>
    <row r="1699" spans="1:3" x14ac:dyDescent="0.25">
      <c r="A1699" s="21"/>
      <c r="B1699" s="5"/>
      <c r="C1699" s="5"/>
    </row>
    <row r="1700" spans="1:3" x14ac:dyDescent="0.25">
      <c r="A1700" s="21"/>
      <c r="B1700" s="5"/>
      <c r="C1700" s="5"/>
    </row>
    <row r="1701" spans="1:3" x14ac:dyDescent="0.25">
      <c r="A1701" s="21"/>
      <c r="B1701" s="5"/>
      <c r="C1701" s="5"/>
    </row>
    <row r="1702" spans="1:3" x14ac:dyDescent="0.25">
      <c r="A1702" s="21"/>
      <c r="B1702" s="5"/>
      <c r="C1702" s="5"/>
    </row>
    <row r="1703" spans="1:3" x14ac:dyDescent="0.25">
      <c r="A1703" s="21"/>
      <c r="B1703" s="5"/>
      <c r="C1703" s="5"/>
    </row>
    <row r="1704" spans="1:3" x14ac:dyDescent="0.25">
      <c r="A1704" s="21"/>
      <c r="B1704" s="5"/>
      <c r="C1704" s="5"/>
    </row>
    <row r="1705" spans="1:3" x14ac:dyDescent="0.25">
      <c r="A1705" s="21"/>
      <c r="B1705" s="5"/>
      <c r="C1705" s="5"/>
    </row>
    <row r="1706" spans="1:3" x14ac:dyDescent="0.25">
      <c r="A1706" s="21"/>
      <c r="B1706" s="5"/>
      <c r="C1706" s="5"/>
    </row>
    <row r="1707" spans="1:3" x14ac:dyDescent="0.25">
      <c r="A1707" s="21"/>
      <c r="B1707" s="5"/>
      <c r="C1707" s="5"/>
    </row>
    <row r="1708" spans="1:3" x14ac:dyDescent="0.25">
      <c r="A1708" s="21"/>
      <c r="B1708" s="5"/>
      <c r="C1708" s="5"/>
    </row>
    <row r="1709" spans="1:3" x14ac:dyDescent="0.25">
      <c r="A1709" s="21"/>
      <c r="B1709" s="5"/>
      <c r="C1709" s="5"/>
    </row>
    <row r="1710" spans="1:3" x14ac:dyDescent="0.25">
      <c r="A1710" s="21"/>
      <c r="B1710" s="5"/>
      <c r="C1710" s="5"/>
    </row>
    <row r="1711" spans="1:3" x14ac:dyDescent="0.25">
      <c r="A1711" s="21"/>
      <c r="B1711" s="5"/>
      <c r="C1711" s="5"/>
    </row>
    <row r="1712" spans="1:3" x14ac:dyDescent="0.25">
      <c r="A1712" s="21"/>
      <c r="B1712" s="5"/>
      <c r="C1712" s="5"/>
    </row>
    <row r="1713" spans="1:3" x14ac:dyDescent="0.25">
      <c r="A1713" s="21"/>
      <c r="B1713" s="5"/>
      <c r="C1713" s="5"/>
    </row>
    <row r="1714" spans="1:3" x14ac:dyDescent="0.25">
      <c r="A1714" s="21"/>
      <c r="B1714" s="5"/>
      <c r="C1714" s="5"/>
    </row>
    <row r="1715" spans="1:3" x14ac:dyDescent="0.25">
      <c r="A1715" s="21"/>
      <c r="B1715" s="5"/>
      <c r="C1715" s="5"/>
    </row>
    <row r="1716" spans="1:3" x14ac:dyDescent="0.25">
      <c r="A1716" s="21"/>
      <c r="B1716" s="5"/>
      <c r="C1716" s="5"/>
    </row>
    <row r="1717" spans="1:3" x14ac:dyDescent="0.25">
      <c r="A1717" s="21"/>
      <c r="B1717" s="5"/>
      <c r="C1717" s="5"/>
    </row>
    <row r="1718" spans="1:3" x14ac:dyDescent="0.25">
      <c r="A1718" s="21"/>
      <c r="B1718" s="5"/>
      <c r="C1718" s="5"/>
    </row>
    <row r="1719" spans="1:3" x14ac:dyDescent="0.25">
      <c r="A1719" s="21"/>
      <c r="B1719" s="5"/>
      <c r="C1719" s="5"/>
    </row>
    <row r="1720" spans="1:3" x14ac:dyDescent="0.25">
      <c r="A1720" s="21"/>
      <c r="B1720" s="5"/>
      <c r="C1720" s="5"/>
    </row>
    <row r="1721" spans="1:3" x14ac:dyDescent="0.25">
      <c r="A1721" s="21"/>
      <c r="B1721" s="5"/>
      <c r="C1721" s="5"/>
    </row>
    <row r="1722" spans="1:3" x14ac:dyDescent="0.25">
      <c r="A1722" s="21"/>
      <c r="B1722" s="5"/>
      <c r="C1722" s="5"/>
    </row>
    <row r="1723" spans="1:3" x14ac:dyDescent="0.25">
      <c r="A1723" s="21"/>
      <c r="B1723" s="5"/>
      <c r="C1723" s="5"/>
    </row>
    <row r="1724" spans="1:3" x14ac:dyDescent="0.25">
      <c r="A1724" s="21"/>
      <c r="B1724" s="5"/>
      <c r="C1724" s="5"/>
    </row>
    <row r="1725" spans="1:3" x14ac:dyDescent="0.25">
      <c r="A1725" s="21"/>
      <c r="B1725" s="5"/>
      <c r="C1725" s="5"/>
    </row>
    <row r="1726" spans="1:3" x14ac:dyDescent="0.25">
      <c r="A1726" s="21"/>
      <c r="B1726" s="5"/>
      <c r="C1726" s="5"/>
    </row>
    <row r="1727" spans="1:3" x14ac:dyDescent="0.25">
      <c r="A1727" s="21"/>
      <c r="B1727" s="5"/>
      <c r="C1727" s="5"/>
    </row>
    <row r="1728" spans="1:3" x14ac:dyDescent="0.25">
      <c r="A1728" s="21"/>
      <c r="B1728" s="5"/>
      <c r="C1728" s="5"/>
    </row>
    <row r="1729" spans="1:3" x14ac:dyDescent="0.25">
      <c r="A1729" s="21"/>
      <c r="B1729" s="5"/>
      <c r="C1729" s="5"/>
    </row>
    <row r="1730" spans="1:3" x14ac:dyDescent="0.25">
      <c r="A1730" s="21"/>
      <c r="B1730" s="5"/>
      <c r="C1730" s="5"/>
    </row>
    <row r="1731" spans="1:3" x14ac:dyDescent="0.25">
      <c r="A1731" s="21"/>
      <c r="B1731" s="5"/>
      <c r="C1731" s="5"/>
    </row>
    <row r="1732" spans="1:3" x14ac:dyDescent="0.25">
      <c r="A1732" s="21"/>
      <c r="B1732" s="5"/>
      <c r="C1732" s="5"/>
    </row>
    <row r="1733" spans="1:3" x14ac:dyDescent="0.25">
      <c r="A1733" s="21"/>
      <c r="B1733" s="5"/>
      <c r="C1733" s="5"/>
    </row>
    <row r="1734" spans="1:3" x14ac:dyDescent="0.25">
      <c r="A1734" s="21"/>
      <c r="B1734" s="5"/>
      <c r="C1734" s="5"/>
    </row>
    <row r="1735" spans="1:3" x14ac:dyDescent="0.25">
      <c r="A1735" s="21"/>
      <c r="B1735" s="5"/>
      <c r="C1735" s="5"/>
    </row>
    <row r="1736" spans="1:3" x14ac:dyDescent="0.25">
      <c r="A1736" s="21"/>
      <c r="B1736" s="5"/>
      <c r="C1736" s="5"/>
    </row>
    <row r="1737" spans="1:3" x14ac:dyDescent="0.25">
      <c r="A1737" s="21"/>
      <c r="B1737" s="5"/>
      <c r="C1737" s="5"/>
    </row>
    <row r="1738" spans="1:3" x14ac:dyDescent="0.25">
      <c r="A1738" s="21"/>
      <c r="B1738" s="5"/>
      <c r="C1738" s="5"/>
    </row>
    <row r="1739" spans="1:3" x14ac:dyDescent="0.25">
      <c r="A1739" s="21"/>
      <c r="B1739" s="5"/>
      <c r="C1739" s="5"/>
    </row>
    <row r="1740" spans="1:3" x14ac:dyDescent="0.25">
      <c r="A1740" s="21"/>
      <c r="B1740" s="5"/>
      <c r="C1740" s="5"/>
    </row>
    <row r="1741" spans="1:3" x14ac:dyDescent="0.25">
      <c r="A1741" s="21"/>
      <c r="B1741" s="5"/>
      <c r="C1741" s="5"/>
    </row>
    <row r="1742" spans="1:3" x14ac:dyDescent="0.25">
      <c r="A1742" s="21"/>
      <c r="B1742" s="5"/>
      <c r="C1742" s="5"/>
    </row>
    <row r="1743" spans="1:3" x14ac:dyDescent="0.25">
      <c r="A1743" s="21"/>
      <c r="B1743" s="5"/>
      <c r="C1743" s="5"/>
    </row>
    <row r="1744" spans="1:3" x14ac:dyDescent="0.25">
      <c r="A1744" s="21"/>
      <c r="B1744" s="5"/>
      <c r="C1744" s="5"/>
    </row>
    <row r="1745" spans="1:3" x14ac:dyDescent="0.25">
      <c r="A1745" s="21"/>
      <c r="B1745" s="5"/>
      <c r="C1745" s="5"/>
    </row>
    <row r="1746" spans="1:3" x14ac:dyDescent="0.25">
      <c r="A1746" s="21"/>
      <c r="B1746" s="5"/>
      <c r="C1746" s="5"/>
    </row>
    <row r="1747" spans="1:3" x14ac:dyDescent="0.25">
      <c r="A1747" s="21"/>
      <c r="B1747" s="5"/>
      <c r="C1747" s="5"/>
    </row>
    <row r="1748" spans="1:3" x14ac:dyDescent="0.25">
      <c r="A1748" s="21"/>
      <c r="B1748" s="5"/>
      <c r="C1748" s="5"/>
    </row>
    <row r="1749" spans="1:3" x14ac:dyDescent="0.25">
      <c r="A1749" s="21"/>
      <c r="B1749" s="5"/>
      <c r="C1749" s="5"/>
    </row>
    <row r="1750" spans="1:3" x14ac:dyDescent="0.25">
      <c r="A1750" s="21"/>
      <c r="B1750" s="5"/>
      <c r="C1750" s="5"/>
    </row>
    <row r="1751" spans="1:3" x14ac:dyDescent="0.25">
      <c r="A1751" s="21"/>
      <c r="B1751" s="5"/>
      <c r="C1751" s="5"/>
    </row>
    <row r="1752" spans="1:3" x14ac:dyDescent="0.25">
      <c r="A1752" s="21"/>
      <c r="B1752" s="5"/>
      <c r="C1752" s="5"/>
    </row>
    <row r="1753" spans="1:3" x14ac:dyDescent="0.25">
      <c r="A1753" s="21"/>
      <c r="B1753" s="5"/>
      <c r="C1753" s="5"/>
    </row>
    <row r="1754" spans="1:3" x14ac:dyDescent="0.25">
      <c r="A1754" s="21"/>
      <c r="B1754" s="5"/>
      <c r="C1754" s="5"/>
    </row>
    <row r="1755" spans="1:3" x14ac:dyDescent="0.25">
      <c r="A1755" s="21"/>
      <c r="B1755" s="5"/>
      <c r="C1755" s="5"/>
    </row>
    <row r="1756" spans="1:3" x14ac:dyDescent="0.25">
      <c r="A1756" s="21"/>
      <c r="B1756" s="5"/>
      <c r="C1756" s="5"/>
    </row>
    <row r="1757" spans="1:3" x14ac:dyDescent="0.25">
      <c r="A1757" s="21"/>
      <c r="B1757" s="5"/>
      <c r="C1757" s="5"/>
    </row>
    <row r="1758" spans="1:3" x14ac:dyDescent="0.25">
      <c r="A1758" s="21"/>
      <c r="B1758" s="5"/>
      <c r="C1758" s="5"/>
    </row>
    <row r="1759" spans="1:3" x14ac:dyDescent="0.25">
      <c r="A1759" s="21"/>
      <c r="B1759" s="5"/>
      <c r="C1759" s="5"/>
    </row>
    <row r="1760" spans="1:3" x14ac:dyDescent="0.25">
      <c r="A1760" s="21"/>
      <c r="B1760" s="5"/>
      <c r="C1760" s="5"/>
    </row>
    <row r="1761" spans="1:3" x14ac:dyDescent="0.25">
      <c r="A1761" s="21"/>
      <c r="B1761" s="5"/>
      <c r="C1761" s="5"/>
    </row>
    <row r="1762" spans="1:3" x14ac:dyDescent="0.25">
      <c r="A1762" s="21"/>
      <c r="B1762" s="5"/>
      <c r="C1762" s="5"/>
    </row>
    <row r="1763" spans="1:3" x14ac:dyDescent="0.25">
      <c r="A1763" s="21"/>
      <c r="B1763" s="5"/>
      <c r="C1763" s="5"/>
    </row>
    <row r="1764" spans="1:3" x14ac:dyDescent="0.25">
      <c r="A1764" s="21"/>
      <c r="B1764" s="5"/>
      <c r="C1764" s="5"/>
    </row>
    <row r="1765" spans="1:3" x14ac:dyDescent="0.25">
      <c r="A1765" s="21"/>
      <c r="B1765" s="5"/>
      <c r="C1765" s="5"/>
    </row>
    <row r="1766" spans="1:3" x14ac:dyDescent="0.25">
      <c r="A1766" s="21"/>
      <c r="B1766" s="5"/>
      <c r="C1766" s="5"/>
    </row>
    <row r="1767" spans="1:3" x14ac:dyDescent="0.25">
      <c r="A1767" s="21"/>
      <c r="B1767" s="5"/>
      <c r="C1767" s="5"/>
    </row>
    <row r="1768" spans="1:3" x14ac:dyDescent="0.25">
      <c r="A1768" s="21"/>
      <c r="B1768" s="5"/>
      <c r="C1768" s="5"/>
    </row>
    <row r="1769" spans="1:3" x14ac:dyDescent="0.25">
      <c r="A1769" s="21"/>
      <c r="B1769" s="5"/>
      <c r="C1769" s="5"/>
    </row>
    <row r="1770" spans="1:3" x14ac:dyDescent="0.25">
      <c r="A1770" s="21"/>
      <c r="B1770" s="5"/>
      <c r="C1770" s="5"/>
    </row>
    <row r="1771" spans="1:3" x14ac:dyDescent="0.25">
      <c r="A1771" s="21"/>
      <c r="B1771" s="5"/>
      <c r="C1771" s="5"/>
    </row>
    <row r="1772" spans="1:3" x14ac:dyDescent="0.25">
      <c r="A1772" s="21"/>
      <c r="B1772" s="5"/>
      <c r="C1772" s="5"/>
    </row>
    <row r="1773" spans="1:3" x14ac:dyDescent="0.25">
      <c r="A1773" s="21"/>
      <c r="B1773" s="5"/>
      <c r="C1773" s="5"/>
    </row>
    <row r="1774" spans="1:3" x14ac:dyDescent="0.25">
      <c r="A1774" s="21"/>
      <c r="B1774" s="5"/>
      <c r="C1774" s="5"/>
    </row>
    <row r="1775" spans="1:3" x14ac:dyDescent="0.25">
      <c r="A1775" s="21"/>
      <c r="B1775" s="5"/>
      <c r="C1775" s="5"/>
    </row>
    <row r="1776" spans="1:3" x14ac:dyDescent="0.25">
      <c r="A1776" s="21"/>
      <c r="B1776" s="5"/>
      <c r="C1776" s="5"/>
    </row>
    <row r="1777" spans="1:3" x14ac:dyDescent="0.25">
      <c r="A1777" s="21"/>
      <c r="B1777" s="5"/>
      <c r="C1777" s="5"/>
    </row>
    <row r="1778" spans="1:3" x14ac:dyDescent="0.25">
      <c r="A1778" s="21"/>
      <c r="B1778" s="5"/>
      <c r="C1778" s="5"/>
    </row>
    <row r="1779" spans="1:3" x14ac:dyDescent="0.25">
      <c r="A1779" s="21"/>
      <c r="B1779" s="5"/>
      <c r="C1779" s="5"/>
    </row>
    <row r="1780" spans="1:3" x14ac:dyDescent="0.25">
      <c r="A1780" s="21"/>
      <c r="B1780" s="5"/>
      <c r="C1780" s="5"/>
    </row>
    <row r="1781" spans="1:3" x14ac:dyDescent="0.25">
      <c r="A1781" s="21"/>
      <c r="B1781" s="5"/>
      <c r="C1781" s="5"/>
    </row>
    <row r="1782" spans="1:3" x14ac:dyDescent="0.25">
      <c r="A1782" s="21"/>
      <c r="B1782" s="5"/>
      <c r="C1782" s="5"/>
    </row>
    <row r="1783" spans="1:3" x14ac:dyDescent="0.25">
      <c r="A1783" s="21"/>
      <c r="B1783" s="5"/>
      <c r="C1783" s="5"/>
    </row>
    <row r="1784" spans="1:3" x14ac:dyDescent="0.25">
      <c r="A1784" s="21"/>
      <c r="B1784" s="5"/>
      <c r="C1784" s="5"/>
    </row>
    <row r="1785" spans="1:3" x14ac:dyDescent="0.25">
      <c r="A1785" s="21"/>
      <c r="B1785" s="5"/>
      <c r="C1785" s="5"/>
    </row>
    <row r="1786" spans="1:3" x14ac:dyDescent="0.25">
      <c r="A1786" s="21"/>
      <c r="B1786" s="5"/>
      <c r="C1786" s="5"/>
    </row>
    <row r="1787" spans="1:3" x14ac:dyDescent="0.25">
      <c r="A1787" s="21"/>
      <c r="B1787" s="5"/>
      <c r="C1787" s="5"/>
    </row>
    <row r="1788" spans="1:3" x14ac:dyDescent="0.25">
      <c r="A1788" s="21"/>
      <c r="B1788" s="5"/>
      <c r="C1788" s="5"/>
    </row>
    <row r="1789" spans="1:3" x14ac:dyDescent="0.25">
      <c r="A1789" s="21"/>
      <c r="B1789" s="5"/>
      <c r="C1789" s="5"/>
    </row>
    <row r="1790" spans="1:3" x14ac:dyDescent="0.25">
      <c r="A1790" s="21"/>
      <c r="B1790" s="5"/>
      <c r="C1790" s="5"/>
    </row>
    <row r="1791" spans="1:3" x14ac:dyDescent="0.25">
      <c r="A1791" s="21"/>
      <c r="B1791" s="5"/>
      <c r="C1791" s="5"/>
    </row>
    <row r="1792" spans="1:3" x14ac:dyDescent="0.25">
      <c r="A1792" s="21"/>
      <c r="B1792" s="5"/>
      <c r="C1792" s="5"/>
    </row>
    <row r="1793" spans="1:3" x14ac:dyDescent="0.25">
      <c r="A1793" s="21"/>
      <c r="B1793" s="5"/>
      <c r="C1793" s="5"/>
    </row>
    <row r="1794" spans="1:3" x14ac:dyDescent="0.25">
      <c r="A1794" s="21"/>
      <c r="B1794" s="5"/>
      <c r="C1794" s="5"/>
    </row>
    <row r="1795" spans="1:3" x14ac:dyDescent="0.25">
      <c r="A1795" s="21"/>
      <c r="B1795" s="5"/>
      <c r="C1795" s="5"/>
    </row>
    <row r="1796" spans="1:3" x14ac:dyDescent="0.25">
      <c r="A1796" s="21"/>
      <c r="B1796" s="5"/>
      <c r="C1796" s="5"/>
    </row>
    <row r="1797" spans="1:3" x14ac:dyDescent="0.25">
      <c r="A1797" s="21"/>
      <c r="B1797" s="5"/>
      <c r="C1797" s="5"/>
    </row>
    <row r="1798" spans="1:3" x14ac:dyDescent="0.25">
      <c r="A1798" s="21"/>
      <c r="B1798" s="5"/>
      <c r="C1798" s="5"/>
    </row>
    <row r="1799" spans="1:3" x14ac:dyDescent="0.25">
      <c r="A1799" s="21"/>
      <c r="B1799" s="5"/>
      <c r="C1799" s="5"/>
    </row>
    <row r="1800" spans="1:3" x14ac:dyDescent="0.25">
      <c r="A1800" s="21"/>
      <c r="B1800" s="5"/>
      <c r="C1800" s="5"/>
    </row>
    <row r="1801" spans="1:3" x14ac:dyDescent="0.25">
      <c r="A1801" s="21"/>
      <c r="B1801" s="5"/>
      <c r="C1801" s="5"/>
    </row>
    <row r="1802" spans="1:3" x14ac:dyDescent="0.25">
      <c r="A1802" s="21"/>
      <c r="B1802" s="5"/>
      <c r="C1802" s="5"/>
    </row>
    <row r="1803" spans="1:3" x14ac:dyDescent="0.25">
      <c r="A1803" s="21"/>
      <c r="B1803" s="5"/>
      <c r="C1803" s="5"/>
    </row>
    <row r="1804" spans="1:3" x14ac:dyDescent="0.25">
      <c r="A1804" s="21"/>
      <c r="B1804" s="5"/>
      <c r="C1804" s="5"/>
    </row>
    <row r="1805" spans="1:3" x14ac:dyDescent="0.25">
      <c r="A1805" s="21"/>
      <c r="B1805" s="5"/>
      <c r="C1805" s="5"/>
    </row>
    <row r="1806" spans="1:3" x14ac:dyDescent="0.25">
      <c r="A1806" s="21"/>
      <c r="B1806" s="5"/>
      <c r="C1806" s="5"/>
    </row>
    <row r="1807" spans="1:3" x14ac:dyDescent="0.25">
      <c r="A1807" s="21"/>
      <c r="B1807" s="5"/>
      <c r="C1807" s="5"/>
    </row>
    <row r="1808" spans="1:3" x14ac:dyDescent="0.25">
      <c r="A1808" s="21"/>
      <c r="B1808" s="5"/>
      <c r="C1808" s="5"/>
    </row>
    <row r="1809" spans="1:3" x14ac:dyDescent="0.25">
      <c r="A1809" s="21"/>
      <c r="B1809" s="5"/>
      <c r="C1809" s="5"/>
    </row>
    <row r="1810" spans="1:3" x14ac:dyDescent="0.25">
      <c r="A1810" s="21"/>
      <c r="B1810" s="5"/>
      <c r="C1810" s="5"/>
    </row>
    <row r="1811" spans="1:3" x14ac:dyDescent="0.25">
      <c r="A1811" s="21"/>
      <c r="B1811" s="5"/>
      <c r="C1811" s="5"/>
    </row>
    <row r="1812" spans="1:3" x14ac:dyDescent="0.25">
      <c r="A1812" s="21"/>
      <c r="B1812" s="5"/>
      <c r="C1812" s="5"/>
    </row>
    <row r="1813" spans="1:3" x14ac:dyDescent="0.25">
      <c r="A1813" s="21"/>
      <c r="B1813" s="5"/>
      <c r="C1813" s="5"/>
    </row>
    <row r="1814" spans="1:3" x14ac:dyDescent="0.25">
      <c r="A1814" s="21"/>
      <c r="B1814" s="5"/>
      <c r="C1814" s="5"/>
    </row>
    <row r="1815" spans="1:3" x14ac:dyDescent="0.25">
      <c r="A1815" s="21"/>
      <c r="B1815" s="5"/>
      <c r="C1815" s="5"/>
    </row>
    <row r="1816" spans="1:3" x14ac:dyDescent="0.25">
      <c r="A1816" s="21"/>
      <c r="B1816" s="5"/>
      <c r="C1816" s="5"/>
    </row>
    <row r="1817" spans="1:3" x14ac:dyDescent="0.25">
      <c r="A1817" s="21"/>
      <c r="B1817" s="5"/>
      <c r="C1817" s="5"/>
    </row>
    <row r="1818" spans="1:3" x14ac:dyDescent="0.25">
      <c r="A1818" s="21"/>
      <c r="B1818" s="5"/>
      <c r="C1818" s="5"/>
    </row>
    <row r="1819" spans="1:3" x14ac:dyDescent="0.25">
      <c r="A1819" s="21"/>
      <c r="B1819" s="5"/>
      <c r="C1819" s="5"/>
    </row>
    <row r="1820" spans="1:3" x14ac:dyDescent="0.25">
      <c r="A1820" s="21"/>
      <c r="B1820" s="5"/>
      <c r="C1820" s="5"/>
    </row>
    <row r="1821" spans="1:3" x14ac:dyDescent="0.25">
      <c r="A1821" s="21"/>
      <c r="B1821" s="5"/>
      <c r="C1821" s="5"/>
    </row>
    <row r="1822" spans="1:3" x14ac:dyDescent="0.25">
      <c r="A1822" s="21"/>
      <c r="B1822" s="5"/>
      <c r="C1822" s="5"/>
    </row>
    <row r="1823" spans="1:3" x14ac:dyDescent="0.25">
      <c r="A1823" s="21"/>
      <c r="B1823" s="5"/>
      <c r="C1823" s="5"/>
    </row>
    <row r="1824" spans="1:3" x14ac:dyDescent="0.25">
      <c r="A1824" s="21"/>
      <c r="B1824" s="5"/>
      <c r="C1824" s="5"/>
    </row>
    <row r="1825" spans="1:3" x14ac:dyDescent="0.25">
      <c r="A1825" s="21"/>
      <c r="B1825" s="5"/>
      <c r="C1825" s="5"/>
    </row>
    <row r="1826" spans="1:3" x14ac:dyDescent="0.25">
      <c r="A1826" s="21"/>
      <c r="B1826" s="5"/>
      <c r="C1826" s="5"/>
    </row>
    <row r="1827" spans="1:3" x14ac:dyDescent="0.25">
      <c r="A1827" s="21"/>
      <c r="B1827" s="5"/>
      <c r="C1827" s="5"/>
    </row>
    <row r="1828" spans="1:3" x14ac:dyDescent="0.25">
      <c r="A1828" s="21"/>
      <c r="B1828" s="5"/>
      <c r="C1828" s="5"/>
    </row>
    <row r="1829" spans="1:3" x14ac:dyDescent="0.25">
      <c r="A1829" s="21"/>
      <c r="B1829" s="5"/>
      <c r="C1829" s="5"/>
    </row>
    <row r="1830" spans="1:3" x14ac:dyDescent="0.25">
      <c r="A1830" s="21"/>
      <c r="B1830" s="5"/>
      <c r="C1830" s="5"/>
    </row>
    <row r="1831" spans="1:3" x14ac:dyDescent="0.25">
      <c r="A1831" s="21"/>
      <c r="B1831" s="5"/>
      <c r="C1831" s="5"/>
    </row>
    <row r="1832" spans="1:3" x14ac:dyDescent="0.25">
      <c r="A1832" s="21"/>
      <c r="B1832" s="5"/>
      <c r="C1832" s="5"/>
    </row>
    <row r="1833" spans="1:3" x14ac:dyDescent="0.25">
      <c r="A1833" s="21"/>
      <c r="B1833" s="5"/>
      <c r="C1833" s="5"/>
    </row>
    <row r="1834" spans="1:3" x14ac:dyDescent="0.25">
      <c r="A1834" s="21"/>
      <c r="B1834" s="5"/>
      <c r="C1834" s="5"/>
    </row>
    <row r="1835" spans="1:3" x14ac:dyDescent="0.25">
      <c r="A1835" s="21"/>
      <c r="B1835" s="5"/>
      <c r="C1835" s="5"/>
    </row>
    <row r="1836" spans="1:3" x14ac:dyDescent="0.25">
      <c r="A1836" s="21"/>
      <c r="B1836" s="5"/>
      <c r="C1836" s="5"/>
    </row>
    <row r="1837" spans="1:3" x14ac:dyDescent="0.25">
      <c r="A1837" s="21"/>
      <c r="B1837" s="5"/>
      <c r="C1837" s="5"/>
    </row>
    <row r="1838" spans="1:3" x14ac:dyDescent="0.25">
      <c r="A1838" s="21"/>
      <c r="B1838" s="5"/>
      <c r="C1838" s="5"/>
    </row>
    <row r="1839" spans="1:3" x14ac:dyDescent="0.25">
      <c r="A1839" s="21"/>
      <c r="B1839" s="5"/>
      <c r="C1839" s="5"/>
    </row>
    <row r="1840" spans="1:3" x14ac:dyDescent="0.25">
      <c r="A1840" s="21"/>
      <c r="B1840" s="5"/>
      <c r="C1840" s="5"/>
    </row>
    <row r="1841" spans="1:3" x14ac:dyDescent="0.25">
      <c r="A1841" s="21"/>
      <c r="B1841" s="5"/>
      <c r="C1841" s="5"/>
    </row>
    <row r="1842" spans="1:3" x14ac:dyDescent="0.25">
      <c r="A1842" s="21"/>
      <c r="B1842" s="5"/>
      <c r="C1842" s="5"/>
    </row>
    <row r="1843" spans="1:3" x14ac:dyDescent="0.25">
      <c r="A1843" s="21"/>
      <c r="B1843" s="5"/>
      <c r="C1843" s="5"/>
    </row>
    <row r="1844" spans="1:3" x14ac:dyDescent="0.25">
      <c r="A1844" s="21"/>
      <c r="B1844" s="5"/>
      <c r="C1844" s="5"/>
    </row>
    <row r="1845" spans="1:3" x14ac:dyDescent="0.25">
      <c r="A1845" s="21"/>
      <c r="B1845" s="5"/>
      <c r="C1845" s="5"/>
    </row>
    <row r="1846" spans="1:3" x14ac:dyDescent="0.25">
      <c r="A1846" s="21"/>
      <c r="B1846" s="5"/>
      <c r="C1846" s="5"/>
    </row>
    <row r="1847" spans="1:3" x14ac:dyDescent="0.25">
      <c r="A1847" s="21"/>
      <c r="B1847" s="5"/>
      <c r="C1847" s="5"/>
    </row>
    <row r="1848" spans="1:3" x14ac:dyDescent="0.25">
      <c r="A1848" s="21"/>
      <c r="B1848" s="5"/>
      <c r="C1848" s="5"/>
    </row>
    <row r="1849" spans="1:3" x14ac:dyDescent="0.25">
      <c r="A1849" s="21"/>
      <c r="B1849" s="5"/>
      <c r="C1849" s="5"/>
    </row>
    <row r="1850" spans="1:3" x14ac:dyDescent="0.25">
      <c r="A1850" s="21"/>
      <c r="B1850" s="5"/>
      <c r="C1850" s="5"/>
    </row>
    <row r="1851" spans="1:3" x14ac:dyDescent="0.25">
      <c r="A1851" s="21"/>
      <c r="B1851" s="5"/>
      <c r="C1851" s="5"/>
    </row>
    <row r="1852" spans="1:3" x14ac:dyDescent="0.25">
      <c r="A1852" s="21"/>
      <c r="B1852" s="5"/>
      <c r="C1852" s="5"/>
    </row>
    <row r="1853" spans="1:3" x14ac:dyDescent="0.25">
      <c r="A1853" s="21"/>
      <c r="B1853" s="5"/>
      <c r="C1853" s="5"/>
    </row>
    <row r="1854" spans="1:3" x14ac:dyDescent="0.25">
      <c r="A1854" s="21"/>
      <c r="B1854" s="5"/>
      <c r="C1854" s="5"/>
    </row>
    <row r="1855" spans="1:3" x14ac:dyDescent="0.25">
      <c r="A1855" s="21"/>
      <c r="B1855" s="5"/>
      <c r="C1855" s="5"/>
    </row>
    <row r="1856" spans="1:3" x14ac:dyDescent="0.25">
      <c r="A1856" s="21"/>
      <c r="B1856" s="5"/>
      <c r="C1856" s="5"/>
    </row>
    <row r="1857" spans="1:3" x14ac:dyDescent="0.25">
      <c r="A1857" s="21"/>
      <c r="B1857" s="5"/>
      <c r="C1857" s="5"/>
    </row>
    <row r="1858" spans="1:3" x14ac:dyDescent="0.25">
      <c r="A1858" s="21"/>
      <c r="B1858" s="5"/>
      <c r="C1858" s="5"/>
    </row>
    <row r="1859" spans="1:3" x14ac:dyDescent="0.25">
      <c r="A1859" s="21"/>
      <c r="B1859" s="5"/>
      <c r="C1859" s="5"/>
    </row>
    <row r="1860" spans="1:3" x14ac:dyDescent="0.25">
      <c r="A1860" s="21"/>
      <c r="B1860" s="5"/>
      <c r="C1860" s="5"/>
    </row>
    <row r="1861" spans="1:3" x14ac:dyDescent="0.25">
      <c r="A1861" s="21"/>
      <c r="B1861" s="5"/>
      <c r="C1861" s="5"/>
    </row>
    <row r="1862" spans="1:3" x14ac:dyDescent="0.25">
      <c r="A1862" s="21"/>
      <c r="B1862" s="5"/>
      <c r="C1862" s="5"/>
    </row>
    <row r="1863" spans="1:3" x14ac:dyDescent="0.25">
      <c r="A1863" s="21"/>
      <c r="B1863" s="5"/>
      <c r="C1863" s="5"/>
    </row>
    <row r="1864" spans="1:3" x14ac:dyDescent="0.25">
      <c r="A1864" s="21"/>
      <c r="B1864" s="5"/>
      <c r="C1864" s="5"/>
    </row>
    <row r="1865" spans="1:3" x14ac:dyDescent="0.25">
      <c r="A1865" s="21"/>
      <c r="B1865" s="5"/>
      <c r="C1865" s="5"/>
    </row>
    <row r="1866" spans="1:3" x14ac:dyDescent="0.25">
      <c r="A1866" s="21"/>
      <c r="B1866" s="5"/>
      <c r="C1866" s="5"/>
    </row>
    <row r="1867" spans="1:3" x14ac:dyDescent="0.25">
      <c r="A1867" s="21"/>
      <c r="B1867" s="5"/>
      <c r="C1867" s="5"/>
    </row>
    <row r="1868" spans="1:3" x14ac:dyDescent="0.25">
      <c r="A1868" s="21"/>
      <c r="B1868" s="5"/>
      <c r="C1868" s="5"/>
    </row>
    <row r="1869" spans="1:3" x14ac:dyDescent="0.25">
      <c r="A1869" s="21"/>
      <c r="B1869" s="5"/>
      <c r="C1869" s="5"/>
    </row>
    <row r="1870" spans="1:3" x14ac:dyDescent="0.25">
      <c r="A1870" s="21"/>
      <c r="B1870" s="5"/>
      <c r="C1870" s="5"/>
    </row>
    <row r="1871" spans="1:3" x14ac:dyDescent="0.25">
      <c r="A1871" s="21"/>
      <c r="B1871" s="5"/>
      <c r="C1871" s="5"/>
    </row>
    <row r="1872" spans="1:3" x14ac:dyDescent="0.25">
      <c r="A1872" s="21"/>
      <c r="B1872" s="5"/>
      <c r="C1872" s="5"/>
    </row>
    <row r="1873" spans="1:3" x14ac:dyDescent="0.25">
      <c r="A1873" s="21"/>
      <c r="B1873" s="5"/>
      <c r="C1873" s="5"/>
    </row>
    <row r="1874" spans="1:3" x14ac:dyDescent="0.25">
      <c r="A1874" s="21"/>
      <c r="B1874" s="5"/>
      <c r="C1874" s="5"/>
    </row>
    <row r="1875" spans="1:3" x14ac:dyDescent="0.25">
      <c r="A1875" s="21"/>
      <c r="B1875" s="5"/>
      <c r="C1875" s="5"/>
    </row>
    <row r="1876" spans="1:3" x14ac:dyDescent="0.25">
      <c r="A1876" s="21"/>
      <c r="B1876" s="5"/>
      <c r="C1876" s="5"/>
    </row>
    <row r="1877" spans="1:3" x14ac:dyDescent="0.25">
      <c r="A1877" s="21"/>
      <c r="B1877" s="5"/>
      <c r="C1877" s="5"/>
    </row>
    <row r="1878" spans="1:3" x14ac:dyDescent="0.25">
      <c r="A1878" s="21"/>
      <c r="B1878" s="5"/>
      <c r="C1878" s="5"/>
    </row>
    <row r="1879" spans="1:3" x14ac:dyDescent="0.25">
      <c r="A1879" s="21"/>
      <c r="B1879" s="5"/>
      <c r="C1879" s="5"/>
    </row>
    <row r="1880" spans="1:3" x14ac:dyDescent="0.25">
      <c r="A1880" s="21"/>
      <c r="B1880" s="5"/>
      <c r="C1880" s="5"/>
    </row>
    <row r="1881" spans="1:3" x14ac:dyDescent="0.25">
      <c r="A1881" s="21"/>
      <c r="B1881" s="5"/>
      <c r="C1881" s="5"/>
    </row>
    <row r="1882" spans="1:3" x14ac:dyDescent="0.25">
      <c r="A1882" s="21"/>
      <c r="B1882" s="5"/>
      <c r="C1882" s="5"/>
    </row>
    <row r="1883" spans="1:3" x14ac:dyDescent="0.25">
      <c r="A1883" s="21"/>
      <c r="B1883" s="5"/>
      <c r="C1883" s="5"/>
    </row>
    <row r="1884" spans="1:3" x14ac:dyDescent="0.25">
      <c r="A1884" s="21"/>
      <c r="B1884" s="5"/>
      <c r="C1884" s="5"/>
    </row>
    <row r="1885" spans="1:3" x14ac:dyDescent="0.25">
      <c r="A1885" s="21"/>
      <c r="B1885" s="5"/>
      <c r="C1885" s="5"/>
    </row>
    <row r="1886" spans="1:3" x14ac:dyDescent="0.25">
      <c r="A1886" s="21"/>
      <c r="B1886" s="5"/>
      <c r="C1886" s="5"/>
    </row>
    <row r="1887" spans="1:3" x14ac:dyDescent="0.25">
      <c r="A1887" s="21"/>
      <c r="B1887" s="5"/>
      <c r="C1887" s="5"/>
    </row>
    <row r="1888" spans="1:3" x14ac:dyDescent="0.25">
      <c r="A1888" s="21"/>
      <c r="B1888" s="5"/>
      <c r="C1888" s="5"/>
    </row>
    <row r="1889" spans="1:3" x14ac:dyDescent="0.25">
      <c r="A1889" s="21"/>
      <c r="B1889" s="5"/>
      <c r="C1889" s="5"/>
    </row>
    <row r="1890" spans="1:3" x14ac:dyDescent="0.25">
      <c r="A1890" s="21"/>
      <c r="B1890" s="5"/>
      <c r="C1890" s="5"/>
    </row>
    <row r="1891" spans="1:3" x14ac:dyDescent="0.25">
      <c r="A1891" s="21"/>
      <c r="B1891" s="5"/>
      <c r="C1891" s="5"/>
    </row>
    <row r="1892" spans="1:3" x14ac:dyDescent="0.25">
      <c r="A1892" s="21"/>
      <c r="B1892" s="5"/>
      <c r="C1892" s="5"/>
    </row>
    <row r="1893" spans="1:3" x14ac:dyDescent="0.25">
      <c r="A1893" s="21"/>
      <c r="B1893" s="5"/>
      <c r="C1893" s="5"/>
    </row>
    <row r="1894" spans="1:3" x14ac:dyDescent="0.25">
      <c r="A1894" s="21"/>
      <c r="B1894" s="5"/>
      <c r="C1894" s="5"/>
    </row>
    <row r="1895" spans="1:3" x14ac:dyDescent="0.25">
      <c r="A1895" s="21"/>
      <c r="B1895" s="5"/>
      <c r="C1895" s="5"/>
    </row>
    <row r="1896" spans="1:3" x14ac:dyDescent="0.25">
      <c r="A1896" s="21"/>
      <c r="B1896" s="5"/>
      <c r="C1896" s="5"/>
    </row>
    <row r="1897" spans="1:3" x14ac:dyDescent="0.25">
      <c r="A1897" s="21"/>
      <c r="B1897" s="5"/>
      <c r="C1897" s="5"/>
    </row>
    <row r="1898" spans="1:3" x14ac:dyDescent="0.25">
      <c r="A1898" s="21"/>
      <c r="B1898" s="5"/>
      <c r="C1898" s="5"/>
    </row>
    <row r="1899" spans="1:3" x14ac:dyDescent="0.25">
      <c r="A1899" s="21"/>
      <c r="B1899" s="5"/>
      <c r="C1899" s="5"/>
    </row>
    <row r="1900" spans="1:3" x14ac:dyDescent="0.25">
      <c r="A1900" s="21"/>
      <c r="B1900" s="5"/>
      <c r="C1900" s="5"/>
    </row>
    <row r="1901" spans="1:3" x14ac:dyDescent="0.25">
      <c r="A1901" s="21"/>
      <c r="B1901" s="5"/>
      <c r="C1901" s="5"/>
    </row>
    <row r="1902" spans="1:3" x14ac:dyDescent="0.25">
      <c r="A1902" s="21"/>
      <c r="B1902" s="5"/>
      <c r="C1902" s="5"/>
    </row>
    <row r="1903" spans="1:3" x14ac:dyDescent="0.25">
      <c r="A1903" s="21"/>
      <c r="B1903" s="5"/>
      <c r="C1903" s="5"/>
    </row>
    <row r="1904" spans="1:3" x14ac:dyDescent="0.25">
      <c r="A1904" s="21"/>
      <c r="B1904" s="5"/>
      <c r="C1904" s="5"/>
    </row>
    <row r="1905" spans="1:3" x14ac:dyDescent="0.25">
      <c r="A1905" s="21"/>
      <c r="B1905" s="5"/>
      <c r="C1905" s="5"/>
    </row>
    <row r="1906" spans="1:3" x14ac:dyDescent="0.25">
      <c r="A1906" s="21"/>
      <c r="B1906" s="5"/>
      <c r="C1906" s="5"/>
    </row>
    <row r="1907" spans="1:3" x14ac:dyDescent="0.25">
      <c r="A1907" s="21"/>
      <c r="B1907" s="5"/>
      <c r="C1907" s="5"/>
    </row>
    <row r="1908" spans="1:3" x14ac:dyDescent="0.25">
      <c r="A1908" s="21"/>
      <c r="B1908" s="5"/>
      <c r="C1908" s="5"/>
    </row>
    <row r="1909" spans="1:3" x14ac:dyDescent="0.25">
      <c r="A1909" s="21"/>
      <c r="B1909" s="5"/>
      <c r="C1909" s="5"/>
    </row>
    <row r="1910" spans="1:3" x14ac:dyDescent="0.25">
      <c r="A1910" s="21"/>
      <c r="B1910" s="5"/>
      <c r="C1910" s="5"/>
    </row>
    <row r="1911" spans="1:3" x14ac:dyDescent="0.25">
      <c r="A1911" s="21"/>
      <c r="B1911" s="5"/>
      <c r="C1911" s="5"/>
    </row>
    <row r="1912" spans="1:3" x14ac:dyDescent="0.25">
      <c r="A1912" s="21"/>
      <c r="B1912" s="5"/>
      <c r="C1912" s="5"/>
    </row>
    <row r="1913" spans="1:3" x14ac:dyDescent="0.25">
      <c r="A1913" s="21"/>
      <c r="B1913" s="5"/>
      <c r="C1913" s="5"/>
    </row>
    <row r="1914" spans="1:3" x14ac:dyDescent="0.25">
      <c r="A1914" s="21"/>
      <c r="B1914" s="5"/>
      <c r="C1914" s="5"/>
    </row>
    <row r="1915" spans="1:3" x14ac:dyDescent="0.25">
      <c r="A1915" s="21"/>
      <c r="B1915" s="5"/>
      <c r="C1915" s="5"/>
    </row>
    <row r="1916" spans="1:3" x14ac:dyDescent="0.25">
      <c r="A1916" s="21"/>
      <c r="B1916" s="5"/>
      <c r="C1916" s="5"/>
    </row>
    <row r="1917" spans="1:3" x14ac:dyDescent="0.25">
      <c r="A1917" s="21"/>
      <c r="B1917" s="5"/>
      <c r="C1917" s="5"/>
    </row>
    <row r="1918" spans="1:3" x14ac:dyDescent="0.25">
      <c r="A1918" s="21"/>
      <c r="B1918" s="5"/>
      <c r="C1918" s="5"/>
    </row>
    <row r="1919" spans="1:3" x14ac:dyDescent="0.25">
      <c r="A1919" s="21"/>
      <c r="B1919" s="5"/>
      <c r="C1919" s="5"/>
    </row>
    <row r="1920" spans="1:3" x14ac:dyDescent="0.25">
      <c r="A1920" s="21"/>
      <c r="B1920" s="5"/>
      <c r="C1920" s="5"/>
    </row>
    <row r="1921" spans="1:3" x14ac:dyDescent="0.25">
      <c r="A1921" s="21"/>
      <c r="B1921" s="5"/>
      <c r="C1921" s="5"/>
    </row>
    <row r="1922" spans="1:3" x14ac:dyDescent="0.25">
      <c r="A1922" s="21"/>
      <c r="B1922" s="5"/>
      <c r="C1922" s="5"/>
    </row>
    <row r="1923" spans="1:3" x14ac:dyDescent="0.25">
      <c r="A1923" s="21"/>
      <c r="B1923" s="5"/>
      <c r="C1923" s="5"/>
    </row>
    <row r="1924" spans="1:3" x14ac:dyDescent="0.25">
      <c r="A1924" s="21"/>
      <c r="B1924" s="5"/>
      <c r="C1924" s="5"/>
    </row>
    <row r="1925" spans="1:3" x14ac:dyDescent="0.25">
      <c r="A1925" s="21"/>
      <c r="B1925" s="5"/>
      <c r="C1925" s="5"/>
    </row>
    <row r="1926" spans="1:3" x14ac:dyDescent="0.25">
      <c r="A1926" s="21"/>
      <c r="B1926" s="5"/>
      <c r="C1926" s="5"/>
    </row>
    <row r="1927" spans="1:3" x14ac:dyDescent="0.25">
      <c r="A1927" s="21"/>
      <c r="B1927" s="5"/>
      <c r="C1927" s="5"/>
    </row>
    <row r="1928" spans="1:3" x14ac:dyDescent="0.25">
      <c r="A1928" s="21"/>
      <c r="B1928" s="5"/>
      <c r="C1928" s="5"/>
    </row>
    <row r="1929" spans="1:3" x14ac:dyDescent="0.25">
      <c r="A1929" s="21"/>
      <c r="B1929" s="5"/>
      <c r="C1929" s="5"/>
    </row>
    <row r="1930" spans="1:3" x14ac:dyDescent="0.25">
      <c r="A1930" s="21"/>
      <c r="B1930" s="5"/>
      <c r="C1930" s="5"/>
    </row>
    <row r="1931" spans="1:3" x14ac:dyDescent="0.25">
      <c r="A1931" s="21"/>
      <c r="B1931" s="5"/>
      <c r="C1931" s="5"/>
    </row>
    <row r="1932" spans="1:3" x14ac:dyDescent="0.25">
      <c r="A1932" s="21"/>
      <c r="B1932" s="5"/>
      <c r="C1932" s="5"/>
    </row>
    <row r="1933" spans="1:3" x14ac:dyDescent="0.25">
      <c r="A1933" s="21"/>
      <c r="B1933" s="5"/>
      <c r="C1933" s="5"/>
    </row>
    <row r="1934" spans="1:3" x14ac:dyDescent="0.25">
      <c r="A1934" s="21"/>
      <c r="B1934" s="5"/>
      <c r="C1934" s="5"/>
    </row>
    <row r="1935" spans="1:3" x14ac:dyDescent="0.25">
      <c r="A1935" s="21"/>
      <c r="B1935" s="5"/>
      <c r="C1935" s="5"/>
    </row>
    <row r="1936" spans="1:3" x14ac:dyDescent="0.25">
      <c r="A1936" s="21"/>
      <c r="B1936" s="5"/>
      <c r="C1936" s="5"/>
    </row>
    <row r="1937" spans="1:3" x14ac:dyDescent="0.25">
      <c r="A1937" s="21"/>
      <c r="B1937" s="5"/>
      <c r="C1937" s="5"/>
    </row>
    <row r="1938" spans="1:3" x14ac:dyDescent="0.25">
      <c r="A1938" s="21"/>
      <c r="B1938" s="5"/>
      <c r="C1938" s="5"/>
    </row>
    <row r="1939" spans="1:3" x14ac:dyDescent="0.25">
      <c r="A1939" s="21"/>
      <c r="B1939" s="5"/>
      <c r="C1939" s="5"/>
    </row>
    <row r="1940" spans="1:3" x14ac:dyDescent="0.25">
      <c r="A1940" s="21"/>
      <c r="B1940" s="5"/>
      <c r="C1940" s="5"/>
    </row>
    <row r="1941" spans="1:3" x14ac:dyDescent="0.25">
      <c r="A1941" s="21"/>
      <c r="B1941" s="5"/>
      <c r="C1941" s="5"/>
    </row>
    <row r="1942" spans="1:3" x14ac:dyDescent="0.25">
      <c r="A1942" s="21"/>
      <c r="B1942" s="5"/>
      <c r="C1942" s="5"/>
    </row>
    <row r="1943" spans="1:3" x14ac:dyDescent="0.25">
      <c r="A1943" s="21"/>
      <c r="B1943" s="5"/>
      <c r="C1943" s="5"/>
    </row>
    <row r="1944" spans="1:3" x14ac:dyDescent="0.25">
      <c r="A1944" s="21"/>
      <c r="B1944" s="5"/>
      <c r="C1944" s="5"/>
    </row>
    <row r="1945" spans="1:3" x14ac:dyDescent="0.25">
      <c r="A1945" s="21"/>
      <c r="B1945" s="5"/>
      <c r="C1945" s="5"/>
    </row>
    <row r="1946" spans="1:3" x14ac:dyDescent="0.25">
      <c r="A1946" s="21"/>
      <c r="B1946" s="5"/>
      <c r="C1946" s="5"/>
    </row>
    <row r="1947" spans="1:3" x14ac:dyDescent="0.25">
      <c r="A1947" s="21"/>
      <c r="B1947" s="5"/>
      <c r="C1947" s="5"/>
    </row>
    <row r="1948" spans="1:3" x14ac:dyDescent="0.25">
      <c r="A1948" s="21"/>
      <c r="B1948" s="5"/>
      <c r="C1948" s="5"/>
    </row>
    <row r="1949" spans="1:3" x14ac:dyDescent="0.25">
      <c r="A1949" s="21"/>
      <c r="B1949" s="5"/>
      <c r="C1949" s="5"/>
    </row>
    <row r="1950" spans="1:3" x14ac:dyDescent="0.25">
      <c r="A1950" s="21"/>
      <c r="B1950" s="5"/>
      <c r="C1950" s="5"/>
    </row>
    <row r="1951" spans="1:3" x14ac:dyDescent="0.25">
      <c r="A1951" s="21"/>
      <c r="B1951" s="5"/>
      <c r="C1951" s="5"/>
    </row>
    <row r="1952" spans="1:3" x14ac:dyDescent="0.25">
      <c r="A1952" s="21"/>
      <c r="B1952" s="5"/>
      <c r="C1952" s="5"/>
    </row>
    <row r="1953" spans="1:3" x14ac:dyDescent="0.25">
      <c r="A1953" s="21"/>
      <c r="B1953" s="5"/>
      <c r="C1953" s="5"/>
    </row>
    <row r="1954" spans="1:3" x14ac:dyDescent="0.25">
      <c r="A1954" s="21"/>
      <c r="B1954" s="5"/>
      <c r="C1954" s="5"/>
    </row>
    <row r="1955" spans="1:3" x14ac:dyDescent="0.25">
      <c r="A1955" s="21"/>
      <c r="B1955" s="5"/>
      <c r="C1955" s="5"/>
    </row>
    <row r="1956" spans="1:3" x14ac:dyDescent="0.25">
      <c r="A1956" s="21"/>
      <c r="B1956" s="5"/>
      <c r="C1956" s="5"/>
    </row>
    <row r="1957" spans="1:3" x14ac:dyDescent="0.25">
      <c r="A1957" s="21"/>
      <c r="B1957" s="5"/>
      <c r="C1957" s="5"/>
    </row>
    <row r="1958" spans="1:3" x14ac:dyDescent="0.25">
      <c r="A1958" s="21"/>
      <c r="B1958" s="5"/>
      <c r="C1958" s="5"/>
    </row>
    <row r="1959" spans="1:3" x14ac:dyDescent="0.25">
      <c r="A1959" s="21"/>
      <c r="B1959" s="5"/>
      <c r="C1959" s="5"/>
    </row>
    <row r="1960" spans="1:3" x14ac:dyDescent="0.25">
      <c r="A1960" s="21"/>
      <c r="B1960" s="5"/>
      <c r="C1960" s="5"/>
    </row>
    <row r="1961" spans="1:3" x14ac:dyDescent="0.25">
      <c r="A1961" s="21"/>
      <c r="B1961" s="5"/>
      <c r="C1961" s="5"/>
    </row>
    <row r="1962" spans="1:3" x14ac:dyDescent="0.25">
      <c r="A1962" s="21"/>
      <c r="B1962" s="5"/>
      <c r="C1962" s="5"/>
    </row>
    <row r="1963" spans="1:3" x14ac:dyDescent="0.25">
      <c r="A1963" s="21"/>
      <c r="B1963" s="5"/>
      <c r="C1963" s="5"/>
    </row>
    <row r="1964" spans="1:3" x14ac:dyDescent="0.25">
      <c r="A1964" s="21"/>
      <c r="B1964" s="5"/>
      <c r="C1964" s="5"/>
    </row>
    <row r="1965" spans="1:3" x14ac:dyDescent="0.25">
      <c r="A1965" s="21"/>
      <c r="B1965" s="5"/>
      <c r="C1965" s="5"/>
    </row>
    <row r="1966" spans="1:3" x14ac:dyDescent="0.25">
      <c r="A1966" s="21"/>
      <c r="B1966" s="5"/>
      <c r="C1966" s="5"/>
    </row>
    <row r="1967" spans="1:3" x14ac:dyDescent="0.25">
      <c r="A1967" s="21"/>
      <c r="B1967" s="5"/>
      <c r="C1967" s="5"/>
    </row>
    <row r="1968" spans="1:3" x14ac:dyDescent="0.25">
      <c r="A1968" s="21"/>
      <c r="B1968" s="5"/>
      <c r="C1968" s="5"/>
    </row>
    <row r="1969" spans="1:3" x14ac:dyDescent="0.25">
      <c r="A1969" s="21"/>
      <c r="B1969" s="5"/>
      <c r="C1969" s="5"/>
    </row>
    <row r="1970" spans="1:3" x14ac:dyDescent="0.25">
      <c r="A1970" s="21"/>
      <c r="B1970" s="5"/>
      <c r="C1970" s="5"/>
    </row>
    <row r="1971" spans="1:3" x14ac:dyDescent="0.25">
      <c r="A1971" s="21"/>
      <c r="B1971" s="5"/>
      <c r="C1971" s="5"/>
    </row>
    <row r="1972" spans="1:3" x14ac:dyDescent="0.25">
      <c r="A1972" s="21"/>
      <c r="B1972" s="5"/>
      <c r="C1972" s="5"/>
    </row>
    <row r="1973" spans="1:3" x14ac:dyDescent="0.25">
      <c r="A1973" s="21"/>
      <c r="B1973" s="5"/>
      <c r="C1973" s="5"/>
    </row>
    <row r="1974" spans="1:3" x14ac:dyDescent="0.25">
      <c r="A1974" s="21"/>
      <c r="B1974" s="5"/>
      <c r="C1974" s="5"/>
    </row>
    <row r="1975" spans="1:3" x14ac:dyDescent="0.25">
      <c r="A1975" s="21"/>
      <c r="B1975" s="5"/>
      <c r="C1975" s="5"/>
    </row>
    <row r="1976" spans="1:3" x14ac:dyDescent="0.25">
      <c r="A1976" s="21"/>
      <c r="B1976" s="5"/>
      <c r="C1976" s="5"/>
    </row>
    <row r="1977" spans="1:3" x14ac:dyDescent="0.25">
      <c r="A1977" s="21"/>
      <c r="B1977" s="5"/>
      <c r="C1977" s="5"/>
    </row>
    <row r="1978" spans="1:3" x14ac:dyDescent="0.25">
      <c r="A1978" s="21"/>
      <c r="B1978" s="5"/>
      <c r="C1978" s="5"/>
    </row>
    <row r="1979" spans="1:3" x14ac:dyDescent="0.25">
      <c r="A1979" s="21"/>
      <c r="B1979" s="5"/>
      <c r="C1979" s="5"/>
    </row>
    <row r="1980" spans="1:3" x14ac:dyDescent="0.25">
      <c r="A1980" s="21"/>
      <c r="B1980" s="5"/>
      <c r="C1980" s="5"/>
    </row>
    <row r="1981" spans="1:3" x14ac:dyDescent="0.25">
      <c r="A1981" s="21"/>
      <c r="B1981" s="5"/>
      <c r="C1981" s="5"/>
    </row>
    <row r="1982" spans="1:3" x14ac:dyDescent="0.25">
      <c r="A1982" s="21"/>
      <c r="B1982" s="5"/>
      <c r="C1982" s="5"/>
    </row>
    <row r="1983" spans="1:3" x14ac:dyDescent="0.25">
      <c r="A1983" s="21"/>
      <c r="B1983" s="5"/>
      <c r="C1983" s="5"/>
    </row>
    <row r="1984" spans="1:3" x14ac:dyDescent="0.25">
      <c r="A1984" s="21"/>
      <c r="B1984" s="5"/>
      <c r="C1984" s="5"/>
    </row>
    <row r="1985" spans="1:3" x14ac:dyDescent="0.25">
      <c r="A1985" s="21"/>
      <c r="B1985" s="5"/>
      <c r="C1985" s="5"/>
    </row>
    <row r="1986" spans="1:3" x14ac:dyDescent="0.25">
      <c r="A1986" s="21"/>
      <c r="B1986" s="5"/>
      <c r="C1986" s="5"/>
    </row>
    <row r="1987" spans="1:3" x14ac:dyDescent="0.25">
      <c r="A1987" s="21"/>
      <c r="B1987" s="5"/>
      <c r="C1987" s="5"/>
    </row>
    <row r="1988" spans="1:3" x14ac:dyDescent="0.25">
      <c r="A1988" s="21"/>
      <c r="B1988" s="5"/>
      <c r="C1988" s="5"/>
    </row>
    <row r="1989" spans="1:3" x14ac:dyDescent="0.25">
      <c r="A1989" s="21"/>
      <c r="B1989" s="5"/>
      <c r="C1989" s="5"/>
    </row>
    <row r="1990" spans="1:3" x14ac:dyDescent="0.25">
      <c r="A1990" s="21"/>
      <c r="B1990" s="5"/>
      <c r="C1990" s="5"/>
    </row>
    <row r="1991" spans="1:3" x14ac:dyDescent="0.25">
      <c r="A1991" s="21"/>
      <c r="B1991" s="5"/>
      <c r="C1991" s="5"/>
    </row>
    <row r="1992" spans="1:3" x14ac:dyDescent="0.25">
      <c r="A1992" s="21"/>
      <c r="B1992" s="5"/>
      <c r="C1992" s="5"/>
    </row>
    <row r="1993" spans="1:3" x14ac:dyDescent="0.25">
      <c r="A1993" s="21"/>
      <c r="B1993" s="5"/>
      <c r="C1993" s="5"/>
    </row>
    <row r="1994" spans="1:3" x14ac:dyDescent="0.25">
      <c r="A1994" s="21"/>
      <c r="B1994" s="5"/>
      <c r="C1994" s="5"/>
    </row>
    <row r="1995" spans="1:3" x14ac:dyDescent="0.25">
      <c r="A1995" s="21"/>
      <c r="B1995" s="5"/>
      <c r="C1995" s="5"/>
    </row>
    <row r="1996" spans="1:3" x14ac:dyDescent="0.25">
      <c r="A1996" s="21"/>
      <c r="B1996" s="5"/>
      <c r="C1996" s="5"/>
    </row>
    <row r="1997" spans="1:3" x14ac:dyDescent="0.25">
      <c r="A1997" s="21"/>
      <c r="B1997" s="5"/>
      <c r="C1997" s="5"/>
    </row>
    <row r="1998" spans="1:3" x14ac:dyDescent="0.25">
      <c r="A1998" s="21"/>
      <c r="B1998" s="5"/>
      <c r="C1998" s="5"/>
    </row>
    <row r="1999" spans="1:3" x14ac:dyDescent="0.25">
      <c r="A1999" s="21"/>
      <c r="B1999" s="5"/>
      <c r="C1999" s="5"/>
    </row>
    <row r="2000" spans="1:3" x14ac:dyDescent="0.25">
      <c r="A2000" s="21"/>
      <c r="B2000" s="5"/>
      <c r="C2000" s="5"/>
    </row>
    <row r="2001" spans="1:3" x14ac:dyDescent="0.25">
      <c r="A2001" s="21"/>
      <c r="B2001" s="5"/>
      <c r="C2001" s="5"/>
    </row>
    <row r="2002" spans="1:3" x14ac:dyDescent="0.25">
      <c r="A2002" s="21"/>
      <c r="B2002" s="5"/>
      <c r="C2002" s="5"/>
    </row>
    <row r="2003" spans="1:3" x14ac:dyDescent="0.25">
      <c r="A2003" s="21"/>
      <c r="B2003" s="5"/>
      <c r="C2003" s="5"/>
    </row>
    <row r="2004" spans="1:3" x14ac:dyDescent="0.25">
      <c r="A2004" s="21"/>
      <c r="B2004" s="5"/>
      <c r="C2004" s="5"/>
    </row>
    <row r="2005" spans="1:3" x14ac:dyDescent="0.25">
      <c r="A2005" s="21"/>
      <c r="B2005" s="5"/>
      <c r="C2005" s="5"/>
    </row>
    <row r="2006" spans="1:3" x14ac:dyDescent="0.25">
      <c r="A2006" s="21"/>
      <c r="B2006" s="5"/>
      <c r="C2006" s="5"/>
    </row>
    <row r="2007" spans="1:3" x14ac:dyDescent="0.25">
      <c r="A2007" s="21"/>
      <c r="B2007" s="5"/>
      <c r="C2007" s="5"/>
    </row>
    <row r="2008" spans="1:3" x14ac:dyDescent="0.25">
      <c r="A2008" s="21"/>
      <c r="B2008" s="5"/>
      <c r="C2008" s="5"/>
    </row>
    <row r="2009" spans="1:3" x14ac:dyDescent="0.25">
      <c r="A2009" s="21"/>
      <c r="B2009" s="5"/>
      <c r="C2009" s="5"/>
    </row>
    <row r="2010" spans="1:3" x14ac:dyDescent="0.25">
      <c r="A2010" s="21"/>
      <c r="B2010" s="5"/>
      <c r="C2010" s="5"/>
    </row>
    <row r="2011" spans="1:3" x14ac:dyDescent="0.25">
      <c r="A2011" s="21"/>
      <c r="B2011" s="5"/>
      <c r="C2011" s="5"/>
    </row>
    <row r="2012" spans="1:3" x14ac:dyDescent="0.25">
      <c r="A2012" s="21"/>
      <c r="B2012" s="5"/>
      <c r="C2012" s="5"/>
    </row>
    <row r="2013" spans="1:3" x14ac:dyDescent="0.25">
      <c r="A2013" s="21"/>
      <c r="B2013" s="5"/>
      <c r="C2013" s="5"/>
    </row>
    <row r="2014" spans="1:3" x14ac:dyDescent="0.25">
      <c r="A2014" s="21"/>
      <c r="B2014" s="5"/>
      <c r="C2014" s="5"/>
    </row>
    <row r="2015" spans="1:3" x14ac:dyDescent="0.25">
      <c r="A2015" s="21"/>
      <c r="B2015" s="5"/>
      <c r="C2015" s="5"/>
    </row>
    <row r="2016" spans="1:3" x14ac:dyDescent="0.25">
      <c r="A2016" s="21"/>
      <c r="B2016" s="5"/>
      <c r="C2016" s="5"/>
    </row>
    <row r="2017" spans="1:3" x14ac:dyDescent="0.25">
      <c r="A2017" s="21"/>
      <c r="B2017" s="5"/>
      <c r="C2017" s="5"/>
    </row>
    <row r="2018" spans="1:3" x14ac:dyDescent="0.25">
      <c r="A2018" s="21"/>
      <c r="B2018" s="5"/>
      <c r="C2018" s="5"/>
    </row>
    <row r="2019" spans="1:3" x14ac:dyDescent="0.25">
      <c r="A2019" s="21"/>
      <c r="B2019" s="5"/>
      <c r="C2019" s="5"/>
    </row>
    <row r="2020" spans="1:3" x14ac:dyDescent="0.25">
      <c r="A2020" s="21"/>
      <c r="B2020" s="5"/>
      <c r="C2020" s="5"/>
    </row>
    <row r="2021" spans="1:3" x14ac:dyDescent="0.25">
      <c r="A2021" s="21"/>
      <c r="B2021" s="5"/>
      <c r="C2021" s="5"/>
    </row>
    <row r="2022" spans="1:3" x14ac:dyDescent="0.25">
      <c r="A2022" s="21"/>
      <c r="B2022" s="5"/>
      <c r="C2022" s="5"/>
    </row>
    <row r="2023" spans="1:3" x14ac:dyDescent="0.25">
      <c r="A2023" s="21"/>
      <c r="B2023" s="5"/>
      <c r="C2023" s="5"/>
    </row>
    <row r="2024" spans="1:3" x14ac:dyDescent="0.25">
      <c r="A2024" s="21"/>
      <c r="B2024" s="5"/>
      <c r="C2024" s="5"/>
    </row>
    <row r="2025" spans="1:3" x14ac:dyDescent="0.25">
      <c r="A2025" s="21"/>
      <c r="B2025" s="5"/>
      <c r="C2025" s="5"/>
    </row>
    <row r="2026" spans="1:3" x14ac:dyDescent="0.25">
      <c r="A2026" s="21"/>
      <c r="B2026" s="5"/>
      <c r="C2026" s="5"/>
    </row>
    <row r="2027" spans="1:3" x14ac:dyDescent="0.25">
      <c r="A2027" s="21"/>
      <c r="B2027" s="5"/>
      <c r="C2027" s="5"/>
    </row>
    <row r="2028" spans="1:3" x14ac:dyDescent="0.25">
      <c r="A2028" s="21"/>
      <c r="B2028" s="5"/>
      <c r="C2028" s="5"/>
    </row>
    <row r="2029" spans="1:3" x14ac:dyDescent="0.25">
      <c r="A2029" s="21"/>
      <c r="B2029" s="5"/>
      <c r="C2029" s="5"/>
    </row>
    <row r="2030" spans="1:3" x14ac:dyDescent="0.25">
      <c r="A2030" s="21"/>
      <c r="B2030" s="5"/>
      <c r="C2030" s="5"/>
    </row>
    <row r="2031" spans="1:3" x14ac:dyDescent="0.25">
      <c r="A2031" s="21"/>
      <c r="B2031" s="5"/>
      <c r="C2031" s="5"/>
    </row>
    <row r="2032" spans="1:3" x14ac:dyDescent="0.25">
      <c r="A2032" s="21"/>
      <c r="B2032" s="5"/>
      <c r="C2032" s="5"/>
    </row>
    <row r="2033" spans="1:3" x14ac:dyDescent="0.25">
      <c r="A2033" s="21"/>
      <c r="B2033" s="5"/>
      <c r="C2033" s="5"/>
    </row>
    <row r="2034" spans="1:3" x14ac:dyDescent="0.25">
      <c r="A2034" s="21"/>
      <c r="B2034" s="5"/>
      <c r="C2034" s="5"/>
    </row>
    <row r="2035" spans="1:3" x14ac:dyDescent="0.25">
      <c r="A2035" s="21"/>
      <c r="B2035" s="5"/>
      <c r="C2035" s="5"/>
    </row>
    <row r="2036" spans="1:3" x14ac:dyDescent="0.25">
      <c r="A2036" s="21"/>
      <c r="B2036" s="5"/>
      <c r="C2036" s="5"/>
    </row>
    <row r="2037" spans="1:3" x14ac:dyDescent="0.25">
      <c r="A2037" s="21"/>
      <c r="B2037" s="5"/>
      <c r="C2037" s="5"/>
    </row>
    <row r="2038" spans="1:3" x14ac:dyDescent="0.25">
      <c r="A2038" s="21"/>
      <c r="B2038" s="5"/>
      <c r="C2038" s="5"/>
    </row>
    <row r="2039" spans="1:3" x14ac:dyDescent="0.25">
      <c r="A2039" s="21"/>
      <c r="B2039" s="5"/>
      <c r="C2039" s="5"/>
    </row>
    <row r="2040" spans="1:3" x14ac:dyDescent="0.25">
      <c r="A2040" s="21"/>
      <c r="B2040" s="5"/>
      <c r="C2040" s="5"/>
    </row>
    <row r="2041" spans="1:3" x14ac:dyDescent="0.25">
      <c r="A2041" s="21"/>
      <c r="B2041" s="5"/>
      <c r="C2041" s="5"/>
    </row>
    <row r="2042" spans="1:3" x14ac:dyDescent="0.25">
      <c r="A2042" s="21"/>
      <c r="B2042" s="5"/>
      <c r="C2042" s="5"/>
    </row>
    <row r="2043" spans="1:3" x14ac:dyDescent="0.25">
      <c r="A2043" s="21"/>
      <c r="B2043" s="5"/>
      <c r="C2043" s="5"/>
    </row>
    <row r="2044" spans="1:3" x14ac:dyDescent="0.25">
      <c r="A2044" s="21"/>
      <c r="B2044" s="5"/>
      <c r="C2044" s="5"/>
    </row>
    <row r="2045" spans="1:3" x14ac:dyDescent="0.25">
      <c r="A2045" s="21"/>
      <c r="B2045" s="5"/>
      <c r="C2045" s="5"/>
    </row>
    <row r="2046" spans="1:3" x14ac:dyDescent="0.25">
      <c r="A2046" s="21"/>
      <c r="B2046" s="5"/>
      <c r="C2046" s="5"/>
    </row>
    <row r="2047" spans="1:3" x14ac:dyDescent="0.25">
      <c r="A2047" s="21"/>
      <c r="B2047" s="5"/>
      <c r="C2047" s="5"/>
    </row>
    <row r="2048" spans="1:3" x14ac:dyDescent="0.25">
      <c r="A2048" s="21"/>
      <c r="B2048" s="5"/>
      <c r="C2048" s="5"/>
    </row>
    <row r="2049" spans="1:3" x14ac:dyDescent="0.25">
      <c r="A2049" s="21"/>
      <c r="B2049" s="5"/>
      <c r="C2049" s="5"/>
    </row>
    <row r="2050" spans="1:3" x14ac:dyDescent="0.25">
      <c r="A2050" s="21"/>
      <c r="B2050" s="5"/>
      <c r="C2050" s="5"/>
    </row>
    <row r="2051" spans="1:3" x14ac:dyDescent="0.25">
      <c r="A2051" s="21"/>
      <c r="B2051" s="5"/>
      <c r="C2051" s="5"/>
    </row>
    <row r="2052" spans="1:3" x14ac:dyDescent="0.25">
      <c r="A2052" s="21"/>
      <c r="B2052" s="5"/>
      <c r="C2052" s="5"/>
    </row>
    <row r="2053" spans="1:3" x14ac:dyDescent="0.25">
      <c r="A2053" s="21"/>
      <c r="B2053" s="5"/>
      <c r="C2053" s="5"/>
    </row>
    <row r="2054" spans="1:3" x14ac:dyDescent="0.25">
      <c r="A2054" s="21"/>
      <c r="B2054" s="5"/>
      <c r="C2054" s="5"/>
    </row>
    <row r="2055" spans="1:3" x14ac:dyDescent="0.25">
      <c r="A2055" s="21"/>
      <c r="B2055" s="5"/>
      <c r="C2055" s="5"/>
    </row>
    <row r="2056" spans="1:3" x14ac:dyDescent="0.25">
      <c r="A2056" s="21"/>
      <c r="B2056" s="5"/>
      <c r="C2056" s="5"/>
    </row>
    <row r="2057" spans="1:3" x14ac:dyDescent="0.25">
      <c r="A2057" s="21"/>
      <c r="B2057" s="5"/>
      <c r="C2057" s="5"/>
    </row>
    <row r="2058" spans="1:3" x14ac:dyDescent="0.25">
      <c r="A2058" s="21"/>
      <c r="B2058" s="5"/>
      <c r="C2058" s="5"/>
    </row>
    <row r="2059" spans="1:3" x14ac:dyDescent="0.25">
      <c r="A2059" s="21"/>
      <c r="B2059" s="5"/>
      <c r="C2059" s="5"/>
    </row>
    <row r="2060" spans="1:3" x14ac:dyDescent="0.25">
      <c r="A2060" s="21"/>
      <c r="B2060" s="5"/>
      <c r="C2060" s="5"/>
    </row>
    <row r="2061" spans="1:3" x14ac:dyDescent="0.25">
      <c r="A2061" s="21"/>
      <c r="B2061" s="5"/>
      <c r="C2061" s="5"/>
    </row>
    <row r="2062" spans="1:3" x14ac:dyDescent="0.25">
      <c r="A2062" s="21"/>
      <c r="B2062" s="5"/>
      <c r="C2062" s="5"/>
    </row>
    <row r="2063" spans="1:3" x14ac:dyDescent="0.25">
      <c r="A2063" s="21"/>
      <c r="B2063" s="5"/>
      <c r="C2063" s="5"/>
    </row>
    <row r="2064" spans="1:3" x14ac:dyDescent="0.25">
      <c r="A2064" s="21"/>
      <c r="B2064" s="5"/>
      <c r="C2064" s="5"/>
    </row>
    <row r="2065" spans="1:3" x14ac:dyDescent="0.25">
      <c r="A2065" s="21"/>
      <c r="B2065" s="5"/>
      <c r="C2065" s="5"/>
    </row>
    <row r="2066" spans="1:3" x14ac:dyDescent="0.25">
      <c r="A2066" s="21"/>
      <c r="B2066" s="5"/>
      <c r="C2066" s="5"/>
    </row>
    <row r="2067" spans="1:3" x14ac:dyDescent="0.25">
      <c r="A2067" s="21"/>
      <c r="B2067" s="5"/>
      <c r="C2067" s="5"/>
    </row>
    <row r="2068" spans="1:3" x14ac:dyDescent="0.25">
      <c r="A2068" s="21"/>
      <c r="B2068" s="5"/>
      <c r="C2068" s="5"/>
    </row>
    <row r="2069" spans="1:3" x14ac:dyDescent="0.25">
      <c r="A2069" s="21"/>
      <c r="B2069" s="5"/>
      <c r="C2069" s="5"/>
    </row>
    <row r="2070" spans="1:3" x14ac:dyDescent="0.25">
      <c r="A2070" s="21"/>
      <c r="B2070" s="5"/>
      <c r="C2070" s="5"/>
    </row>
    <row r="2071" spans="1:3" x14ac:dyDescent="0.25">
      <c r="A2071" s="21"/>
      <c r="B2071" s="5"/>
      <c r="C2071" s="5"/>
    </row>
    <row r="2072" spans="1:3" x14ac:dyDescent="0.25">
      <c r="A2072" s="21"/>
      <c r="B2072" s="5"/>
      <c r="C2072" s="5"/>
    </row>
    <row r="2073" spans="1:3" x14ac:dyDescent="0.25">
      <c r="A2073" s="21"/>
      <c r="B2073" s="5"/>
      <c r="C2073" s="5"/>
    </row>
    <row r="2074" spans="1:3" x14ac:dyDescent="0.25">
      <c r="A2074" s="21"/>
      <c r="B2074" s="5"/>
      <c r="C2074" s="5"/>
    </row>
    <row r="2075" spans="1:3" x14ac:dyDescent="0.25">
      <c r="A2075" s="21"/>
      <c r="B2075" s="5"/>
      <c r="C2075" s="5"/>
    </row>
    <row r="2076" spans="1:3" x14ac:dyDescent="0.25">
      <c r="A2076" s="21"/>
      <c r="B2076" s="5"/>
      <c r="C2076" s="5"/>
    </row>
    <row r="2077" spans="1:3" x14ac:dyDescent="0.25">
      <c r="A2077" s="21"/>
      <c r="B2077" s="5"/>
      <c r="C2077" s="5"/>
    </row>
    <row r="2078" spans="1:3" x14ac:dyDescent="0.25">
      <c r="A2078" s="21"/>
      <c r="B2078" s="5"/>
      <c r="C2078" s="5"/>
    </row>
    <row r="2079" spans="1:3" x14ac:dyDescent="0.25">
      <c r="A2079" s="21"/>
      <c r="B2079" s="5"/>
      <c r="C2079" s="5"/>
    </row>
    <row r="2080" spans="1:3" x14ac:dyDescent="0.25">
      <c r="A2080" s="21"/>
      <c r="B2080" s="5"/>
      <c r="C2080" s="5"/>
    </row>
    <row r="2081" spans="1:3" x14ac:dyDescent="0.25">
      <c r="A2081" s="21"/>
      <c r="B2081" s="5"/>
      <c r="C2081" s="5"/>
    </row>
    <row r="2082" spans="1:3" x14ac:dyDescent="0.25">
      <c r="A2082" s="21"/>
      <c r="B2082" s="5"/>
      <c r="C2082" s="5"/>
    </row>
    <row r="2083" spans="1:3" x14ac:dyDescent="0.25">
      <c r="A2083" s="21"/>
      <c r="B2083" s="5"/>
      <c r="C2083" s="5"/>
    </row>
    <row r="2084" spans="1:3" x14ac:dyDescent="0.25">
      <c r="A2084" s="21"/>
      <c r="B2084" s="5"/>
      <c r="C2084" s="5"/>
    </row>
    <row r="2085" spans="1:3" x14ac:dyDescent="0.25">
      <c r="A2085" s="21"/>
      <c r="B2085" s="5"/>
      <c r="C2085" s="5"/>
    </row>
    <row r="2086" spans="1:3" x14ac:dyDescent="0.25">
      <c r="A2086" s="21"/>
      <c r="B2086" s="5"/>
      <c r="C2086" s="5"/>
    </row>
    <row r="2087" spans="1:3" x14ac:dyDescent="0.25">
      <c r="A2087" s="21"/>
      <c r="B2087" s="5"/>
      <c r="C2087" s="5"/>
    </row>
    <row r="2088" spans="1:3" x14ac:dyDescent="0.25">
      <c r="A2088" s="21"/>
      <c r="B2088" s="5"/>
      <c r="C2088" s="5"/>
    </row>
    <row r="2089" spans="1:3" x14ac:dyDescent="0.25">
      <c r="A2089" s="21"/>
      <c r="B2089" s="5"/>
      <c r="C2089" s="5"/>
    </row>
    <row r="2090" spans="1:3" x14ac:dyDescent="0.25">
      <c r="A2090" s="21"/>
      <c r="B2090" s="5"/>
      <c r="C2090" s="5"/>
    </row>
    <row r="2091" spans="1:3" x14ac:dyDescent="0.25">
      <c r="A2091" s="21"/>
      <c r="B2091" s="5"/>
      <c r="C2091" s="5"/>
    </row>
    <row r="2092" spans="1:3" x14ac:dyDescent="0.25">
      <c r="A2092" s="21"/>
      <c r="B2092" s="5"/>
      <c r="C2092" s="5"/>
    </row>
    <row r="2093" spans="1:3" x14ac:dyDescent="0.25">
      <c r="A2093" s="21"/>
      <c r="B2093" s="5"/>
      <c r="C2093" s="5"/>
    </row>
    <row r="2094" spans="1:3" x14ac:dyDescent="0.25">
      <c r="A2094" s="21"/>
      <c r="B2094" s="5"/>
      <c r="C2094" s="5"/>
    </row>
    <row r="2095" spans="1:3" x14ac:dyDescent="0.25">
      <c r="A2095" s="21"/>
      <c r="B2095" s="5"/>
      <c r="C2095" s="5"/>
    </row>
    <row r="2096" spans="1:3" x14ac:dyDescent="0.25">
      <c r="A2096" s="21"/>
      <c r="B2096" s="5"/>
      <c r="C2096" s="5"/>
    </row>
    <row r="2097" spans="1:3" x14ac:dyDescent="0.25">
      <c r="A2097" s="21"/>
      <c r="B2097" s="5"/>
      <c r="C2097" s="5"/>
    </row>
    <row r="2098" spans="1:3" x14ac:dyDescent="0.25">
      <c r="A2098" s="21"/>
      <c r="B2098" s="5"/>
      <c r="C2098" s="5"/>
    </row>
    <row r="2099" spans="1:3" x14ac:dyDescent="0.25">
      <c r="A2099" s="21"/>
      <c r="B2099" s="5"/>
      <c r="C2099" s="5"/>
    </row>
    <row r="2100" spans="1:3" x14ac:dyDescent="0.25">
      <c r="A2100" s="21"/>
      <c r="B2100" s="5"/>
      <c r="C2100" s="5"/>
    </row>
    <row r="2101" spans="1:3" x14ac:dyDescent="0.25">
      <c r="A2101" s="21"/>
      <c r="B2101" s="5"/>
      <c r="C2101" s="5"/>
    </row>
    <row r="2102" spans="1:3" x14ac:dyDescent="0.25">
      <c r="A2102" s="21"/>
      <c r="B2102" s="5"/>
      <c r="C2102" s="5"/>
    </row>
    <row r="2103" spans="1:3" x14ac:dyDescent="0.25">
      <c r="A2103" s="21"/>
      <c r="B2103" s="5"/>
      <c r="C2103" s="5"/>
    </row>
    <row r="2104" spans="1:3" x14ac:dyDescent="0.25">
      <c r="A2104" s="21"/>
      <c r="B2104" s="5"/>
      <c r="C2104" s="5"/>
    </row>
    <row r="2105" spans="1:3" x14ac:dyDescent="0.25">
      <c r="A2105" s="21"/>
      <c r="B2105" s="5"/>
      <c r="C2105" s="5"/>
    </row>
    <row r="2106" spans="1:3" x14ac:dyDescent="0.25">
      <c r="A2106" s="21"/>
      <c r="B2106" s="5"/>
      <c r="C2106" s="5"/>
    </row>
    <row r="2107" spans="1:3" x14ac:dyDescent="0.25">
      <c r="A2107" s="21"/>
      <c r="B2107" s="5"/>
      <c r="C2107" s="5"/>
    </row>
    <row r="2108" spans="1:3" x14ac:dyDescent="0.25">
      <c r="A2108" s="21"/>
      <c r="B2108" s="5"/>
      <c r="C2108" s="5"/>
    </row>
    <row r="2109" spans="1:3" x14ac:dyDescent="0.25">
      <c r="A2109" s="21"/>
      <c r="B2109" s="5"/>
      <c r="C2109" s="5"/>
    </row>
    <row r="2110" spans="1:3" x14ac:dyDescent="0.25">
      <c r="A2110" s="21"/>
      <c r="B2110" s="5"/>
      <c r="C2110" s="5"/>
    </row>
    <row r="2111" spans="1:3" x14ac:dyDescent="0.25">
      <c r="A2111" s="21"/>
      <c r="B2111" s="5"/>
      <c r="C2111" s="5"/>
    </row>
    <row r="2112" spans="1:3" x14ac:dyDescent="0.25">
      <c r="A2112" s="21"/>
      <c r="B2112" s="5"/>
      <c r="C2112" s="5"/>
    </row>
    <row r="2113" spans="1:3" x14ac:dyDescent="0.25">
      <c r="A2113" s="21"/>
      <c r="B2113" s="5"/>
      <c r="C2113" s="5"/>
    </row>
    <row r="2114" spans="1:3" x14ac:dyDescent="0.25">
      <c r="A2114" s="21"/>
      <c r="B2114" s="5"/>
      <c r="C2114" s="5"/>
    </row>
    <row r="2115" spans="1:3" x14ac:dyDescent="0.25">
      <c r="A2115" s="21"/>
      <c r="B2115" s="5"/>
      <c r="C2115" s="5"/>
    </row>
    <row r="2116" spans="1:3" x14ac:dyDescent="0.25">
      <c r="A2116" s="21"/>
      <c r="B2116" s="5"/>
      <c r="C2116" s="5"/>
    </row>
    <row r="2117" spans="1:3" x14ac:dyDescent="0.25">
      <c r="A2117" s="21"/>
      <c r="B2117" s="5"/>
      <c r="C2117" s="5"/>
    </row>
    <row r="2118" spans="1:3" x14ac:dyDescent="0.25">
      <c r="A2118" s="21"/>
      <c r="B2118" s="5"/>
      <c r="C2118" s="5"/>
    </row>
    <row r="2119" spans="1:3" x14ac:dyDescent="0.25">
      <c r="A2119" s="21"/>
      <c r="B2119" s="5"/>
      <c r="C2119" s="5"/>
    </row>
    <row r="2120" spans="1:3" x14ac:dyDescent="0.25">
      <c r="A2120" s="21"/>
      <c r="B2120" s="5"/>
      <c r="C2120" s="5"/>
    </row>
    <row r="2121" spans="1:3" x14ac:dyDescent="0.25">
      <c r="A2121" s="21"/>
      <c r="B2121" s="5"/>
      <c r="C2121" s="5"/>
    </row>
    <row r="2122" spans="1:3" x14ac:dyDescent="0.25">
      <c r="A2122" s="21"/>
      <c r="B2122" s="5"/>
      <c r="C2122" s="5"/>
    </row>
    <row r="2123" spans="1:3" x14ac:dyDescent="0.25">
      <c r="A2123" s="21"/>
      <c r="B2123" s="5"/>
      <c r="C2123" s="5"/>
    </row>
    <row r="2124" spans="1:3" x14ac:dyDescent="0.25">
      <c r="A2124" s="21"/>
      <c r="B2124" s="5"/>
      <c r="C2124" s="5"/>
    </row>
    <row r="2125" spans="1:3" x14ac:dyDescent="0.25">
      <c r="A2125" s="21"/>
      <c r="B2125" s="5"/>
      <c r="C2125" s="5"/>
    </row>
    <row r="2126" spans="1:3" x14ac:dyDescent="0.25">
      <c r="A2126" s="21"/>
      <c r="B2126" s="5"/>
      <c r="C2126" s="5"/>
    </row>
    <row r="2127" spans="1:3" x14ac:dyDescent="0.25">
      <c r="A2127" s="21"/>
      <c r="B2127" s="5"/>
      <c r="C2127" s="5"/>
    </row>
    <row r="2128" spans="1:3" x14ac:dyDescent="0.25">
      <c r="A2128" s="21"/>
      <c r="B2128" s="5"/>
      <c r="C2128" s="5"/>
    </row>
    <row r="2129" spans="1:3" x14ac:dyDescent="0.25">
      <c r="A2129" s="21"/>
      <c r="B2129" s="5"/>
      <c r="C2129" s="5"/>
    </row>
    <row r="2130" spans="1:3" x14ac:dyDescent="0.25">
      <c r="A2130" s="21"/>
      <c r="B2130" s="5"/>
      <c r="C2130" s="5"/>
    </row>
    <row r="2131" spans="1:3" x14ac:dyDescent="0.25">
      <c r="A2131" s="21"/>
      <c r="B2131" s="5"/>
      <c r="C2131" s="5"/>
    </row>
    <row r="2132" spans="1:3" x14ac:dyDescent="0.25">
      <c r="A2132" s="21"/>
      <c r="B2132" s="5"/>
      <c r="C2132" s="5"/>
    </row>
    <row r="2133" spans="1:3" x14ac:dyDescent="0.25">
      <c r="A2133" s="21"/>
      <c r="B2133" s="5"/>
      <c r="C2133" s="5"/>
    </row>
    <row r="2134" spans="1:3" x14ac:dyDescent="0.25">
      <c r="A2134" s="21"/>
      <c r="B2134" s="5"/>
      <c r="C2134" s="5"/>
    </row>
    <row r="2135" spans="1:3" x14ac:dyDescent="0.25">
      <c r="A2135" s="21"/>
      <c r="B2135" s="5"/>
      <c r="C2135" s="5"/>
    </row>
    <row r="2136" spans="1:3" x14ac:dyDescent="0.25">
      <c r="A2136" s="21"/>
      <c r="B2136" s="5"/>
      <c r="C2136" s="5"/>
    </row>
    <row r="2137" spans="1:3" x14ac:dyDescent="0.25">
      <c r="A2137" s="21"/>
      <c r="B2137" s="5"/>
      <c r="C2137" s="5"/>
    </row>
    <row r="2138" spans="1:3" x14ac:dyDescent="0.25">
      <c r="A2138" s="21"/>
      <c r="B2138" s="5"/>
      <c r="C2138" s="5"/>
    </row>
    <row r="2139" spans="1:3" x14ac:dyDescent="0.25">
      <c r="A2139" s="21"/>
      <c r="B2139" s="5"/>
      <c r="C2139" s="5"/>
    </row>
    <row r="2140" spans="1:3" x14ac:dyDescent="0.25">
      <c r="A2140" s="21"/>
      <c r="B2140" s="5"/>
      <c r="C2140" s="5"/>
    </row>
    <row r="2141" spans="1:3" x14ac:dyDescent="0.25">
      <c r="A2141" s="23"/>
      <c r="B2141" s="23"/>
      <c r="C2141" s="23"/>
    </row>
    <row r="2142" spans="1:3" x14ac:dyDescent="0.25">
      <c r="A2142" s="5"/>
      <c r="B2142" s="5"/>
      <c r="C2142" s="5"/>
    </row>
    <row r="2143" spans="1:3" x14ac:dyDescent="0.25">
      <c r="A2143" s="5"/>
      <c r="B2143" s="5"/>
      <c r="C2143" s="5"/>
    </row>
    <row r="2144" spans="1:3" x14ac:dyDescent="0.25">
      <c r="A2144" s="5"/>
      <c r="B2144" s="5"/>
      <c r="C2144" s="5"/>
    </row>
    <row r="2145" spans="1:3" x14ac:dyDescent="0.25">
      <c r="A2145" s="5"/>
      <c r="B2145" s="5"/>
      <c r="C2145" s="5"/>
    </row>
    <row r="2146" spans="1:3" x14ac:dyDescent="0.25">
      <c r="A2146" s="5"/>
      <c r="B2146" s="5"/>
      <c r="C2146" s="5"/>
    </row>
    <row r="2147" spans="1:3" x14ac:dyDescent="0.25">
      <c r="A2147" s="5"/>
      <c r="B2147" s="5"/>
      <c r="C2147" s="5"/>
    </row>
    <row r="2148" spans="1:3" x14ac:dyDescent="0.25">
      <c r="A2148" s="5"/>
      <c r="B2148" s="5"/>
      <c r="C2148" s="5"/>
    </row>
    <row r="2149" spans="1:3" x14ac:dyDescent="0.25">
      <c r="A2149" s="5"/>
      <c r="B2149" s="5"/>
      <c r="C2149" s="5"/>
    </row>
    <row r="2150" spans="1:3" x14ac:dyDescent="0.25">
      <c r="A2150" s="5"/>
      <c r="B2150" s="5"/>
      <c r="C2150" s="5"/>
    </row>
    <row r="2151" spans="1:3" x14ac:dyDescent="0.25">
      <c r="A2151" s="5"/>
      <c r="B2151" s="5"/>
      <c r="C2151" s="5"/>
    </row>
    <row r="2152" spans="1:3" x14ac:dyDescent="0.25">
      <c r="A2152" s="5"/>
      <c r="B2152" s="5"/>
      <c r="C2152" s="5"/>
    </row>
    <row r="2153" spans="1:3" x14ac:dyDescent="0.25">
      <c r="A2153" s="5"/>
      <c r="B2153" s="5"/>
      <c r="C2153" s="5"/>
    </row>
    <row r="2154" spans="1:3" x14ac:dyDescent="0.25">
      <c r="A2154" s="5"/>
      <c r="B2154" s="5"/>
      <c r="C2154" s="5"/>
    </row>
    <row r="2155" spans="1:3" x14ac:dyDescent="0.25">
      <c r="A2155" s="5"/>
      <c r="B2155" s="5"/>
      <c r="C2155" s="5"/>
    </row>
    <row r="2156" spans="1:3" x14ac:dyDescent="0.25">
      <c r="A2156" s="5"/>
      <c r="B2156" s="5"/>
      <c r="C2156" s="5"/>
    </row>
    <row r="2157" spans="1:3" x14ac:dyDescent="0.25">
      <c r="A2157" s="5"/>
      <c r="B2157" s="5"/>
      <c r="C2157" s="5"/>
    </row>
    <row r="2158" spans="1:3" x14ac:dyDescent="0.25">
      <c r="A2158" s="5"/>
      <c r="B2158" s="5"/>
      <c r="C2158" s="5"/>
    </row>
    <row r="2159" spans="1:3" x14ac:dyDescent="0.25">
      <c r="A2159" s="5"/>
      <c r="B2159" s="5"/>
      <c r="C2159" s="5"/>
    </row>
    <row r="2160" spans="1:3" x14ac:dyDescent="0.25">
      <c r="A2160" s="5"/>
      <c r="B2160" s="5"/>
      <c r="C2160" s="5"/>
    </row>
    <row r="2161" spans="1:3" x14ac:dyDescent="0.25">
      <c r="A2161" s="5"/>
      <c r="B2161" s="5"/>
      <c r="C2161" s="5"/>
    </row>
    <row r="2162" spans="1:3" x14ac:dyDescent="0.25">
      <c r="A2162" s="5"/>
      <c r="B2162" s="5"/>
      <c r="C2162" s="5"/>
    </row>
    <row r="2163" spans="1:3" x14ac:dyDescent="0.25">
      <c r="A2163" s="5"/>
      <c r="B2163" s="5"/>
      <c r="C2163" s="5"/>
    </row>
    <row r="2164" spans="1:3" x14ac:dyDescent="0.25">
      <c r="A2164" s="5"/>
      <c r="B2164" s="5"/>
      <c r="C2164" s="5"/>
    </row>
    <row r="2165" spans="1:3" x14ac:dyDescent="0.25">
      <c r="A2165" s="5"/>
      <c r="B2165" s="5"/>
      <c r="C2165" s="5"/>
    </row>
    <row r="2166" spans="1:3" x14ac:dyDescent="0.25">
      <c r="A2166" s="5"/>
      <c r="B2166" s="5"/>
      <c r="C2166" s="5"/>
    </row>
    <row r="2167" spans="1:3" x14ac:dyDescent="0.25">
      <c r="A2167" s="5"/>
      <c r="B2167" s="5"/>
      <c r="C2167" s="5"/>
    </row>
    <row r="2168" spans="1:3" x14ac:dyDescent="0.25">
      <c r="A2168" s="5"/>
      <c r="B2168" s="5"/>
      <c r="C2168" s="5"/>
    </row>
    <row r="2169" spans="1:3" x14ac:dyDescent="0.25">
      <c r="A2169" s="5"/>
      <c r="B2169" s="5"/>
      <c r="C2169" s="5"/>
    </row>
    <row r="2170" spans="1:3" x14ac:dyDescent="0.25">
      <c r="A2170" s="5"/>
      <c r="B2170" s="5"/>
      <c r="C2170" s="5"/>
    </row>
    <row r="2171" spans="1:3" x14ac:dyDescent="0.25">
      <c r="A2171" s="5"/>
      <c r="B2171" s="5"/>
      <c r="C2171" s="5"/>
    </row>
    <row r="2172" spans="1:3" x14ac:dyDescent="0.25">
      <c r="A2172" s="5"/>
      <c r="B2172" s="5"/>
      <c r="C2172" s="5"/>
    </row>
    <row r="2173" spans="1:3" x14ac:dyDescent="0.25">
      <c r="A2173" s="5"/>
      <c r="B2173" s="5"/>
      <c r="C2173" s="5"/>
    </row>
    <row r="2174" spans="1:3" x14ac:dyDescent="0.25">
      <c r="A2174" s="5"/>
      <c r="B2174" s="5"/>
      <c r="C2174" s="5"/>
    </row>
    <row r="2175" spans="1:3" x14ac:dyDescent="0.25">
      <c r="A2175" s="5"/>
      <c r="B2175" s="5"/>
      <c r="C2175" s="5"/>
    </row>
    <row r="2176" spans="1:3" x14ac:dyDescent="0.25">
      <c r="A2176" s="5"/>
      <c r="B2176" s="5"/>
      <c r="C2176" s="5"/>
    </row>
    <row r="2177" spans="1:3" x14ac:dyDescent="0.25">
      <c r="A2177" s="5"/>
      <c r="B2177" s="5"/>
      <c r="C2177" s="5"/>
    </row>
    <row r="2178" spans="1:3" x14ac:dyDescent="0.25">
      <c r="A2178" s="5"/>
      <c r="B2178" s="5"/>
      <c r="C2178" s="5"/>
    </row>
    <row r="2179" spans="1:3" x14ac:dyDescent="0.25">
      <c r="A2179" s="5"/>
      <c r="B2179" s="5"/>
      <c r="C2179" s="5"/>
    </row>
    <row r="2180" spans="1:3" x14ac:dyDescent="0.25">
      <c r="A2180" s="5"/>
      <c r="B2180" s="5"/>
      <c r="C2180" s="5"/>
    </row>
    <row r="2181" spans="1:3" x14ac:dyDescent="0.25">
      <c r="A2181" s="5"/>
      <c r="B2181" s="5"/>
      <c r="C2181" s="5"/>
    </row>
    <row r="2182" spans="1:3" x14ac:dyDescent="0.25">
      <c r="A2182" s="5"/>
      <c r="B2182" s="5"/>
      <c r="C2182" s="5"/>
    </row>
    <row r="2183" spans="1:3" x14ac:dyDescent="0.25">
      <c r="A2183" s="5"/>
      <c r="B2183" s="5"/>
      <c r="C2183" s="5"/>
    </row>
    <row r="2184" spans="1:3" x14ac:dyDescent="0.25">
      <c r="A2184" s="5"/>
      <c r="B2184" s="5"/>
      <c r="C2184" s="5"/>
    </row>
    <row r="2185" spans="1:3" x14ac:dyDescent="0.25">
      <c r="A2185" s="5"/>
      <c r="B2185" s="5"/>
      <c r="C2185" s="5"/>
    </row>
    <row r="2186" spans="1:3" x14ac:dyDescent="0.25">
      <c r="A2186" s="5"/>
      <c r="B2186" s="5"/>
      <c r="C2186" s="5"/>
    </row>
    <row r="2187" spans="1:3" x14ac:dyDescent="0.25">
      <c r="A2187" s="5"/>
      <c r="B2187" s="5"/>
      <c r="C2187" s="5"/>
    </row>
    <row r="2188" spans="1:3" x14ac:dyDescent="0.25">
      <c r="A2188" s="5"/>
      <c r="B2188" s="5"/>
      <c r="C2188" s="5"/>
    </row>
    <row r="2189" spans="1:3" x14ac:dyDescent="0.25">
      <c r="A2189" s="5"/>
      <c r="B2189" s="5"/>
      <c r="C2189" s="5"/>
    </row>
    <row r="2190" spans="1:3" x14ac:dyDescent="0.25">
      <c r="A2190" s="5"/>
      <c r="B2190" s="5"/>
      <c r="C2190" s="5"/>
    </row>
    <row r="2191" spans="1:3" x14ac:dyDescent="0.25">
      <c r="A2191" s="5"/>
      <c r="B2191" s="5"/>
      <c r="C2191" s="5"/>
    </row>
    <row r="2192" spans="1:3" x14ac:dyDescent="0.25">
      <c r="A2192" s="5"/>
      <c r="B2192" s="5"/>
      <c r="C2192" s="5"/>
    </row>
    <row r="2193" spans="1:3" x14ac:dyDescent="0.25">
      <c r="A2193" s="5"/>
      <c r="B2193" s="5"/>
      <c r="C2193" s="5"/>
    </row>
    <row r="2194" spans="1:3" x14ac:dyDescent="0.25">
      <c r="A2194" s="5"/>
      <c r="B2194" s="5"/>
      <c r="C2194" s="5"/>
    </row>
    <row r="2195" spans="1:3" x14ac:dyDescent="0.25">
      <c r="A2195" s="5"/>
      <c r="B2195" s="5"/>
      <c r="C2195" s="5"/>
    </row>
    <row r="2196" spans="1:3" x14ac:dyDescent="0.25">
      <c r="A2196" s="5"/>
      <c r="B2196" s="5"/>
      <c r="C2196" s="5"/>
    </row>
    <row r="2197" spans="1:3" x14ac:dyDescent="0.25">
      <c r="A2197" s="5"/>
      <c r="B2197" s="5"/>
      <c r="C2197" s="5"/>
    </row>
    <row r="2198" spans="1:3" x14ac:dyDescent="0.25">
      <c r="A2198" s="5"/>
      <c r="B2198" s="5"/>
      <c r="C2198" s="5"/>
    </row>
    <row r="2199" spans="1:3" x14ac:dyDescent="0.25">
      <c r="A2199" s="5"/>
      <c r="B2199" s="5"/>
      <c r="C2199" s="5"/>
    </row>
    <row r="2200" spans="1:3" x14ac:dyDescent="0.25">
      <c r="A2200" s="5"/>
      <c r="B2200" s="5"/>
      <c r="C2200" s="5"/>
    </row>
    <row r="2201" spans="1:3" x14ac:dyDescent="0.25">
      <c r="A2201" s="5"/>
      <c r="B2201" s="5"/>
      <c r="C2201" s="5"/>
    </row>
    <row r="2202" spans="1:3" x14ac:dyDescent="0.25">
      <c r="A2202" s="5"/>
      <c r="B2202" s="5"/>
      <c r="C2202" s="5"/>
    </row>
    <row r="2203" spans="1:3" x14ac:dyDescent="0.25">
      <c r="A2203" s="5"/>
      <c r="B2203" s="5"/>
      <c r="C2203" s="5"/>
    </row>
    <row r="2204" spans="1:3" x14ac:dyDescent="0.25">
      <c r="A2204" s="5"/>
      <c r="B2204" s="5"/>
      <c r="C2204" s="5"/>
    </row>
    <row r="2205" spans="1:3" x14ac:dyDescent="0.25">
      <c r="A2205" s="5"/>
      <c r="B2205" s="5"/>
      <c r="C2205" s="5"/>
    </row>
    <row r="2206" spans="1:3" x14ac:dyDescent="0.25">
      <c r="A2206" s="5"/>
      <c r="B2206" s="5"/>
      <c r="C2206" s="5"/>
    </row>
    <row r="2207" spans="1:3" x14ac:dyDescent="0.25">
      <c r="A2207" s="5"/>
      <c r="B2207" s="5"/>
      <c r="C2207" s="5"/>
    </row>
    <row r="2208" spans="1:3" x14ac:dyDescent="0.25">
      <c r="A2208" s="5"/>
      <c r="B2208" s="5"/>
      <c r="C2208" s="5"/>
    </row>
    <row r="2209" spans="1:3" x14ac:dyDescent="0.25">
      <c r="A2209" s="5"/>
      <c r="B2209" s="5"/>
      <c r="C2209" s="5"/>
    </row>
    <row r="2210" spans="1:3" x14ac:dyDescent="0.25">
      <c r="A2210" s="5"/>
      <c r="B2210" s="5"/>
      <c r="C2210" s="5"/>
    </row>
    <row r="2211" spans="1:3" x14ac:dyDescent="0.25">
      <c r="A2211" s="5"/>
      <c r="B2211" s="5"/>
      <c r="C2211" s="5"/>
    </row>
    <row r="2212" spans="1:3" x14ac:dyDescent="0.25">
      <c r="A2212" s="5"/>
      <c r="B2212" s="5"/>
      <c r="C2212" s="5"/>
    </row>
    <row r="2213" spans="1:3" x14ac:dyDescent="0.25">
      <c r="A2213" s="5"/>
      <c r="B2213" s="5"/>
      <c r="C2213" s="5"/>
    </row>
    <row r="2214" spans="1:3" x14ac:dyDescent="0.25">
      <c r="A2214" s="5"/>
      <c r="B2214" s="5"/>
      <c r="C2214" s="5"/>
    </row>
    <row r="2215" spans="1:3" x14ac:dyDescent="0.25">
      <c r="A2215" s="5"/>
      <c r="B2215" s="5"/>
      <c r="C2215" s="5"/>
    </row>
    <row r="2216" spans="1:3" x14ac:dyDescent="0.25">
      <c r="A2216" s="5"/>
      <c r="B2216" s="5"/>
      <c r="C2216" s="5"/>
    </row>
    <row r="2217" spans="1:3" x14ac:dyDescent="0.25">
      <c r="A2217" s="5"/>
      <c r="B2217" s="5"/>
      <c r="C2217" s="5"/>
    </row>
    <row r="2218" spans="1:3" x14ac:dyDescent="0.25">
      <c r="A2218" s="5"/>
      <c r="B2218" s="5"/>
      <c r="C2218" s="5"/>
    </row>
    <row r="2219" spans="1:3" x14ac:dyDescent="0.25">
      <c r="A2219" s="5"/>
      <c r="B2219" s="5"/>
      <c r="C2219" s="5"/>
    </row>
    <row r="2220" spans="1:3" x14ac:dyDescent="0.25">
      <c r="A2220" s="5"/>
      <c r="B2220" s="5"/>
      <c r="C2220" s="5"/>
    </row>
    <row r="2221" spans="1:3" x14ac:dyDescent="0.25">
      <c r="A2221" s="5"/>
      <c r="B2221" s="5"/>
      <c r="C2221" s="5"/>
    </row>
    <row r="2222" spans="1:3" x14ac:dyDescent="0.25">
      <c r="A2222" s="5"/>
      <c r="B2222" s="5"/>
      <c r="C2222" s="5"/>
    </row>
    <row r="2223" spans="1:3" x14ac:dyDescent="0.25">
      <c r="A2223" s="5"/>
      <c r="B2223" s="5"/>
      <c r="C2223" s="5"/>
    </row>
    <row r="2224" spans="1:3" x14ac:dyDescent="0.25">
      <c r="A2224" s="5"/>
      <c r="B2224" s="5"/>
      <c r="C2224" s="5"/>
    </row>
    <row r="2225" spans="1:3" x14ac:dyDescent="0.25">
      <c r="A2225" s="5"/>
      <c r="B2225" s="5"/>
      <c r="C2225" s="5"/>
    </row>
    <row r="2226" spans="1:3" x14ac:dyDescent="0.25">
      <c r="A2226" s="5"/>
      <c r="B2226" s="5"/>
      <c r="C2226" s="5"/>
    </row>
    <row r="2227" spans="1:3" x14ac:dyDescent="0.25">
      <c r="A2227" s="5"/>
      <c r="B2227" s="5"/>
      <c r="C2227" s="5"/>
    </row>
    <row r="2228" spans="1:3" x14ac:dyDescent="0.25">
      <c r="A2228" s="5"/>
      <c r="B2228" s="5"/>
      <c r="C2228" s="5"/>
    </row>
    <row r="2229" spans="1:3" x14ac:dyDescent="0.25">
      <c r="A2229" s="5"/>
      <c r="B2229" s="5"/>
      <c r="C2229" s="5"/>
    </row>
    <row r="2230" spans="1:3" x14ac:dyDescent="0.25">
      <c r="A2230" s="5"/>
      <c r="B2230" s="5"/>
      <c r="C2230" s="5"/>
    </row>
    <row r="2231" spans="1:3" x14ac:dyDescent="0.25">
      <c r="A2231" s="5"/>
      <c r="B2231" s="5"/>
      <c r="C2231" s="5"/>
    </row>
    <row r="2232" spans="1:3" x14ac:dyDescent="0.25">
      <c r="A2232" s="5"/>
      <c r="B2232" s="5"/>
      <c r="C2232" s="5"/>
    </row>
    <row r="2233" spans="1:3" x14ac:dyDescent="0.25">
      <c r="A2233" s="5"/>
      <c r="B2233" s="5"/>
      <c r="C2233" s="5"/>
    </row>
    <row r="2234" spans="1:3" x14ac:dyDescent="0.25">
      <c r="A2234" s="5"/>
      <c r="B2234" s="5"/>
      <c r="C2234" s="5"/>
    </row>
    <row r="2235" spans="1:3" x14ac:dyDescent="0.25">
      <c r="A2235" s="5"/>
      <c r="B2235" s="5"/>
      <c r="C2235" s="5"/>
    </row>
    <row r="2236" spans="1:3" x14ac:dyDescent="0.25">
      <c r="A2236" s="5"/>
      <c r="B2236" s="5"/>
      <c r="C2236" s="5"/>
    </row>
    <row r="2237" spans="1:3" x14ac:dyDescent="0.25">
      <c r="A2237" s="5"/>
      <c r="B2237" s="5"/>
      <c r="C2237" s="5"/>
    </row>
    <row r="2238" spans="1:3" x14ac:dyDescent="0.25">
      <c r="A2238" s="5"/>
      <c r="B2238" s="5"/>
      <c r="C2238" s="5"/>
    </row>
    <row r="2239" spans="1:3" x14ac:dyDescent="0.25">
      <c r="A2239" s="5"/>
      <c r="B2239" s="5"/>
      <c r="C2239" s="5"/>
    </row>
    <row r="2240" spans="1:3" x14ac:dyDescent="0.25">
      <c r="A2240" s="5"/>
      <c r="B2240" s="5"/>
      <c r="C2240" s="5"/>
    </row>
    <row r="2241" spans="1:3" x14ac:dyDescent="0.25">
      <c r="A2241" s="5"/>
      <c r="B2241" s="5"/>
      <c r="C2241" s="5"/>
    </row>
    <row r="2242" spans="1:3" x14ac:dyDescent="0.25">
      <c r="A2242" s="5"/>
      <c r="B2242" s="5"/>
      <c r="C2242" s="5"/>
    </row>
    <row r="2243" spans="1:3" x14ac:dyDescent="0.25">
      <c r="A2243" s="5"/>
      <c r="B2243" s="5"/>
      <c r="C2243" s="5"/>
    </row>
    <row r="2244" spans="1:3" x14ac:dyDescent="0.25">
      <c r="A2244" s="5"/>
      <c r="B2244" s="5"/>
      <c r="C2244" s="5"/>
    </row>
    <row r="2245" spans="1:3" x14ac:dyDescent="0.25">
      <c r="A2245" s="5"/>
      <c r="B2245" s="5"/>
      <c r="C2245" s="5"/>
    </row>
    <row r="2246" spans="1:3" x14ac:dyDescent="0.25">
      <c r="A2246" s="5"/>
      <c r="B2246" s="5"/>
      <c r="C2246" s="5"/>
    </row>
    <row r="2247" spans="1:3" x14ac:dyDescent="0.25">
      <c r="A2247" s="5"/>
      <c r="B2247" s="5"/>
      <c r="C2247" s="5"/>
    </row>
    <row r="2248" spans="1:3" x14ac:dyDescent="0.25">
      <c r="A2248" s="5"/>
      <c r="B2248" s="5"/>
      <c r="C2248" s="5"/>
    </row>
    <row r="2249" spans="1:3" x14ac:dyDescent="0.25">
      <c r="A2249" s="5"/>
      <c r="B2249" s="5"/>
      <c r="C2249" s="5"/>
    </row>
    <row r="2250" spans="1:3" x14ac:dyDescent="0.25">
      <c r="A2250" s="5"/>
      <c r="B2250" s="5"/>
      <c r="C2250" s="5"/>
    </row>
    <row r="2251" spans="1:3" x14ac:dyDescent="0.25">
      <c r="A2251" s="5"/>
      <c r="B2251" s="5"/>
      <c r="C2251" s="5"/>
    </row>
    <row r="2252" spans="1:3" x14ac:dyDescent="0.25">
      <c r="A2252" s="5"/>
      <c r="B2252" s="5"/>
      <c r="C2252" s="5"/>
    </row>
    <row r="2253" spans="1:3" x14ac:dyDescent="0.25">
      <c r="A2253" s="5"/>
      <c r="B2253" s="5"/>
      <c r="C2253" s="5"/>
    </row>
    <row r="2254" spans="1:3" x14ac:dyDescent="0.25">
      <c r="A2254" s="5"/>
      <c r="B2254" s="5"/>
      <c r="C2254" s="5"/>
    </row>
    <row r="2255" spans="1:3" x14ac:dyDescent="0.25">
      <c r="A2255" s="5"/>
      <c r="B2255" s="5"/>
      <c r="C2255" s="5"/>
    </row>
    <row r="2256" spans="1:3" x14ac:dyDescent="0.25">
      <c r="A2256" s="5"/>
      <c r="B2256" s="5"/>
      <c r="C2256" s="5"/>
    </row>
    <row r="2257" spans="1:3" x14ac:dyDescent="0.25">
      <c r="A2257" s="5"/>
      <c r="B2257" s="5"/>
      <c r="C2257" s="5"/>
    </row>
    <row r="2258" spans="1:3" x14ac:dyDescent="0.25">
      <c r="A2258" s="5"/>
      <c r="B2258" s="5"/>
      <c r="C2258" s="5"/>
    </row>
    <row r="2259" spans="1:3" x14ac:dyDescent="0.25">
      <c r="A2259" s="5"/>
      <c r="B2259" s="5"/>
      <c r="C2259" s="5"/>
    </row>
    <row r="2260" spans="1:3" x14ac:dyDescent="0.25">
      <c r="A2260" s="5"/>
      <c r="B2260" s="5"/>
      <c r="C2260" s="5"/>
    </row>
    <row r="2261" spans="1:3" x14ac:dyDescent="0.25">
      <c r="A2261" s="5"/>
      <c r="B2261" s="5"/>
      <c r="C2261" s="5"/>
    </row>
    <row r="2262" spans="1:3" x14ac:dyDescent="0.25">
      <c r="A2262" s="5"/>
      <c r="B2262" s="5"/>
      <c r="C2262" s="5"/>
    </row>
    <row r="2263" spans="1:3" x14ac:dyDescent="0.25">
      <c r="A2263" s="5"/>
      <c r="B2263" s="5"/>
      <c r="C2263" s="5"/>
    </row>
    <row r="2264" spans="1:3" x14ac:dyDescent="0.25">
      <c r="A2264" s="5"/>
      <c r="B2264" s="5"/>
      <c r="C2264" s="5"/>
    </row>
    <row r="2265" spans="1:3" x14ac:dyDescent="0.25">
      <c r="A2265" s="5"/>
      <c r="B2265" s="5"/>
      <c r="C2265" s="5"/>
    </row>
    <row r="2266" spans="1:3" x14ac:dyDescent="0.25">
      <c r="A2266" s="5"/>
      <c r="B2266" s="5"/>
      <c r="C2266" s="5"/>
    </row>
    <row r="2267" spans="1:3" x14ac:dyDescent="0.25">
      <c r="A2267" s="5"/>
      <c r="B2267" s="5"/>
      <c r="C2267" s="5"/>
    </row>
    <row r="2268" spans="1:3" x14ac:dyDescent="0.25">
      <c r="A2268" s="5"/>
      <c r="B2268" s="5"/>
      <c r="C2268" s="5"/>
    </row>
    <row r="2269" spans="1:3" x14ac:dyDescent="0.25">
      <c r="A2269" s="5"/>
      <c r="B2269" s="5"/>
      <c r="C2269" s="5"/>
    </row>
    <row r="2270" spans="1:3" x14ac:dyDescent="0.25">
      <c r="A2270" s="5"/>
      <c r="B2270" s="5"/>
      <c r="C2270" s="5"/>
    </row>
    <row r="2271" spans="1:3" x14ac:dyDescent="0.25">
      <c r="A2271" s="5"/>
      <c r="B2271" s="5"/>
      <c r="C2271" s="5"/>
    </row>
    <row r="2272" spans="1:3" x14ac:dyDescent="0.25">
      <c r="A2272" s="5"/>
      <c r="B2272" s="5"/>
      <c r="C2272" s="5"/>
    </row>
    <row r="2273" spans="1:3" x14ac:dyDescent="0.25">
      <c r="A2273" s="5"/>
      <c r="B2273" s="5"/>
      <c r="C2273" s="5"/>
    </row>
    <row r="2274" spans="1:3" x14ac:dyDescent="0.25">
      <c r="A2274" s="5"/>
      <c r="B2274" s="5"/>
      <c r="C2274" s="5"/>
    </row>
    <row r="2275" spans="1:3" x14ac:dyDescent="0.25">
      <c r="A2275" s="5"/>
      <c r="B2275" s="5"/>
      <c r="C2275" s="5"/>
    </row>
    <row r="2276" spans="1:3" x14ac:dyDescent="0.25">
      <c r="A2276" s="5"/>
      <c r="B2276" s="5"/>
      <c r="C2276" s="5"/>
    </row>
    <row r="2277" spans="1:3" x14ac:dyDescent="0.25">
      <c r="A2277" s="5"/>
      <c r="B2277" s="5"/>
      <c r="C2277" s="5"/>
    </row>
    <row r="2278" spans="1:3" x14ac:dyDescent="0.25">
      <c r="A2278" s="5"/>
      <c r="B2278" s="5"/>
      <c r="C2278" s="5"/>
    </row>
    <row r="2279" spans="1:3" x14ac:dyDescent="0.25">
      <c r="A2279" s="5"/>
      <c r="B2279" s="5"/>
      <c r="C2279" s="5"/>
    </row>
    <row r="2280" spans="1:3" x14ac:dyDescent="0.25">
      <c r="A2280" s="5"/>
      <c r="B2280" s="5"/>
      <c r="C2280" s="5"/>
    </row>
    <row r="2281" spans="1:3" x14ac:dyDescent="0.25">
      <c r="A2281" s="5"/>
      <c r="B2281" s="5"/>
      <c r="C2281" s="5"/>
    </row>
    <row r="2282" spans="1:3" x14ac:dyDescent="0.25">
      <c r="A2282" s="5"/>
      <c r="B2282" s="5"/>
      <c r="C2282" s="5"/>
    </row>
    <row r="2283" spans="1:3" x14ac:dyDescent="0.25">
      <c r="A2283" s="5"/>
      <c r="B2283" s="5"/>
      <c r="C2283" s="5"/>
    </row>
    <row r="2284" spans="1:3" x14ac:dyDescent="0.25">
      <c r="A2284" s="5"/>
      <c r="B2284" s="5"/>
      <c r="C2284" s="5"/>
    </row>
    <row r="2285" spans="1:3" x14ac:dyDescent="0.25">
      <c r="A2285" s="5"/>
      <c r="B2285" s="5"/>
      <c r="C2285" s="5"/>
    </row>
    <row r="2286" spans="1:3" x14ac:dyDescent="0.25">
      <c r="A2286" s="5"/>
      <c r="B2286" s="5"/>
      <c r="C2286" s="5"/>
    </row>
    <row r="2287" spans="1:3" x14ac:dyDescent="0.25">
      <c r="A2287" s="5"/>
      <c r="B2287" s="5"/>
      <c r="C2287" s="5"/>
    </row>
    <row r="2288" spans="1:3" x14ac:dyDescent="0.25">
      <c r="A2288" s="5"/>
      <c r="B2288" s="5"/>
      <c r="C2288" s="5"/>
    </row>
    <row r="2289" spans="1:3" x14ac:dyDescent="0.25">
      <c r="A2289" s="5"/>
      <c r="B2289" s="5"/>
      <c r="C2289" s="5"/>
    </row>
    <row r="2290" spans="1:3" x14ac:dyDescent="0.25">
      <c r="A2290" s="5"/>
      <c r="B2290" s="5"/>
      <c r="C2290" s="5"/>
    </row>
    <row r="2291" spans="1:3" x14ac:dyDescent="0.25">
      <c r="A2291" s="5"/>
      <c r="B2291" s="5"/>
      <c r="C2291" s="5"/>
    </row>
    <row r="2292" spans="1:3" x14ac:dyDescent="0.25">
      <c r="A2292" s="5"/>
      <c r="B2292" s="5"/>
      <c r="C2292" s="5"/>
    </row>
    <row r="2293" spans="1:3" x14ac:dyDescent="0.25">
      <c r="A2293" s="5"/>
      <c r="B2293" s="5"/>
      <c r="C2293" s="5"/>
    </row>
    <row r="2294" spans="1:3" x14ac:dyDescent="0.25">
      <c r="A2294" s="5"/>
      <c r="B2294" s="5"/>
      <c r="C2294" s="5"/>
    </row>
    <row r="2295" spans="1:3" x14ac:dyDescent="0.25">
      <c r="A2295" s="5"/>
      <c r="B2295" s="5"/>
      <c r="C2295" s="5"/>
    </row>
    <row r="2296" spans="1:3" x14ac:dyDescent="0.25">
      <c r="A2296" s="5"/>
      <c r="B2296" s="5"/>
      <c r="C2296" s="5"/>
    </row>
    <row r="2297" spans="1:3" x14ac:dyDescent="0.25">
      <c r="A2297" s="5"/>
      <c r="B2297" s="5"/>
      <c r="C2297" s="5"/>
    </row>
    <row r="2298" spans="1:3" x14ac:dyDescent="0.25">
      <c r="A2298" s="5"/>
      <c r="B2298" s="5"/>
      <c r="C2298" s="5"/>
    </row>
    <row r="2299" spans="1:3" x14ac:dyDescent="0.25">
      <c r="A2299" s="5"/>
      <c r="B2299" s="5"/>
      <c r="C2299" s="5"/>
    </row>
    <row r="2300" spans="1:3" x14ac:dyDescent="0.25">
      <c r="A2300" s="5"/>
      <c r="B2300" s="5"/>
      <c r="C2300" s="5"/>
    </row>
    <row r="2301" spans="1:3" x14ac:dyDescent="0.25">
      <c r="A2301" s="5"/>
      <c r="B2301" s="5"/>
      <c r="C2301" s="5"/>
    </row>
    <row r="2302" spans="1:3" x14ac:dyDescent="0.25">
      <c r="A2302" s="5"/>
      <c r="B2302" s="5"/>
      <c r="C2302" s="5"/>
    </row>
    <row r="2303" spans="1:3" x14ac:dyDescent="0.25">
      <c r="A2303" s="5"/>
      <c r="B2303" s="5"/>
      <c r="C2303" s="5"/>
    </row>
    <row r="2304" spans="1:3" x14ac:dyDescent="0.25">
      <c r="A2304" s="5"/>
      <c r="B2304" s="5"/>
      <c r="C2304" s="5"/>
    </row>
    <row r="2305" spans="1:3" x14ac:dyDescent="0.25">
      <c r="A2305" s="5"/>
      <c r="B2305" s="5"/>
      <c r="C2305" s="5"/>
    </row>
    <row r="2306" spans="1:3" x14ac:dyDescent="0.25">
      <c r="A2306" s="5"/>
      <c r="B2306" s="5"/>
      <c r="C2306" s="5"/>
    </row>
    <row r="2307" spans="1:3" x14ac:dyDescent="0.25">
      <c r="A2307" s="5"/>
      <c r="B2307" s="5"/>
      <c r="C2307" s="5"/>
    </row>
    <row r="2308" spans="1:3" x14ac:dyDescent="0.25">
      <c r="A2308" s="5"/>
      <c r="B2308" s="5"/>
      <c r="C2308" s="5"/>
    </row>
    <row r="2309" spans="1:3" x14ac:dyDescent="0.25">
      <c r="A2309" s="5"/>
      <c r="B2309" s="5"/>
      <c r="C2309" s="5"/>
    </row>
    <row r="2310" spans="1:3" x14ac:dyDescent="0.25">
      <c r="A2310" s="5"/>
      <c r="B2310" s="5"/>
      <c r="C2310" s="5"/>
    </row>
    <row r="2311" spans="1:3" x14ac:dyDescent="0.25">
      <c r="A2311" s="5"/>
      <c r="B2311" s="5"/>
      <c r="C2311" s="5"/>
    </row>
    <row r="2312" spans="1:3" x14ac:dyDescent="0.25">
      <c r="A2312" s="5"/>
      <c r="B2312" s="5"/>
      <c r="C2312" s="5"/>
    </row>
    <row r="2313" spans="1:3" x14ac:dyDescent="0.25">
      <c r="A2313" s="5"/>
      <c r="B2313" s="5"/>
      <c r="C2313" s="5"/>
    </row>
    <row r="2314" spans="1:3" x14ac:dyDescent="0.25">
      <c r="A2314" s="5"/>
      <c r="B2314" s="5"/>
      <c r="C2314" s="5"/>
    </row>
    <row r="2315" spans="1:3" x14ac:dyDescent="0.25">
      <c r="A2315" s="5"/>
      <c r="B2315" s="5"/>
      <c r="C2315" s="5"/>
    </row>
    <row r="2316" spans="1:3" x14ac:dyDescent="0.25">
      <c r="A2316" s="5"/>
      <c r="B2316" s="5"/>
      <c r="C2316" s="5"/>
    </row>
    <row r="2317" spans="1:3" x14ac:dyDescent="0.25">
      <c r="A2317" s="5"/>
      <c r="B2317" s="5"/>
      <c r="C2317" s="5"/>
    </row>
    <row r="2318" spans="1:3" x14ac:dyDescent="0.25">
      <c r="A2318" s="5"/>
      <c r="B2318" s="5"/>
      <c r="C2318" s="5"/>
    </row>
    <row r="2319" spans="1:3" x14ac:dyDescent="0.25">
      <c r="A2319" s="5"/>
      <c r="B2319" s="5"/>
      <c r="C2319" s="5"/>
    </row>
    <row r="2320" spans="1:3" x14ac:dyDescent="0.25">
      <c r="A2320" s="5"/>
      <c r="B2320" s="5"/>
      <c r="C2320" s="5"/>
    </row>
    <row r="2321" spans="1:3" x14ac:dyDescent="0.25">
      <c r="A2321" s="5"/>
      <c r="B2321" s="5"/>
      <c r="C2321" s="5"/>
    </row>
    <row r="2322" spans="1:3" x14ac:dyDescent="0.25">
      <c r="A2322" s="5"/>
      <c r="B2322" s="5"/>
      <c r="C2322" s="5"/>
    </row>
    <row r="2323" spans="1:3" x14ac:dyDescent="0.25">
      <c r="A2323" s="5"/>
      <c r="B2323" s="5"/>
      <c r="C2323" s="5"/>
    </row>
    <row r="2324" spans="1:3" x14ac:dyDescent="0.25">
      <c r="A2324" s="5"/>
      <c r="B2324" s="5"/>
      <c r="C2324" s="5"/>
    </row>
    <row r="2325" spans="1:3" x14ac:dyDescent="0.25">
      <c r="A2325" s="5"/>
      <c r="B2325" s="5"/>
      <c r="C2325" s="5"/>
    </row>
    <row r="2326" spans="1:3" x14ac:dyDescent="0.25">
      <c r="A2326" s="5"/>
      <c r="B2326" s="5"/>
      <c r="C2326" s="5"/>
    </row>
    <row r="2327" spans="1:3" x14ac:dyDescent="0.25">
      <c r="A2327" s="5"/>
      <c r="B2327" s="5"/>
      <c r="C2327" s="5"/>
    </row>
    <row r="2328" spans="1:3" x14ac:dyDescent="0.25">
      <c r="A2328" s="5"/>
      <c r="B2328" s="5"/>
      <c r="C2328" s="5"/>
    </row>
    <row r="2329" spans="1:3" x14ac:dyDescent="0.25">
      <c r="A2329" s="5"/>
      <c r="B2329" s="5"/>
      <c r="C2329" s="5"/>
    </row>
    <row r="2330" spans="1:3" x14ac:dyDescent="0.25">
      <c r="A2330" s="5"/>
      <c r="B2330" s="5"/>
      <c r="C2330" s="5"/>
    </row>
    <row r="2331" spans="1:3" x14ac:dyDescent="0.25">
      <c r="A2331" s="5"/>
      <c r="B2331" s="5"/>
      <c r="C2331" s="5"/>
    </row>
    <row r="2332" spans="1:3" x14ac:dyDescent="0.25">
      <c r="A2332" s="5"/>
      <c r="B2332" s="5"/>
      <c r="C2332" s="5"/>
    </row>
    <row r="2333" spans="1:3" x14ac:dyDescent="0.25">
      <c r="A2333" s="5"/>
      <c r="B2333" s="5"/>
      <c r="C2333" s="5"/>
    </row>
    <row r="2334" spans="1:3" x14ac:dyDescent="0.25">
      <c r="A2334" s="5"/>
      <c r="B2334" s="5"/>
      <c r="C2334" s="5"/>
    </row>
    <row r="2335" spans="1:3" x14ac:dyDescent="0.25">
      <c r="A2335" s="5"/>
      <c r="B2335" s="5"/>
      <c r="C2335" s="5"/>
    </row>
    <row r="2336" spans="1:3" x14ac:dyDescent="0.25">
      <c r="A2336" s="5"/>
      <c r="B2336" s="5"/>
      <c r="C2336" s="5"/>
    </row>
    <row r="2337" spans="1:3" x14ac:dyDescent="0.25">
      <c r="A2337" s="5"/>
      <c r="B2337" s="5"/>
      <c r="C2337" s="5"/>
    </row>
    <row r="2338" spans="1:3" x14ac:dyDescent="0.25">
      <c r="A2338" s="5"/>
      <c r="B2338" s="5"/>
      <c r="C2338" s="5"/>
    </row>
    <row r="2339" spans="1:3" x14ac:dyDescent="0.25">
      <c r="A2339" s="5"/>
      <c r="B2339" s="5"/>
      <c r="C2339" s="5"/>
    </row>
    <row r="2340" spans="1:3" x14ac:dyDescent="0.25">
      <c r="A2340" s="5"/>
      <c r="B2340" s="5"/>
      <c r="C2340" s="5"/>
    </row>
    <row r="2341" spans="1:3" x14ac:dyDescent="0.25">
      <c r="A2341" s="5"/>
      <c r="B2341" s="5"/>
      <c r="C2341" s="5"/>
    </row>
    <row r="2342" spans="1:3" x14ac:dyDescent="0.25">
      <c r="A2342" s="5"/>
      <c r="B2342" s="5"/>
      <c r="C2342" s="5"/>
    </row>
    <row r="2343" spans="1:3" x14ac:dyDescent="0.25">
      <c r="A2343" s="5"/>
      <c r="B2343" s="5"/>
      <c r="C2343" s="5"/>
    </row>
    <row r="2344" spans="1:3" x14ac:dyDescent="0.25">
      <c r="A2344" s="5"/>
      <c r="B2344" s="5"/>
      <c r="C2344" s="5"/>
    </row>
    <row r="2345" spans="1:3" x14ac:dyDescent="0.25">
      <c r="A2345" s="5"/>
      <c r="B2345" s="5"/>
      <c r="C2345" s="5"/>
    </row>
    <row r="2346" spans="1:3" x14ac:dyDescent="0.25">
      <c r="A2346" s="5"/>
      <c r="B2346" s="5"/>
      <c r="C2346" s="5"/>
    </row>
    <row r="2347" spans="1:3" x14ac:dyDescent="0.25">
      <c r="A2347" s="5"/>
      <c r="B2347" s="5"/>
      <c r="C2347" s="5"/>
    </row>
    <row r="2348" spans="1:3" x14ac:dyDescent="0.25">
      <c r="A2348" s="5"/>
      <c r="B2348" s="5"/>
      <c r="C2348" s="5"/>
    </row>
    <row r="2349" spans="1:3" x14ac:dyDescent="0.25">
      <c r="A2349" s="5"/>
      <c r="B2349" s="5"/>
      <c r="C2349" s="5"/>
    </row>
    <row r="2350" spans="1:3" x14ac:dyDescent="0.25">
      <c r="A2350" s="5"/>
      <c r="B2350" s="5"/>
      <c r="C2350" s="5"/>
    </row>
    <row r="2351" spans="1:3" x14ac:dyDescent="0.25">
      <c r="A2351" s="5"/>
      <c r="B2351" s="5"/>
      <c r="C2351" s="5"/>
    </row>
    <row r="2352" spans="1:3" x14ac:dyDescent="0.25">
      <c r="A2352" s="5"/>
      <c r="B2352" s="5"/>
      <c r="C2352" s="5"/>
    </row>
    <row r="2353" spans="1:3" x14ac:dyDescent="0.25">
      <c r="A2353" s="5"/>
      <c r="B2353" s="5"/>
      <c r="C2353" s="5"/>
    </row>
    <row r="2354" spans="1:3" x14ac:dyDescent="0.25">
      <c r="A2354" s="5"/>
      <c r="B2354" s="5"/>
      <c r="C2354" s="5"/>
    </row>
    <row r="2355" spans="1:3" x14ac:dyDescent="0.25">
      <c r="A2355" s="5"/>
      <c r="B2355" s="5"/>
      <c r="C2355" s="5"/>
    </row>
    <row r="2356" spans="1:3" x14ac:dyDescent="0.25">
      <c r="A2356" s="5"/>
      <c r="B2356" s="5"/>
      <c r="C2356" s="5"/>
    </row>
    <row r="2357" spans="1:3" x14ac:dyDescent="0.25">
      <c r="A2357" s="5"/>
      <c r="B2357" s="5"/>
      <c r="C2357" s="5"/>
    </row>
    <row r="2358" spans="1:3" x14ac:dyDescent="0.25">
      <c r="A2358" s="5"/>
      <c r="B2358" s="5"/>
      <c r="C2358" s="5"/>
    </row>
    <row r="2359" spans="1:3" x14ac:dyDescent="0.25">
      <c r="A2359" s="5"/>
      <c r="B2359" s="5"/>
      <c r="C2359" s="5"/>
    </row>
    <row r="2360" spans="1:3" x14ac:dyDescent="0.25">
      <c r="A2360" s="5"/>
      <c r="B2360" s="5"/>
      <c r="C2360" s="5"/>
    </row>
    <row r="2361" spans="1:3" x14ac:dyDescent="0.25">
      <c r="A2361" s="5"/>
      <c r="B2361" s="5"/>
      <c r="C2361" s="5"/>
    </row>
    <row r="2362" spans="1:3" x14ac:dyDescent="0.25">
      <c r="A2362" s="5"/>
      <c r="B2362" s="5"/>
      <c r="C2362" s="5"/>
    </row>
    <row r="2363" spans="1:3" x14ac:dyDescent="0.25">
      <c r="A2363" s="5"/>
      <c r="B2363" s="5"/>
      <c r="C2363" s="5"/>
    </row>
    <row r="2364" spans="1:3" x14ac:dyDescent="0.25">
      <c r="A2364" s="5"/>
      <c r="B2364" s="5"/>
      <c r="C2364" s="5"/>
    </row>
    <row r="2365" spans="1:3" x14ac:dyDescent="0.25">
      <c r="A2365" s="5"/>
      <c r="B2365" s="5"/>
      <c r="C2365" s="5"/>
    </row>
    <row r="2366" spans="1:3" x14ac:dyDescent="0.25">
      <c r="A2366" s="5"/>
      <c r="B2366" s="5"/>
      <c r="C2366" s="5"/>
    </row>
    <row r="2367" spans="1:3" x14ac:dyDescent="0.25">
      <c r="A2367" s="5"/>
      <c r="B2367" s="5"/>
      <c r="C2367" s="5"/>
    </row>
    <row r="2368" spans="1:3" x14ac:dyDescent="0.25">
      <c r="A2368" s="5"/>
      <c r="B2368" s="5"/>
      <c r="C2368" s="5"/>
    </row>
    <row r="2369" spans="1:3" x14ac:dyDescent="0.25">
      <c r="A2369" s="5"/>
      <c r="B2369" s="5"/>
      <c r="C2369" s="5"/>
    </row>
    <row r="2370" spans="1:3" x14ac:dyDescent="0.25">
      <c r="A2370" s="5"/>
      <c r="B2370" s="5"/>
      <c r="C2370" s="5"/>
    </row>
    <row r="2371" spans="1:3" x14ac:dyDescent="0.25">
      <c r="A2371" s="5"/>
      <c r="B2371" s="5"/>
      <c r="C2371" s="5"/>
    </row>
    <row r="2372" spans="1:3" x14ac:dyDescent="0.25">
      <c r="A2372" s="5"/>
      <c r="B2372" s="5"/>
      <c r="C2372" s="5"/>
    </row>
    <row r="2373" spans="1:3" x14ac:dyDescent="0.25">
      <c r="A2373" s="5"/>
      <c r="B2373" s="5"/>
      <c r="C2373" s="5"/>
    </row>
    <row r="2374" spans="1:3" x14ac:dyDescent="0.25">
      <c r="A2374" s="5"/>
      <c r="B2374" s="5"/>
      <c r="C2374" s="5"/>
    </row>
    <row r="2375" spans="1:3" x14ac:dyDescent="0.25">
      <c r="A2375" s="5"/>
      <c r="B2375" s="5"/>
      <c r="C2375" s="5"/>
    </row>
    <row r="2376" spans="1:3" x14ac:dyDescent="0.25">
      <c r="A2376" s="5"/>
      <c r="B2376" s="5"/>
      <c r="C2376" s="5"/>
    </row>
    <row r="2377" spans="1:3" x14ac:dyDescent="0.25">
      <c r="A2377" s="5"/>
      <c r="B2377" s="5"/>
      <c r="C2377" s="5"/>
    </row>
    <row r="2378" spans="1:3" x14ac:dyDescent="0.25">
      <c r="A2378" s="5"/>
      <c r="B2378" s="5"/>
      <c r="C2378" s="5"/>
    </row>
    <row r="2379" spans="1:3" x14ac:dyDescent="0.25">
      <c r="A2379" s="5"/>
      <c r="B2379" s="5"/>
      <c r="C2379" s="5"/>
    </row>
    <row r="2380" spans="1:3" x14ac:dyDescent="0.25">
      <c r="A2380" s="5"/>
      <c r="B2380" s="5"/>
      <c r="C2380" s="5"/>
    </row>
    <row r="2381" spans="1:3" x14ac:dyDescent="0.25">
      <c r="A2381" s="5"/>
      <c r="B2381" s="5"/>
      <c r="C2381" s="5"/>
    </row>
    <row r="2382" spans="1:3" x14ac:dyDescent="0.25">
      <c r="A2382" s="5"/>
      <c r="B2382" s="5"/>
      <c r="C2382" s="5"/>
    </row>
    <row r="2383" spans="1:3" x14ac:dyDescent="0.25">
      <c r="A2383" s="5"/>
      <c r="B2383" s="5"/>
      <c r="C2383" s="5"/>
    </row>
    <row r="2384" spans="1:3" x14ac:dyDescent="0.25">
      <c r="A2384" s="5"/>
      <c r="B2384" s="5"/>
      <c r="C2384" s="5"/>
    </row>
    <row r="2385" spans="1:3" x14ac:dyDescent="0.25">
      <c r="A2385" s="5"/>
      <c r="B2385" s="5"/>
      <c r="C2385" s="5"/>
    </row>
    <row r="2386" spans="1:3" x14ac:dyDescent="0.25">
      <c r="A2386" s="5"/>
      <c r="B2386" s="5"/>
      <c r="C2386" s="5"/>
    </row>
    <row r="2387" spans="1:3" x14ac:dyDescent="0.25">
      <c r="A2387" s="5"/>
      <c r="B2387" s="5"/>
      <c r="C2387" s="5"/>
    </row>
    <row r="2388" spans="1:3" x14ac:dyDescent="0.25">
      <c r="A2388" s="5"/>
      <c r="B2388" s="5"/>
      <c r="C2388" s="5"/>
    </row>
    <row r="2389" spans="1:3" x14ac:dyDescent="0.25">
      <c r="A2389" s="5"/>
      <c r="B2389" s="5"/>
      <c r="C2389" s="5"/>
    </row>
    <row r="2390" spans="1:3" x14ac:dyDescent="0.25">
      <c r="A2390" s="5"/>
      <c r="B2390" s="5"/>
      <c r="C2390" s="5"/>
    </row>
    <row r="2391" spans="1:3" x14ac:dyDescent="0.25">
      <c r="A2391" s="5"/>
      <c r="B2391" s="5"/>
      <c r="C2391" s="5"/>
    </row>
    <row r="2392" spans="1:3" x14ac:dyDescent="0.25">
      <c r="A2392" s="5"/>
      <c r="B2392" s="5"/>
      <c r="C2392" s="5"/>
    </row>
    <row r="2393" spans="1:3" x14ac:dyDescent="0.25">
      <c r="A2393" s="5"/>
      <c r="B2393" s="5"/>
      <c r="C2393" s="5"/>
    </row>
    <row r="2394" spans="1:3" x14ac:dyDescent="0.25">
      <c r="A2394" s="5"/>
      <c r="B2394" s="5"/>
      <c r="C2394" s="5"/>
    </row>
    <row r="2395" spans="1:3" x14ac:dyDescent="0.25">
      <c r="A2395" s="5"/>
      <c r="B2395" s="5"/>
      <c r="C2395" s="5"/>
    </row>
    <row r="2396" spans="1:3" x14ac:dyDescent="0.25">
      <c r="A2396" s="5"/>
      <c r="B2396" s="5"/>
      <c r="C2396" s="5"/>
    </row>
    <row r="2397" spans="1:3" x14ac:dyDescent="0.25">
      <c r="A2397" s="5"/>
      <c r="B2397" s="5"/>
      <c r="C2397" s="5"/>
    </row>
    <row r="2398" spans="1:3" x14ac:dyDescent="0.25">
      <c r="A2398" s="5"/>
      <c r="B2398" s="5"/>
      <c r="C2398" s="5"/>
    </row>
    <row r="2399" spans="1:3" x14ac:dyDescent="0.25">
      <c r="A2399" s="5"/>
      <c r="B2399" s="5"/>
      <c r="C2399" s="5"/>
    </row>
    <row r="2400" spans="1:3" x14ac:dyDescent="0.25">
      <c r="A2400" s="5"/>
      <c r="B2400" s="5"/>
      <c r="C2400" s="5"/>
    </row>
    <row r="2401" spans="1:3" x14ac:dyDescent="0.25">
      <c r="A2401" s="5"/>
      <c r="B2401" s="5"/>
      <c r="C2401" s="5"/>
    </row>
    <row r="2402" spans="1:3" x14ac:dyDescent="0.25">
      <c r="A2402" s="5"/>
      <c r="B2402" s="5"/>
      <c r="C2402" s="5"/>
    </row>
    <row r="2403" spans="1:3" x14ac:dyDescent="0.25">
      <c r="A2403" s="5"/>
      <c r="B2403" s="5"/>
      <c r="C2403" s="5"/>
    </row>
    <row r="2404" spans="1:3" x14ac:dyDescent="0.25">
      <c r="A2404" s="5"/>
      <c r="B2404" s="5"/>
      <c r="C2404" s="5"/>
    </row>
    <row r="2405" spans="1:3" x14ac:dyDescent="0.25">
      <c r="A2405" s="5"/>
      <c r="B2405" s="5"/>
      <c r="C2405" s="5"/>
    </row>
    <row r="2406" spans="1:3" x14ac:dyDescent="0.25">
      <c r="A2406" s="5"/>
      <c r="B2406" s="5"/>
      <c r="C2406" s="5"/>
    </row>
    <row r="2407" spans="1:3" x14ac:dyDescent="0.25">
      <c r="A2407" s="5"/>
      <c r="B2407" s="5"/>
      <c r="C2407" s="5"/>
    </row>
    <row r="2408" spans="1:3" x14ac:dyDescent="0.25">
      <c r="A2408" s="5"/>
      <c r="B2408" s="5"/>
      <c r="C2408" s="5"/>
    </row>
    <row r="2409" spans="1:3" x14ac:dyDescent="0.25">
      <c r="A2409" s="5"/>
      <c r="B2409" s="5"/>
      <c r="C2409" s="5"/>
    </row>
    <row r="2410" spans="1:3" x14ac:dyDescent="0.25">
      <c r="A2410" s="5"/>
      <c r="B2410" s="5"/>
      <c r="C2410" s="5"/>
    </row>
    <row r="2411" spans="1:3" x14ac:dyDescent="0.25">
      <c r="A2411" s="5"/>
      <c r="B2411" s="5"/>
      <c r="C2411" s="5"/>
    </row>
    <row r="2412" spans="1:3" x14ac:dyDescent="0.25">
      <c r="A2412" s="5"/>
      <c r="B2412" s="5"/>
      <c r="C2412" s="5"/>
    </row>
    <row r="2413" spans="1:3" x14ac:dyDescent="0.25">
      <c r="A2413" s="5"/>
      <c r="B2413" s="5"/>
      <c r="C2413" s="5"/>
    </row>
    <row r="2414" spans="1:3" x14ac:dyDescent="0.25">
      <c r="A2414" s="5"/>
      <c r="B2414" s="5"/>
      <c r="C2414" s="5"/>
    </row>
    <row r="2415" spans="1:3" x14ac:dyDescent="0.25">
      <c r="A2415" s="5"/>
      <c r="B2415" s="5"/>
      <c r="C2415" s="5"/>
    </row>
    <row r="2416" spans="1:3" x14ac:dyDescent="0.25">
      <c r="A2416" s="5"/>
      <c r="B2416" s="5"/>
      <c r="C2416" s="5"/>
    </row>
    <row r="2417" spans="1:3" x14ac:dyDescent="0.25">
      <c r="A2417" s="5"/>
      <c r="B2417" s="5"/>
      <c r="C2417" s="5"/>
    </row>
    <row r="2418" spans="1:3" x14ac:dyDescent="0.25">
      <c r="A2418" s="5"/>
      <c r="B2418" s="5"/>
      <c r="C2418" s="5"/>
    </row>
    <row r="2419" spans="1:3" x14ac:dyDescent="0.25">
      <c r="A2419" s="5"/>
      <c r="B2419" s="5"/>
      <c r="C2419" s="5"/>
    </row>
    <row r="2420" spans="1:3" x14ac:dyDescent="0.25">
      <c r="A2420" s="5"/>
      <c r="B2420" s="5"/>
      <c r="C2420" s="5"/>
    </row>
    <row r="2421" spans="1:3" x14ac:dyDescent="0.25">
      <c r="A2421" s="5"/>
      <c r="B2421" s="5"/>
      <c r="C2421" s="5"/>
    </row>
    <row r="2422" spans="1:3" x14ac:dyDescent="0.25">
      <c r="A2422" s="5"/>
      <c r="B2422" s="5"/>
      <c r="C2422" s="5"/>
    </row>
    <row r="2423" spans="1:3" x14ac:dyDescent="0.25">
      <c r="A2423" s="5"/>
      <c r="B2423" s="5"/>
      <c r="C2423" s="5"/>
    </row>
    <row r="2424" spans="1:3" x14ac:dyDescent="0.25">
      <c r="A2424" s="5"/>
      <c r="B2424" s="5"/>
      <c r="C2424" s="5"/>
    </row>
    <row r="2425" spans="1:3" x14ac:dyDescent="0.25">
      <c r="A2425" s="5"/>
      <c r="B2425" s="5"/>
      <c r="C2425" s="5"/>
    </row>
    <row r="2426" spans="1:3" x14ac:dyDescent="0.25">
      <c r="A2426" s="5"/>
      <c r="B2426" s="5"/>
      <c r="C2426" s="5"/>
    </row>
    <row r="2427" spans="1:3" x14ac:dyDescent="0.25">
      <c r="A2427" s="5"/>
      <c r="B2427" s="5"/>
      <c r="C2427" s="5"/>
    </row>
    <row r="2428" spans="1:3" x14ac:dyDescent="0.25">
      <c r="A2428" s="5"/>
      <c r="B2428" s="5"/>
      <c r="C2428" s="5"/>
    </row>
    <row r="2429" spans="1:3" x14ac:dyDescent="0.25">
      <c r="A2429" s="5"/>
      <c r="B2429" s="5"/>
      <c r="C2429" s="5"/>
    </row>
    <row r="2430" spans="1:3" x14ac:dyDescent="0.25">
      <c r="A2430" s="5"/>
      <c r="B2430" s="5"/>
      <c r="C2430" s="5"/>
    </row>
    <row r="2431" spans="1:3" x14ac:dyDescent="0.25">
      <c r="A2431" s="5"/>
      <c r="B2431" s="5"/>
      <c r="C2431" s="5"/>
    </row>
    <row r="2432" spans="1:3" x14ac:dyDescent="0.25">
      <c r="A2432" s="5"/>
      <c r="B2432" s="5"/>
      <c r="C2432" s="5"/>
    </row>
    <row r="2433" spans="1:3" x14ac:dyDescent="0.25">
      <c r="A2433" s="5"/>
      <c r="B2433" s="5"/>
      <c r="C2433" s="5"/>
    </row>
    <row r="2434" spans="1:3" x14ac:dyDescent="0.25">
      <c r="A2434" s="5"/>
      <c r="B2434" s="5"/>
      <c r="C2434" s="5"/>
    </row>
    <row r="2435" spans="1:3" x14ac:dyDescent="0.25">
      <c r="A2435" s="5"/>
      <c r="B2435" s="5"/>
      <c r="C2435" s="5"/>
    </row>
    <row r="2436" spans="1:3" x14ac:dyDescent="0.25">
      <c r="A2436" s="5"/>
      <c r="B2436" s="5"/>
      <c r="C2436" s="5"/>
    </row>
    <row r="2437" spans="1:3" x14ac:dyDescent="0.25">
      <c r="A2437" s="5"/>
      <c r="B2437" s="5"/>
      <c r="C2437" s="5"/>
    </row>
    <row r="2438" spans="1:3" x14ac:dyDescent="0.25">
      <c r="A2438" s="5"/>
      <c r="B2438" s="5"/>
      <c r="C2438" s="5"/>
    </row>
    <row r="2439" spans="1:3" x14ac:dyDescent="0.25">
      <c r="A2439" s="5"/>
      <c r="B2439" s="5"/>
      <c r="C2439" s="5"/>
    </row>
    <row r="2440" spans="1:3" x14ac:dyDescent="0.25">
      <c r="A2440" s="5"/>
      <c r="B2440" s="5"/>
      <c r="C2440" s="5"/>
    </row>
    <row r="2441" spans="1:3" x14ac:dyDescent="0.25">
      <c r="A2441" s="5"/>
      <c r="B2441" s="5"/>
      <c r="C2441" s="5"/>
    </row>
    <row r="2442" spans="1:3" x14ac:dyDescent="0.25">
      <c r="A2442" s="5"/>
      <c r="B2442" s="5"/>
      <c r="C2442" s="5"/>
    </row>
    <row r="2443" spans="1:3" x14ac:dyDescent="0.25">
      <c r="A2443" s="5"/>
      <c r="B2443" s="5"/>
      <c r="C2443" s="5"/>
    </row>
    <row r="2444" spans="1:3" x14ac:dyDescent="0.25">
      <c r="A2444" s="5"/>
      <c r="B2444" s="5"/>
      <c r="C2444" s="5"/>
    </row>
    <row r="2445" spans="1:3" x14ac:dyDescent="0.25">
      <c r="A2445" s="5"/>
      <c r="B2445" s="5"/>
      <c r="C2445" s="5"/>
    </row>
    <row r="2446" spans="1:3" x14ac:dyDescent="0.25">
      <c r="A2446" s="5"/>
      <c r="B2446" s="5"/>
      <c r="C2446" s="5"/>
    </row>
    <row r="2447" spans="1:3" x14ac:dyDescent="0.25">
      <c r="A2447" s="5"/>
      <c r="B2447" s="5"/>
      <c r="C2447" s="5"/>
    </row>
    <row r="2448" spans="1:3" x14ac:dyDescent="0.25">
      <c r="A2448" s="5"/>
      <c r="B2448" s="5"/>
      <c r="C2448" s="5"/>
    </row>
    <row r="2449" spans="1:3" x14ac:dyDescent="0.25">
      <c r="A2449" s="5"/>
      <c r="B2449" s="5"/>
      <c r="C2449" s="5"/>
    </row>
    <row r="2450" spans="1:3" x14ac:dyDescent="0.25">
      <c r="A2450" s="5"/>
      <c r="B2450" s="5"/>
      <c r="C2450" s="5"/>
    </row>
    <row r="2451" spans="1:3" x14ac:dyDescent="0.25">
      <c r="A2451" s="5"/>
      <c r="B2451" s="5"/>
      <c r="C2451" s="5"/>
    </row>
    <row r="2452" spans="1:3" x14ac:dyDescent="0.25">
      <c r="A2452" s="5"/>
      <c r="B2452" s="5"/>
      <c r="C2452" s="5"/>
    </row>
    <row r="2453" spans="1:3" x14ac:dyDescent="0.25">
      <c r="A2453" s="5"/>
      <c r="B2453" s="5"/>
      <c r="C2453" s="5"/>
    </row>
    <row r="2454" spans="1:3" x14ac:dyDescent="0.25">
      <c r="A2454" s="5"/>
      <c r="B2454" s="5"/>
      <c r="C2454" s="5"/>
    </row>
    <row r="2455" spans="1:3" x14ac:dyDescent="0.25">
      <c r="A2455" s="5"/>
      <c r="B2455" s="5"/>
      <c r="C2455" s="5"/>
    </row>
    <row r="2456" spans="1:3" x14ac:dyDescent="0.25">
      <c r="A2456" s="5"/>
      <c r="B2456" s="5"/>
      <c r="C2456" s="5"/>
    </row>
    <row r="2457" spans="1:3" x14ac:dyDescent="0.25">
      <c r="A2457" s="5"/>
      <c r="B2457" s="5"/>
      <c r="C2457" s="5"/>
    </row>
    <row r="2458" spans="1:3" x14ac:dyDescent="0.25">
      <c r="A2458" s="5"/>
      <c r="B2458" s="5"/>
      <c r="C2458" s="5"/>
    </row>
    <row r="2459" spans="1:3" x14ac:dyDescent="0.25">
      <c r="A2459" s="5"/>
      <c r="B2459" s="5"/>
      <c r="C2459" s="5"/>
    </row>
    <row r="2460" spans="1:3" x14ac:dyDescent="0.25">
      <c r="A2460" s="5"/>
      <c r="B2460" s="5"/>
      <c r="C2460" s="5"/>
    </row>
    <row r="2461" spans="1:3" x14ac:dyDescent="0.25">
      <c r="A2461" s="5"/>
      <c r="B2461" s="5"/>
      <c r="C2461" s="5"/>
    </row>
    <row r="2462" spans="1:3" x14ac:dyDescent="0.25">
      <c r="A2462" s="5"/>
      <c r="B2462" s="5"/>
      <c r="C2462" s="5"/>
    </row>
    <row r="2463" spans="1:3" x14ac:dyDescent="0.25">
      <c r="A2463" s="5"/>
      <c r="B2463" s="5"/>
      <c r="C2463" s="5"/>
    </row>
    <row r="2464" spans="1:3" x14ac:dyDescent="0.25">
      <c r="A2464" s="5"/>
      <c r="B2464" s="5"/>
      <c r="C2464" s="5"/>
    </row>
    <row r="2465" spans="1:3" x14ac:dyDescent="0.25">
      <c r="A2465" s="5"/>
      <c r="B2465" s="5"/>
      <c r="C2465" s="5"/>
    </row>
    <row r="2466" spans="1:3" x14ac:dyDescent="0.25">
      <c r="A2466" s="5"/>
      <c r="B2466" s="5"/>
      <c r="C2466" s="5"/>
    </row>
    <row r="2467" spans="1:3" x14ac:dyDescent="0.25">
      <c r="A2467" s="5"/>
      <c r="B2467" s="5"/>
      <c r="C2467" s="5"/>
    </row>
    <row r="2468" spans="1:3" x14ac:dyDescent="0.25">
      <c r="A2468" s="5"/>
      <c r="B2468" s="5"/>
      <c r="C2468" s="5"/>
    </row>
    <row r="2469" spans="1:3" x14ac:dyDescent="0.25">
      <c r="A2469" s="5"/>
      <c r="B2469" s="5"/>
      <c r="C2469" s="5"/>
    </row>
    <row r="2470" spans="1:3" x14ac:dyDescent="0.25">
      <c r="A2470" s="5"/>
      <c r="B2470" s="5"/>
      <c r="C2470" s="5"/>
    </row>
    <row r="2471" spans="1:3" x14ac:dyDescent="0.25">
      <c r="A2471" s="5"/>
      <c r="B2471" s="5"/>
      <c r="C2471" s="5"/>
    </row>
    <row r="2472" spans="1:3" x14ac:dyDescent="0.25">
      <c r="A2472" s="5"/>
      <c r="B2472" s="5"/>
      <c r="C2472" s="5"/>
    </row>
    <row r="2473" spans="1:3" x14ac:dyDescent="0.25">
      <c r="A2473" s="5"/>
      <c r="B2473" s="5"/>
      <c r="C2473" s="5"/>
    </row>
    <row r="2474" spans="1:3" x14ac:dyDescent="0.25">
      <c r="A2474" s="5"/>
      <c r="B2474" s="5"/>
      <c r="C2474" s="5"/>
    </row>
    <row r="2475" spans="1:3" x14ac:dyDescent="0.25">
      <c r="A2475" s="5"/>
      <c r="B2475" s="5"/>
      <c r="C2475" s="5"/>
    </row>
    <row r="2476" spans="1:3" x14ac:dyDescent="0.25">
      <c r="A2476" s="5"/>
      <c r="B2476" s="5"/>
      <c r="C2476" s="5"/>
    </row>
    <row r="2477" spans="1:3" x14ac:dyDescent="0.25">
      <c r="A2477" s="5"/>
      <c r="B2477" s="5"/>
      <c r="C2477" s="5"/>
    </row>
    <row r="2478" spans="1:3" x14ac:dyDescent="0.25">
      <c r="A2478" s="5"/>
      <c r="B2478" s="5"/>
      <c r="C2478" s="5"/>
    </row>
    <row r="2479" spans="1:3" x14ac:dyDescent="0.25">
      <c r="A2479" s="5"/>
      <c r="B2479" s="5"/>
      <c r="C2479" s="5"/>
    </row>
    <row r="2480" spans="1:3" x14ac:dyDescent="0.25">
      <c r="A2480" s="5"/>
      <c r="B2480" s="5"/>
      <c r="C2480" s="5"/>
    </row>
    <row r="2481" spans="1:3" x14ac:dyDescent="0.25">
      <c r="A2481" s="5"/>
      <c r="B2481" s="5"/>
      <c r="C2481" s="5"/>
    </row>
    <row r="2482" spans="1:3" x14ac:dyDescent="0.25">
      <c r="A2482" s="5"/>
      <c r="B2482" s="5"/>
      <c r="C2482" s="5"/>
    </row>
    <row r="2483" spans="1:3" x14ac:dyDescent="0.25">
      <c r="A2483" s="5"/>
      <c r="B2483" s="5"/>
      <c r="C2483" s="5"/>
    </row>
    <row r="2484" spans="1:3" x14ac:dyDescent="0.25">
      <c r="A2484" s="5"/>
      <c r="B2484" s="5"/>
      <c r="C2484" s="5"/>
    </row>
    <row r="2485" spans="1:3" x14ac:dyDescent="0.25">
      <c r="A2485" s="5"/>
      <c r="B2485" s="5"/>
      <c r="C2485" s="5"/>
    </row>
    <row r="2486" spans="1:3" x14ac:dyDescent="0.25">
      <c r="A2486" s="5"/>
      <c r="B2486" s="5"/>
      <c r="C2486" s="5"/>
    </row>
    <row r="2487" spans="1:3" x14ac:dyDescent="0.25">
      <c r="A2487" s="5"/>
      <c r="B2487" s="5"/>
      <c r="C2487" s="5"/>
    </row>
    <row r="2488" spans="1:3" x14ac:dyDescent="0.25">
      <c r="A2488" s="5"/>
      <c r="B2488" s="5"/>
      <c r="C2488" s="5"/>
    </row>
    <row r="2489" spans="1:3" x14ac:dyDescent="0.25">
      <c r="A2489" s="5"/>
      <c r="B2489" s="5"/>
      <c r="C2489" s="5"/>
    </row>
    <row r="2490" spans="1:3" x14ac:dyDescent="0.25">
      <c r="A2490" s="5"/>
      <c r="B2490" s="5"/>
      <c r="C2490" s="5"/>
    </row>
    <row r="2491" spans="1:3" x14ac:dyDescent="0.25">
      <c r="A2491" s="5"/>
      <c r="B2491" s="5"/>
      <c r="C2491" s="5"/>
    </row>
    <row r="2492" spans="1:3" x14ac:dyDescent="0.25">
      <c r="A2492" s="5"/>
      <c r="B2492" s="5"/>
      <c r="C2492" s="5"/>
    </row>
    <row r="2493" spans="1:3" x14ac:dyDescent="0.25">
      <c r="A2493" s="5"/>
      <c r="B2493" s="5"/>
      <c r="C2493" s="5"/>
    </row>
    <row r="2494" spans="1:3" x14ac:dyDescent="0.25">
      <c r="A2494" s="5"/>
      <c r="B2494" s="5"/>
      <c r="C2494" s="5"/>
    </row>
    <row r="2495" spans="1:3" x14ac:dyDescent="0.25">
      <c r="A2495" s="5"/>
      <c r="B2495" s="5"/>
      <c r="C2495" s="5"/>
    </row>
    <row r="2496" spans="1:3" x14ac:dyDescent="0.25">
      <c r="A2496" s="5"/>
      <c r="B2496" s="5"/>
      <c r="C2496" s="5"/>
    </row>
    <row r="2497" spans="1:3" x14ac:dyDescent="0.25">
      <c r="A2497" s="5"/>
      <c r="B2497" s="5"/>
      <c r="C2497" s="5"/>
    </row>
    <row r="2498" spans="1:3" x14ac:dyDescent="0.25">
      <c r="A2498" s="5"/>
      <c r="B2498" s="5"/>
      <c r="C2498" s="5"/>
    </row>
    <row r="2499" spans="1:3" x14ac:dyDescent="0.25">
      <c r="A2499" s="5"/>
      <c r="B2499" s="5"/>
      <c r="C2499" s="5"/>
    </row>
    <row r="2500" spans="1:3" x14ac:dyDescent="0.25">
      <c r="A2500" s="5"/>
      <c r="B2500" s="5"/>
      <c r="C2500" s="5"/>
    </row>
    <row r="2501" spans="1:3" x14ac:dyDescent="0.25">
      <c r="A2501" s="5"/>
      <c r="B2501" s="5"/>
      <c r="C2501" s="5"/>
    </row>
    <row r="2502" spans="1:3" x14ac:dyDescent="0.25">
      <c r="A2502" s="5"/>
      <c r="B2502" s="5"/>
      <c r="C2502" s="5"/>
    </row>
    <row r="2503" spans="1:3" x14ac:dyDescent="0.25">
      <c r="A2503" s="5"/>
      <c r="B2503" s="5"/>
      <c r="C2503" s="5"/>
    </row>
    <row r="2504" spans="1:3" x14ac:dyDescent="0.25">
      <c r="A2504" s="5"/>
      <c r="B2504" s="5"/>
      <c r="C2504" s="5"/>
    </row>
    <row r="2505" spans="1:3" x14ac:dyDescent="0.25">
      <c r="A2505" s="5"/>
      <c r="B2505" s="5"/>
      <c r="C2505" s="5"/>
    </row>
    <row r="2506" spans="1:3" x14ac:dyDescent="0.25">
      <c r="A2506" s="5"/>
      <c r="B2506" s="5"/>
      <c r="C2506" s="5"/>
    </row>
    <row r="2507" spans="1:3" x14ac:dyDescent="0.25">
      <c r="A2507" s="5"/>
      <c r="B2507" s="5"/>
      <c r="C2507" s="5"/>
    </row>
    <row r="2508" spans="1:3" x14ac:dyDescent="0.25">
      <c r="A2508" s="5"/>
      <c r="B2508" s="5"/>
      <c r="C2508" s="5"/>
    </row>
    <row r="2509" spans="1:3" x14ac:dyDescent="0.25">
      <c r="A2509" s="5"/>
      <c r="B2509" s="5"/>
      <c r="C2509" s="5"/>
    </row>
    <row r="2510" spans="1:3" x14ac:dyDescent="0.25">
      <c r="A2510" s="5"/>
      <c r="B2510" s="5"/>
      <c r="C2510" s="5"/>
    </row>
    <row r="2511" spans="1:3" x14ac:dyDescent="0.25">
      <c r="A2511" s="5"/>
      <c r="B2511" s="5"/>
      <c r="C2511" s="5"/>
    </row>
    <row r="2512" spans="1:3" x14ac:dyDescent="0.25">
      <c r="A2512" s="5"/>
      <c r="B2512" s="5"/>
      <c r="C2512" s="5"/>
    </row>
    <row r="2513" spans="1:3" x14ac:dyDescent="0.25">
      <c r="A2513" s="5"/>
      <c r="B2513" s="5"/>
      <c r="C2513" s="5"/>
    </row>
    <row r="2514" spans="1:3" x14ac:dyDescent="0.25">
      <c r="A2514" s="5"/>
      <c r="B2514" s="5"/>
      <c r="C2514" s="5"/>
    </row>
    <row r="2515" spans="1:3" x14ac:dyDescent="0.25">
      <c r="A2515" s="5"/>
      <c r="B2515" s="5"/>
      <c r="C2515" s="5"/>
    </row>
    <row r="2516" spans="1:3" x14ac:dyDescent="0.25">
      <c r="A2516" s="5"/>
      <c r="B2516" s="5"/>
      <c r="C2516" s="5"/>
    </row>
    <row r="2517" spans="1:3" x14ac:dyDescent="0.25">
      <c r="A2517" s="5"/>
      <c r="B2517" s="5"/>
      <c r="C2517" s="5"/>
    </row>
    <row r="2518" spans="1:3" x14ac:dyDescent="0.25">
      <c r="A2518" s="5"/>
      <c r="B2518" s="5"/>
      <c r="C2518" s="5"/>
    </row>
    <row r="2519" spans="1:3" x14ac:dyDescent="0.25">
      <c r="A2519" s="5"/>
      <c r="B2519" s="5"/>
      <c r="C2519" s="5"/>
    </row>
    <row r="2520" spans="1:3" x14ac:dyDescent="0.25">
      <c r="A2520" s="5"/>
      <c r="B2520" s="5"/>
      <c r="C2520" s="5"/>
    </row>
    <row r="2521" spans="1:3" x14ac:dyDescent="0.25">
      <c r="A2521" s="5"/>
      <c r="B2521" s="5"/>
      <c r="C2521" s="5"/>
    </row>
    <row r="2522" spans="1:3" x14ac:dyDescent="0.25">
      <c r="A2522" s="5"/>
      <c r="B2522" s="5"/>
      <c r="C2522" s="5"/>
    </row>
    <row r="2523" spans="1:3" x14ac:dyDescent="0.25">
      <c r="A2523" s="5"/>
      <c r="B2523" s="5"/>
      <c r="C2523" s="5"/>
    </row>
    <row r="2524" spans="1:3" x14ac:dyDescent="0.25">
      <c r="A2524" s="5"/>
      <c r="B2524" s="5"/>
      <c r="C2524" s="5"/>
    </row>
    <row r="2525" spans="1:3" x14ac:dyDescent="0.25">
      <c r="A2525" s="5"/>
      <c r="B2525" s="5"/>
      <c r="C2525" s="5"/>
    </row>
    <row r="2526" spans="1:3" x14ac:dyDescent="0.25">
      <c r="A2526" s="5"/>
      <c r="B2526" s="5"/>
      <c r="C2526" s="5"/>
    </row>
    <row r="2527" spans="1:3" x14ac:dyDescent="0.25">
      <c r="A2527" s="5"/>
      <c r="B2527" s="5"/>
      <c r="C2527" s="5"/>
    </row>
    <row r="2528" spans="1:3" x14ac:dyDescent="0.25">
      <c r="A2528" s="5"/>
      <c r="B2528" s="5"/>
      <c r="C2528" s="5"/>
    </row>
    <row r="2529" spans="1:3" x14ac:dyDescent="0.25">
      <c r="A2529" s="5"/>
      <c r="B2529" s="5"/>
      <c r="C2529" s="5"/>
    </row>
    <row r="2530" spans="1:3" x14ac:dyDescent="0.25">
      <c r="A2530" s="5"/>
      <c r="B2530" s="5"/>
      <c r="C2530" s="5"/>
    </row>
    <row r="2531" spans="1:3" x14ac:dyDescent="0.25">
      <c r="A2531" s="5"/>
      <c r="B2531" s="5"/>
      <c r="C2531" s="5"/>
    </row>
    <row r="2532" spans="1:3" x14ac:dyDescent="0.25">
      <c r="A2532" s="5"/>
      <c r="B2532" s="5"/>
      <c r="C2532" s="5"/>
    </row>
    <row r="2533" spans="1:3" x14ac:dyDescent="0.25">
      <c r="A2533" s="5"/>
      <c r="B2533" s="5"/>
      <c r="C2533" s="5"/>
    </row>
    <row r="2534" spans="1:3" x14ac:dyDescent="0.25">
      <c r="A2534" s="5"/>
      <c r="B2534" s="5"/>
      <c r="C2534" s="5"/>
    </row>
    <row r="2535" spans="1:3" x14ac:dyDescent="0.25">
      <c r="A2535" s="5"/>
      <c r="B2535" s="5"/>
      <c r="C2535" s="5"/>
    </row>
    <row r="2536" spans="1:3" x14ac:dyDescent="0.25">
      <c r="A2536" s="5"/>
      <c r="B2536" s="5"/>
      <c r="C2536" s="5"/>
    </row>
    <row r="2537" spans="1:3" x14ac:dyDescent="0.25">
      <c r="A2537" s="5"/>
      <c r="B2537" s="5"/>
      <c r="C2537" s="5"/>
    </row>
    <row r="2538" spans="1:3" x14ac:dyDescent="0.25">
      <c r="A2538" s="5"/>
      <c r="B2538" s="5"/>
      <c r="C2538" s="5"/>
    </row>
    <row r="2539" spans="1:3" x14ac:dyDescent="0.25">
      <c r="A2539" s="5"/>
      <c r="B2539" s="5"/>
      <c r="C2539" s="5"/>
    </row>
    <row r="2540" spans="1:3" x14ac:dyDescent="0.25">
      <c r="A2540" s="5"/>
      <c r="B2540" s="5"/>
      <c r="C2540" s="5"/>
    </row>
    <row r="2541" spans="1:3" x14ac:dyDescent="0.25">
      <c r="A2541" s="5"/>
      <c r="B2541" s="5"/>
      <c r="C2541" s="5"/>
    </row>
    <row r="2542" spans="1:3" x14ac:dyDescent="0.25">
      <c r="A2542" s="5"/>
      <c r="B2542" s="5"/>
      <c r="C2542" s="5"/>
    </row>
    <row r="2543" spans="1:3" x14ac:dyDescent="0.25">
      <c r="A2543" s="5"/>
      <c r="B2543" s="5"/>
      <c r="C2543" s="5"/>
    </row>
    <row r="2544" spans="1:3" x14ac:dyDescent="0.25">
      <c r="A2544" s="5"/>
      <c r="B2544" s="5"/>
      <c r="C2544" s="5"/>
    </row>
    <row r="2545" spans="1:3" x14ac:dyDescent="0.25">
      <c r="A2545" s="5"/>
      <c r="B2545" s="5"/>
      <c r="C2545" s="5"/>
    </row>
    <row r="2546" spans="1:3" x14ac:dyDescent="0.25">
      <c r="A2546" s="5"/>
      <c r="B2546" s="5"/>
      <c r="C2546" s="5"/>
    </row>
    <row r="2547" spans="1:3" x14ac:dyDescent="0.25">
      <c r="A2547" s="5"/>
      <c r="B2547" s="5"/>
      <c r="C2547" s="5"/>
    </row>
    <row r="2548" spans="1:3" x14ac:dyDescent="0.25">
      <c r="A2548" s="5"/>
      <c r="B2548" s="5"/>
      <c r="C2548" s="5"/>
    </row>
    <row r="2549" spans="1:3" x14ac:dyDescent="0.25">
      <c r="A2549" s="5"/>
      <c r="B2549" s="5"/>
      <c r="C2549" s="5"/>
    </row>
    <row r="2550" spans="1:3" x14ac:dyDescent="0.25">
      <c r="A2550" s="5"/>
      <c r="B2550" s="5"/>
      <c r="C2550" s="5"/>
    </row>
    <row r="2551" spans="1:3" x14ac:dyDescent="0.25">
      <c r="A2551" s="5"/>
      <c r="B2551" s="5"/>
      <c r="C2551" s="5"/>
    </row>
    <row r="2552" spans="1:3" x14ac:dyDescent="0.25">
      <c r="A2552" s="5"/>
      <c r="B2552" s="5"/>
      <c r="C2552" s="5"/>
    </row>
    <row r="2553" spans="1:3" x14ac:dyDescent="0.25">
      <c r="A2553" s="5"/>
      <c r="B2553" s="5"/>
      <c r="C2553" s="5"/>
    </row>
    <row r="2554" spans="1:3" x14ac:dyDescent="0.25">
      <c r="A2554" s="5"/>
      <c r="B2554" s="5"/>
      <c r="C2554" s="5"/>
    </row>
    <row r="2555" spans="1:3" x14ac:dyDescent="0.25">
      <c r="A2555" s="5"/>
      <c r="B2555" s="5"/>
      <c r="C2555" s="5"/>
    </row>
    <row r="2556" spans="1:3" x14ac:dyDescent="0.25">
      <c r="A2556" s="5"/>
      <c r="B2556" s="5"/>
      <c r="C2556" s="5"/>
    </row>
    <row r="2557" spans="1:3" x14ac:dyDescent="0.25">
      <c r="A2557" s="5"/>
      <c r="B2557" s="5"/>
      <c r="C2557" s="5"/>
    </row>
    <row r="2558" spans="1:3" x14ac:dyDescent="0.25">
      <c r="A2558" s="5"/>
      <c r="B2558" s="5"/>
      <c r="C2558" s="5"/>
    </row>
    <row r="2559" spans="1:3" x14ac:dyDescent="0.25">
      <c r="A2559" s="5"/>
      <c r="B2559" s="5"/>
      <c r="C2559" s="5"/>
    </row>
    <row r="2560" spans="1:3" x14ac:dyDescent="0.25">
      <c r="A2560" s="5"/>
      <c r="B2560" s="5"/>
      <c r="C2560" s="5"/>
    </row>
    <row r="2561" spans="1:3" x14ac:dyDescent="0.25">
      <c r="A2561" s="5"/>
      <c r="B2561" s="5"/>
      <c r="C2561" s="5"/>
    </row>
    <row r="2562" spans="1:3" x14ac:dyDescent="0.25">
      <c r="A2562" s="5"/>
      <c r="B2562" s="5"/>
      <c r="C2562" s="5"/>
    </row>
    <row r="2563" spans="1:3" x14ac:dyDescent="0.25">
      <c r="A2563" s="5"/>
      <c r="B2563" s="5"/>
      <c r="C2563" s="5"/>
    </row>
    <row r="2564" spans="1:3" x14ac:dyDescent="0.25">
      <c r="A2564" s="5"/>
      <c r="B2564" s="5"/>
      <c r="C2564" s="5"/>
    </row>
    <row r="2565" spans="1:3" x14ac:dyDescent="0.25">
      <c r="A2565" s="5"/>
      <c r="B2565" s="5"/>
      <c r="C2565" s="5"/>
    </row>
    <row r="2566" spans="1:3" x14ac:dyDescent="0.25">
      <c r="A2566" s="5"/>
      <c r="B2566" s="5"/>
      <c r="C2566" s="5"/>
    </row>
    <row r="2567" spans="1:3" x14ac:dyDescent="0.25">
      <c r="A2567" s="5"/>
      <c r="B2567" s="5"/>
      <c r="C2567" s="5"/>
    </row>
    <row r="2568" spans="1:3" x14ac:dyDescent="0.25">
      <c r="A2568" s="5"/>
      <c r="B2568" s="5"/>
      <c r="C2568" s="5"/>
    </row>
    <row r="2569" spans="1:3" x14ac:dyDescent="0.25">
      <c r="A2569" s="5"/>
      <c r="B2569" s="5"/>
      <c r="C2569" s="5"/>
    </row>
    <row r="2570" spans="1:3" x14ac:dyDescent="0.25">
      <c r="A2570" s="5"/>
      <c r="B2570" s="5"/>
      <c r="C2570" s="5"/>
    </row>
    <row r="2571" spans="1:3" x14ac:dyDescent="0.25">
      <c r="A2571" s="5"/>
      <c r="B2571" s="5"/>
      <c r="C2571" s="5"/>
    </row>
    <row r="2572" spans="1:3" x14ac:dyDescent="0.25">
      <c r="A2572" s="5"/>
      <c r="B2572" s="5"/>
      <c r="C2572" s="5"/>
    </row>
    <row r="2573" spans="1:3" x14ac:dyDescent="0.25">
      <c r="A2573" s="5"/>
      <c r="B2573" s="5"/>
      <c r="C2573" s="5"/>
    </row>
    <row r="2574" spans="1:3" x14ac:dyDescent="0.25">
      <c r="A2574" s="5"/>
      <c r="B2574" s="5"/>
      <c r="C2574" s="5"/>
    </row>
    <row r="2575" spans="1:3" x14ac:dyDescent="0.25">
      <c r="A2575" s="5"/>
      <c r="B2575" s="5"/>
      <c r="C2575" s="5"/>
    </row>
    <row r="2576" spans="1:3" x14ac:dyDescent="0.25">
      <c r="A2576" s="5"/>
      <c r="B2576" s="5"/>
      <c r="C2576" s="5"/>
    </row>
    <row r="2577" spans="1:3" x14ac:dyDescent="0.25">
      <c r="A2577" s="5"/>
      <c r="B2577" s="5"/>
      <c r="C2577" s="5"/>
    </row>
    <row r="2578" spans="1:3" x14ac:dyDescent="0.25">
      <c r="A2578" s="5"/>
      <c r="B2578" s="5"/>
      <c r="C2578" s="5"/>
    </row>
    <row r="2579" spans="1:3" x14ac:dyDescent="0.25">
      <c r="A2579" s="5"/>
      <c r="B2579" s="5"/>
      <c r="C2579" s="5"/>
    </row>
    <row r="2580" spans="1:3" x14ac:dyDescent="0.25">
      <c r="A2580" s="5"/>
      <c r="B2580" s="5"/>
      <c r="C2580" s="5"/>
    </row>
    <row r="2581" spans="1:3" x14ac:dyDescent="0.25">
      <c r="A2581" s="5"/>
      <c r="B2581" s="5"/>
      <c r="C2581" s="5"/>
    </row>
    <row r="2582" spans="1:3" x14ac:dyDescent="0.25">
      <c r="A2582" s="5"/>
      <c r="B2582" s="5"/>
      <c r="C2582" s="5"/>
    </row>
    <row r="2583" spans="1:3" x14ac:dyDescent="0.25">
      <c r="A2583" s="5"/>
      <c r="B2583" s="5"/>
      <c r="C2583" s="5"/>
    </row>
    <row r="2584" spans="1:3" x14ac:dyDescent="0.25">
      <c r="A2584" s="5"/>
      <c r="B2584" s="5"/>
      <c r="C2584" s="5"/>
    </row>
    <row r="2585" spans="1:3" x14ac:dyDescent="0.25">
      <c r="A2585" s="5"/>
      <c r="B2585" s="5"/>
      <c r="C2585" s="5"/>
    </row>
    <row r="2586" spans="1:3" x14ac:dyDescent="0.25">
      <c r="A2586" s="5"/>
      <c r="B2586" s="5"/>
      <c r="C2586" s="5"/>
    </row>
    <row r="2587" spans="1:3" x14ac:dyDescent="0.25">
      <c r="A2587" s="5"/>
      <c r="B2587" s="5"/>
      <c r="C2587" s="5"/>
    </row>
    <row r="2588" spans="1:3" x14ac:dyDescent="0.25">
      <c r="A2588" s="5"/>
      <c r="B2588" s="5"/>
      <c r="C2588" s="5"/>
    </row>
    <row r="2589" spans="1:3" x14ac:dyDescent="0.25">
      <c r="A2589" s="5"/>
      <c r="B2589" s="5"/>
      <c r="C2589" s="5"/>
    </row>
    <row r="2590" spans="1:3" x14ac:dyDescent="0.25">
      <c r="A2590" s="5"/>
      <c r="B2590" s="5"/>
      <c r="C2590" s="5"/>
    </row>
    <row r="2591" spans="1:3" x14ac:dyDescent="0.25">
      <c r="A2591" s="5"/>
      <c r="B2591" s="5"/>
      <c r="C2591" s="5"/>
    </row>
    <row r="2592" spans="1:3" x14ac:dyDescent="0.25">
      <c r="A2592" s="5"/>
      <c r="B2592" s="5"/>
      <c r="C2592" s="5"/>
    </row>
    <row r="2593" spans="1:3" x14ac:dyDescent="0.25">
      <c r="A2593" s="5"/>
      <c r="B2593" s="5"/>
      <c r="C2593" s="5"/>
    </row>
    <row r="2594" spans="1:3" x14ac:dyDescent="0.25">
      <c r="A2594" s="5"/>
      <c r="B2594" s="5"/>
      <c r="C2594" s="5"/>
    </row>
    <row r="2595" spans="1:3" x14ac:dyDescent="0.25">
      <c r="A2595" s="5"/>
      <c r="B2595" s="5"/>
      <c r="C2595" s="5"/>
    </row>
    <row r="2596" spans="1:3" x14ac:dyDescent="0.25">
      <c r="A2596" s="5"/>
      <c r="B2596" s="5"/>
      <c r="C2596" s="5"/>
    </row>
    <row r="2597" spans="1:3" x14ac:dyDescent="0.25">
      <c r="A2597" s="5"/>
      <c r="B2597" s="5"/>
      <c r="C2597" s="5"/>
    </row>
    <row r="2598" spans="1:3" x14ac:dyDescent="0.25">
      <c r="A2598" s="5"/>
      <c r="B2598" s="5"/>
      <c r="C2598" s="5"/>
    </row>
    <row r="2599" spans="1:3" x14ac:dyDescent="0.25">
      <c r="A2599" s="5"/>
      <c r="B2599" s="5"/>
      <c r="C2599" s="5"/>
    </row>
    <row r="2600" spans="1:3" x14ac:dyDescent="0.25">
      <c r="A2600" s="5"/>
      <c r="B2600" s="5"/>
      <c r="C2600" s="5"/>
    </row>
    <row r="2601" spans="1:3" x14ac:dyDescent="0.25">
      <c r="A2601" s="5"/>
      <c r="B2601" s="5"/>
      <c r="C2601" s="5"/>
    </row>
    <row r="2602" spans="1:3" x14ac:dyDescent="0.25">
      <c r="A2602" s="5"/>
      <c r="B2602" s="5"/>
      <c r="C2602" s="5"/>
    </row>
    <row r="2603" spans="1:3" x14ac:dyDescent="0.25">
      <c r="A2603" s="5"/>
      <c r="B2603" s="5"/>
      <c r="C2603" s="5"/>
    </row>
    <row r="2604" spans="1:3" x14ac:dyDescent="0.25">
      <c r="A2604" s="5"/>
      <c r="B2604" s="5"/>
      <c r="C2604" s="5"/>
    </row>
    <row r="2605" spans="1:3" x14ac:dyDescent="0.25">
      <c r="A2605" s="5"/>
      <c r="B2605" s="5"/>
      <c r="C2605" s="5"/>
    </row>
    <row r="2606" spans="1:3" x14ac:dyDescent="0.25">
      <c r="A2606" s="5"/>
      <c r="B2606" s="5"/>
      <c r="C2606" s="5"/>
    </row>
    <row r="2607" spans="1:3" x14ac:dyDescent="0.25">
      <c r="A2607" s="5"/>
      <c r="B2607" s="5"/>
      <c r="C2607" s="5"/>
    </row>
    <row r="2608" spans="1:3" x14ac:dyDescent="0.25">
      <c r="A2608" s="5"/>
      <c r="B2608" s="5"/>
      <c r="C2608" s="5"/>
    </row>
    <row r="2609" spans="1:3" x14ac:dyDescent="0.25">
      <c r="A2609" s="5"/>
      <c r="B2609" s="5"/>
      <c r="C2609" s="5"/>
    </row>
    <row r="2610" spans="1:3" x14ac:dyDescent="0.25">
      <c r="A2610" s="5"/>
      <c r="B2610" s="5"/>
      <c r="C2610" s="5"/>
    </row>
    <row r="2611" spans="1:3" x14ac:dyDescent="0.25">
      <c r="A2611" s="5"/>
      <c r="B2611" s="5"/>
      <c r="C2611" s="5"/>
    </row>
    <row r="2612" spans="1:3" x14ac:dyDescent="0.25">
      <c r="A2612" s="5"/>
      <c r="B2612" s="5"/>
      <c r="C2612" s="5"/>
    </row>
    <row r="2613" spans="1:3" x14ac:dyDescent="0.25">
      <c r="A2613" s="5"/>
      <c r="B2613" s="5"/>
      <c r="C2613" s="5"/>
    </row>
    <row r="2614" spans="1:3" x14ac:dyDescent="0.25">
      <c r="A2614" s="5"/>
      <c r="B2614" s="5"/>
      <c r="C2614" s="5"/>
    </row>
    <row r="2615" spans="1:3" x14ac:dyDescent="0.25">
      <c r="A2615" s="5"/>
      <c r="B2615" s="5"/>
      <c r="C2615" s="5"/>
    </row>
    <row r="2616" spans="1:3" x14ac:dyDescent="0.25">
      <c r="A2616" s="5"/>
      <c r="B2616" s="5"/>
      <c r="C2616" s="5"/>
    </row>
    <row r="2617" spans="1:3" x14ac:dyDescent="0.25">
      <c r="A2617" s="5"/>
      <c r="B2617" s="5"/>
      <c r="C2617" s="5"/>
    </row>
    <row r="2618" spans="1:3" x14ac:dyDescent="0.25">
      <c r="A2618" s="5"/>
      <c r="B2618" s="5"/>
      <c r="C2618" s="5"/>
    </row>
    <row r="2619" spans="1:3" x14ac:dyDescent="0.25">
      <c r="A2619" s="5"/>
      <c r="B2619" s="5"/>
      <c r="C2619" s="5"/>
    </row>
    <row r="2620" spans="1:3" x14ac:dyDescent="0.25">
      <c r="A2620" s="5"/>
      <c r="B2620" s="5"/>
      <c r="C2620" s="5"/>
    </row>
    <row r="2621" spans="1:3" x14ac:dyDescent="0.25">
      <c r="A2621" s="5"/>
      <c r="B2621" s="5"/>
      <c r="C2621" s="5"/>
    </row>
    <row r="2622" spans="1:3" x14ac:dyDescent="0.25">
      <c r="A2622" s="5"/>
      <c r="B2622" s="5"/>
      <c r="C2622" s="5"/>
    </row>
    <row r="2623" spans="1:3" x14ac:dyDescent="0.25">
      <c r="A2623" s="5"/>
      <c r="B2623" s="5"/>
      <c r="C2623" s="5"/>
    </row>
    <row r="2624" spans="1:3" x14ac:dyDescent="0.25">
      <c r="A2624" s="5"/>
      <c r="B2624" s="5"/>
      <c r="C2624" s="5"/>
    </row>
    <row r="2625" spans="1:3" x14ac:dyDescent="0.25">
      <c r="A2625" s="5"/>
      <c r="B2625" s="5"/>
      <c r="C2625" s="5"/>
    </row>
    <row r="2626" spans="1:3" x14ac:dyDescent="0.25">
      <c r="A2626" s="5"/>
      <c r="B2626" s="5"/>
      <c r="C2626" s="5"/>
    </row>
    <row r="2627" spans="1:3" x14ac:dyDescent="0.25">
      <c r="A2627" s="5"/>
      <c r="B2627" s="5"/>
      <c r="C2627" s="5"/>
    </row>
    <row r="2628" spans="1:3" x14ac:dyDescent="0.25">
      <c r="A2628" s="5"/>
      <c r="B2628" s="5"/>
      <c r="C2628" s="5"/>
    </row>
    <row r="2629" spans="1:3" x14ac:dyDescent="0.25">
      <c r="A2629" s="5"/>
      <c r="B2629" s="5"/>
      <c r="C2629" s="5"/>
    </row>
    <row r="2630" spans="1:3" x14ac:dyDescent="0.25">
      <c r="A2630" s="5"/>
      <c r="B2630" s="5"/>
      <c r="C2630" s="5"/>
    </row>
    <row r="2631" spans="1:3" x14ac:dyDescent="0.25">
      <c r="A2631" s="5"/>
      <c r="B2631" s="5"/>
      <c r="C2631" s="5"/>
    </row>
    <row r="2632" spans="1:3" x14ac:dyDescent="0.25">
      <c r="A2632" s="5"/>
      <c r="B2632" s="5"/>
      <c r="C2632" s="5"/>
    </row>
    <row r="2633" spans="1:3" x14ac:dyDescent="0.25">
      <c r="A2633" s="5"/>
      <c r="B2633" s="5"/>
      <c r="C2633" s="5"/>
    </row>
    <row r="2634" spans="1:3" x14ac:dyDescent="0.25">
      <c r="A2634" s="5"/>
      <c r="B2634" s="5"/>
      <c r="C2634" s="5"/>
    </row>
    <row r="2635" spans="1:3" x14ac:dyDescent="0.25">
      <c r="A2635" s="5"/>
      <c r="B2635" s="5"/>
      <c r="C2635" s="5"/>
    </row>
    <row r="2636" spans="1:3" x14ac:dyDescent="0.25">
      <c r="A2636" s="5"/>
      <c r="B2636" s="5"/>
      <c r="C2636" s="5"/>
    </row>
    <row r="2637" spans="1:3" x14ac:dyDescent="0.25">
      <c r="A2637" s="5"/>
      <c r="B2637" s="5"/>
      <c r="C2637" s="5"/>
    </row>
    <row r="2638" spans="1:3" x14ac:dyDescent="0.25">
      <c r="A2638" s="5"/>
      <c r="B2638" s="5"/>
      <c r="C2638" s="5"/>
    </row>
    <row r="2639" spans="1:3" x14ac:dyDescent="0.25">
      <c r="A2639" s="5"/>
      <c r="B2639" s="5"/>
      <c r="C2639" s="5"/>
    </row>
    <row r="2640" spans="1:3" x14ac:dyDescent="0.25">
      <c r="A2640" s="5"/>
      <c r="B2640" s="5"/>
      <c r="C2640" s="5"/>
    </row>
    <row r="2641" spans="1:3" x14ac:dyDescent="0.25">
      <c r="A2641" s="5"/>
      <c r="B2641" s="5"/>
      <c r="C2641" s="5"/>
    </row>
    <row r="2642" spans="1:3" x14ac:dyDescent="0.25">
      <c r="A2642" s="5"/>
      <c r="B2642" s="5"/>
      <c r="C2642" s="5"/>
    </row>
    <row r="2643" spans="1:3" x14ac:dyDescent="0.25">
      <c r="A2643" s="5"/>
      <c r="B2643" s="5"/>
      <c r="C2643" s="5"/>
    </row>
    <row r="2644" spans="1:3" x14ac:dyDescent="0.25">
      <c r="A2644" s="5"/>
      <c r="B2644" s="5"/>
      <c r="C2644" s="5"/>
    </row>
    <row r="2645" spans="1:3" x14ac:dyDescent="0.25">
      <c r="A2645" s="5"/>
      <c r="B2645" s="5"/>
      <c r="C2645" s="5"/>
    </row>
    <row r="2646" spans="1:3" x14ac:dyDescent="0.25">
      <c r="A2646" s="5"/>
      <c r="B2646" s="5"/>
      <c r="C2646" s="5"/>
    </row>
    <row r="2647" spans="1:3" x14ac:dyDescent="0.25">
      <c r="A2647" s="5"/>
      <c r="B2647" s="5"/>
      <c r="C2647" s="5"/>
    </row>
    <row r="2648" spans="1:3" x14ac:dyDescent="0.25">
      <c r="A2648" s="5"/>
      <c r="B2648" s="5"/>
      <c r="C2648" s="5"/>
    </row>
    <row r="2649" spans="1:3" x14ac:dyDescent="0.25">
      <c r="A2649" s="5"/>
      <c r="B2649" s="5"/>
      <c r="C2649" s="5"/>
    </row>
    <row r="2650" spans="1:3" x14ac:dyDescent="0.25">
      <c r="A2650" s="5"/>
      <c r="B2650" s="5"/>
      <c r="C2650" s="5"/>
    </row>
    <row r="2651" spans="1:3" x14ac:dyDescent="0.25">
      <c r="A2651" s="5"/>
      <c r="B2651" s="5"/>
      <c r="C2651" s="5"/>
    </row>
    <row r="2652" spans="1:3" x14ac:dyDescent="0.25">
      <c r="A2652" s="5"/>
      <c r="B2652" s="5"/>
      <c r="C2652" s="5"/>
    </row>
    <row r="2653" spans="1:3" x14ac:dyDescent="0.25">
      <c r="A2653" s="5"/>
      <c r="B2653" s="5"/>
      <c r="C2653" s="5"/>
    </row>
    <row r="2654" spans="1:3" x14ac:dyDescent="0.25">
      <c r="A2654" s="5"/>
      <c r="B2654" s="5"/>
      <c r="C2654" s="5"/>
    </row>
    <row r="2655" spans="1:3" x14ac:dyDescent="0.25">
      <c r="A2655" s="5"/>
      <c r="B2655" s="5"/>
      <c r="C2655" s="5"/>
    </row>
    <row r="2656" spans="1:3" x14ac:dyDescent="0.25">
      <c r="A2656" s="5"/>
      <c r="B2656" s="5"/>
      <c r="C2656" s="5"/>
    </row>
    <row r="2657" spans="1:3" x14ac:dyDescent="0.25">
      <c r="A2657" s="5"/>
      <c r="B2657" s="5"/>
      <c r="C2657" s="5"/>
    </row>
    <row r="2658" spans="1:3" x14ac:dyDescent="0.25">
      <c r="A2658" s="5"/>
      <c r="B2658" s="5"/>
      <c r="C2658" s="5"/>
    </row>
    <row r="2659" spans="1:3" x14ac:dyDescent="0.25">
      <c r="A2659" s="5"/>
      <c r="B2659" s="5"/>
      <c r="C2659" s="5"/>
    </row>
    <row r="2660" spans="1:3" x14ac:dyDescent="0.25">
      <c r="A2660" s="5"/>
      <c r="B2660" s="5"/>
      <c r="C2660" s="5"/>
    </row>
    <row r="2661" spans="1:3" x14ac:dyDescent="0.25">
      <c r="A2661" s="5"/>
      <c r="B2661" s="5"/>
      <c r="C2661" s="5"/>
    </row>
    <row r="2662" spans="1:3" x14ac:dyDescent="0.25">
      <c r="A2662" s="5"/>
      <c r="B2662" s="5"/>
      <c r="C2662" s="5"/>
    </row>
    <row r="2663" spans="1:3" x14ac:dyDescent="0.25">
      <c r="A2663" s="5"/>
      <c r="B2663" s="5"/>
      <c r="C2663" s="5"/>
    </row>
    <row r="2664" spans="1:3" x14ac:dyDescent="0.25">
      <c r="A2664" s="5"/>
      <c r="B2664" s="5"/>
      <c r="C2664" s="5"/>
    </row>
    <row r="2665" spans="1:3" x14ac:dyDescent="0.25">
      <c r="A2665" s="5"/>
      <c r="B2665" s="5"/>
      <c r="C2665" s="5"/>
    </row>
    <row r="2666" spans="1:3" x14ac:dyDescent="0.25">
      <c r="A2666" s="5"/>
      <c r="B2666" s="5"/>
      <c r="C2666" s="5"/>
    </row>
    <row r="2667" spans="1:3" x14ac:dyDescent="0.25">
      <c r="A2667" s="5"/>
      <c r="B2667" s="5"/>
      <c r="C2667" s="5"/>
    </row>
    <row r="2668" spans="1:3" x14ac:dyDescent="0.25">
      <c r="A2668" s="5"/>
      <c r="B2668" s="5"/>
      <c r="C2668" s="5"/>
    </row>
    <row r="2669" spans="1:3" x14ac:dyDescent="0.25">
      <c r="A2669" s="5"/>
      <c r="B2669" s="5"/>
      <c r="C2669" s="5"/>
    </row>
    <row r="2670" spans="1:3" x14ac:dyDescent="0.25">
      <c r="A2670" s="5"/>
      <c r="B2670" s="5"/>
      <c r="C2670" s="5"/>
    </row>
    <row r="2671" spans="1:3" x14ac:dyDescent="0.25">
      <c r="A2671" s="5"/>
      <c r="B2671" s="5"/>
      <c r="C2671" s="5"/>
    </row>
    <row r="2672" spans="1:3" x14ac:dyDescent="0.25">
      <c r="A2672" s="5"/>
      <c r="B2672" s="5"/>
      <c r="C2672" s="5"/>
    </row>
    <row r="2673" spans="1:3" x14ac:dyDescent="0.25">
      <c r="A2673" s="5"/>
      <c r="B2673" s="5"/>
      <c r="C2673" s="5"/>
    </row>
    <row r="2674" spans="1:3" x14ac:dyDescent="0.25">
      <c r="A2674" s="5"/>
      <c r="B2674" s="5"/>
      <c r="C2674" s="5"/>
    </row>
    <row r="2675" spans="1:3" x14ac:dyDescent="0.25">
      <c r="A2675" s="5"/>
      <c r="B2675" s="5"/>
      <c r="C2675" s="5"/>
    </row>
    <row r="2676" spans="1:3" x14ac:dyDescent="0.25">
      <c r="A2676" s="5"/>
      <c r="B2676" s="5"/>
      <c r="C2676" s="5"/>
    </row>
    <row r="2677" spans="1:3" x14ac:dyDescent="0.25">
      <c r="A2677" s="5"/>
      <c r="B2677" s="5"/>
      <c r="C2677" s="5"/>
    </row>
    <row r="2678" spans="1:3" x14ac:dyDescent="0.25">
      <c r="A2678" s="5"/>
      <c r="B2678" s="5"/>
      <c r="C2678" s="5"/>
    </row>
    <row r="2679" spans="1:3" x14ac:dyDescent="0.25">
      <c r="A2679" s="5"/>
      <c r="B2679" s="5"/>
      <c r="C2679" s="5"/>
    </row>
    <row r="2680" spans="1:3" x14ac:dyDescent="0.25">
      <c r="A2680" s="5"/>
      <c r="B2680" s="5"/>
      <c r="C2680" s="5"/>
    </row>
    <row r="2681" spans="1:3" x14ac:dyDescent="0.25">
      <c r="A2681" s="5"/>
      <c r="B2681" s="5"/>
      <c r="C2681" s="5"/>
    </row>
    <row r="2682" spans="1:3" x14ac:dyDescent="0.25">
      <c r="A2682" s="5"/>
      <c r="B2682" s="5"/>
      <c r="C2682" s="5"/>
    </row>
    <row r="2683" spans="1:3" x14ac:dyDescent="0.25">
      <c r="A2683" s="5"/>
      <c r="B2683" s="5"/>
      <c r="C2683" s="5"/>
    </row>
    <row r="2684" spans="1:3" x14ac:dyDescent="0.25">
      <c r="A2684" s="5"/>
      <c r="B2684" s="5"/>
      <c r="C2684" s="5"/>
    </row>
    <row r="2685" spans="1:3" x14ac:dyDescent="0.25">
      <c r="A2685" s="5"/>
      <c r="B2685" s="5"/>
      <c r="C2685" s="5"/>
    </row>
    <row r="2686" spans="1:3" x14ac:dyDescent="0.25">
      <c r="A2686" s="5"/>
      <c r="B2686" s="5"/>
      <c r="C2686" s="5"/>
    </row>
    <row r="2687" spans="1:3" x14ac:dyDescent="0.25">
      <c r="A2687" s="5"/>
      <c r="B2687" s="5"/>
      <c r="C2687" s="5"/>
    </row>
    <row r="2688" spans="1:3" x14ac:dyDescent="0.25">
      <c r="A2688" s="5"/>
      <c r="B2688" s="5"/>
      <c r="C2688" s="5"/>
    </row>
    <row r="2689" spans="1:3" x14ac:dyDescent="0.25">
      <c r="A2689" s="5"/>
      <c r="B2689" s="5"/>
      <c r="C2689" s="5"/>
    </row>
    <row r="2690" spans="1:3" x14ac:dyDescent="0.25">
      <c r="A2690" s="5"/>
      <c r="B2690" s="5"/>
      <c r="C2690" s="5"/>
    </row>
    <row r="2691" spans="1:3" x14ac:dyDescent="0.25">
      <c r="A2691" s="5"/>
      <c r="B2691" s="5"/>
      <c r="C2691" s="5"/>
    </row>
    <row r="2692" spans="1:3" x14ac:dyDescent="0.25">
      <c r="A2692" s="5"/>
      <c r="B2692" s="5"/>
      <c r="C2692" s="5"/>
    </row>
    <row r="2693" spans="1:3" x14ac:dyDescent="0.25">
      <c r="A2693" s="5"/>
      <c r="B2693" s="5"/>
      <c r="C2693" s="5"/>
    </row>
    <row r="2694" spans="1:3" x14ac:dyDescent="0.25">
      <c r="A2694" s="5"/>
      <c r="B2694" s="5"/>
      <c r="C2694" s="5"/>
    </row>
    <row r="2695" spans="1:3" x14ac:dyDescent="0.25">
      <c r="A2695" s="5"/>
      <c r="B2695" s="5"/>
      <c r="C2695" s="5"/>
    </row>
    <row r="2696" spans="1:3" x14ac:dyDescent="0.25">
      <c r="A2696" s="5"/>
      <c r="B2696" s="5"/>
      <c r="C2696" s="5"/>
    </row>
    <row r="2697" spans="1:3" x14ac:dyDescent="0.25">
      <c r="A2697" s="5"/>
      <c r="B2697" s="5"/>
      <c r="C2697" s="5"/>
    </row>
    <row r="2698" spans="1:3" x14ac:dyDescent="0.25">
      <c r="A2698" s="5"/>
      <c r="B2698" s="5"/>
      <c r="C2698" s="5"/>
    </row>
    <row r="2699" spans="1:3" x14ac:dyDescent="0.25">
      <c r="A2699" s="5"/>
      <c r="B2699" s="5"/>
      <c r="C2699" s="5"/>
    </row>
    <row r="2700" spans="1:3" x14ac:dyDescent="0.25">
      <c r="A2700" s="5"/>
      <c r="B2700" s="5"/>
      <c r="C2700" s="5"/>
    </row>
    <row r="2701" spans="1:3" x14ac:dyDescent="0.25">
      <c r="A2701" s="5"/>
      <c r="B2701" s="5"/>
      <c r="C2701" s="5"/>
    </row>
    <row r="2702" spans="1:3" x14ac:dyDescent="0.25">
      <c r="A2702" s="5"/>
      <c r="B2702" s="5"/>
      <c r="C2702" s="5"/>
    </row>
    <row r="2703" spans="1:3" x14ac:dyDescent="0.25">
      <c r="A2703" s="5"/>
      <c r="B2703" s="5"/>
      <c r="C2703" s="5"/>
    </row>
    <row r="2704" spans="1:3" x14ac:dyDescent="0.25">
      <c r="A2704" s="5"/>
      <c r="B2704" s="5"/>
      <c r="C2704" s="5"/>
    </row>
    <row r="2705" spans="1:3" x14ac:dyDescent="0.25">
      <c r="A2705" s="5"/>
      <c r="B2705" s="5"/>
      <c r="C2705" s="5"/>
    </row>
    <row r="2706" spans="1:3" x14ac:dyDescent="0.25">
      <c r="A2706" s="5"/>
      <c r="B2706" s="5"/>
      <c r="C2706" s="5"/>
    </row>
    <row r="2707" spans="1:3" x14ac:dyDescent="0.25">
      <c r="A2707" s="5"/>
      <c r="B2707" s="5"/>
      <c r="C2707" s="5"/>
    </row>
    <row r="2708" spans="1:3" x14ac:dyDescent="0.25">
      <c r="A2708" s="5"/>
      <c r="B2708" s="5"/>
      <c r="C2708" s="5"/>
    </row>
    <row r="2709" spans="1:3" x14ac:dyDescent="0.25">
      <c r="A2709" s="5"/>
      <c r="B2709" s="5"/>
      <c r="C2709" s="5"/>
    </row>
    <row r="2710" spans="1:3" x14ac:dyDescent="0.25">
      <c r="A2710" s="5"/>
      <c r="B2710" s="5"/>
      <c r="C2710" s="5"/>
    </row>
    <row r="2711" spans="1:3" x14ac:dyDescent="0.25">
      <c r="A2711" s="5"/>
      <c r="B2711" s="5"/>
      <c r="C2711" s="5"/>
    </row>
    <row r="2712" spans="1:3" x14ac:dyDescent="0.25">
      <c r="A2712" s="5"/>
      <c r="B2712" s="5"/>
      <c r="C2712" s="5"/>
    </row>
    <row r="2713" spans="1:3" x14ac:dyDescent="0.25">
      <c r="A2713" s="5"/>
      <c r="B2713" s="5"/>
      <c r="C2713" s="5"/>
    </row>
    <row r="2714" spans="1:3" x14ac:dyDescent="0.25">
      <c r="A2714" s="5"/>
      <c r="B2714" s="5"/>
      <c r="C2714" s="5"/>
    </row>
    <row r="2715" spans="1:3" x14ac:dyDescent="0.25">
      <c r="A2715" s="5"/>
      <c r="B2715" s="5"/>
      <c r="C2715" s="5"/>
    </row>
    <row r="2716" spans="1:3" x14ac:dyDescent="0.25">
      <c r="A2716" s="5"/>
      <c r="B2716" s="5"/>
      <c r="C2716" s="5"/>
    </row>
    <row r="2717" spans="1:3" x14ac:dyDescent="0.25">
      <c r="A2717" s="5"/>
      <c r="B2717" s="5"/>
      <c r="C2717" s="5"/>
    </row>
    <row r="2718" spans="1:3" x14ac:dyDescent="0.25">
      <c r="A2718" s="5"/>
      <c r="B2718" s="5"/>
      <c r="C2718" s="5"/>
    </row>
    <row r="2719" spans="1:3" x14ac:dyDescent="0.25">
      <c r="A2719" s="5"/>
      <c r="B2719" s="5"/>
      <c r="C2719" s="5"/>
    </row>
    <row r="2720" spans="1:3" x14ac:dyDescent="0.25">
      <c r="A2720" s="5"/>
      <c r="B2720" s="5"/>
      <c r="C2720" s="5"/>
    </row>
    <row r="2721" spans="1:3" x14ac:dyDescent="0.25">
      <c r="A2721" s="5"/>
      <c r="B2721" s="5"/>
      <c r="C2721" s="5"/>
    </row>
    <row r="2722" spans="1:3" x14ac:dyDescent="0.25">
      <c r="A2722" s="5"/>
      <c r="B2722" s="5"/>
      <c r="C2722" s="5"/>
    </row>
    <row r="2723" spans="1:3" x14ac:dyDescent="0.25">
      <c r="A2723" s="5"/>
      <c r="B2723" s="5"/>
      <c r="C2723" s="5"/>
    </row>
    <row r="2724" spans="1:3" x14ac:dyDescent="0.25">
      <c r="A2724" s="5"/>
      <c r="B2724" s="5"/>
      <c r="C2724" s="5"/>
    </row>
    <row r="2725" spans="1:3" x14ac:dyDescent="0.25">
      <c r="A2725" s="5"/>
      <c r="B2725" s="5"/>
      <c r="C2725" s="5"/>
    </row>
    <row r="2726" spans="1:3" x14ac:dyDescent="0.25">
      <c r="A2726" s="5"/>
      <c r="B2726" s="5"/>
      <c r="C2726" s="5"/>
    </row>
    <row r="2727" spans="1:3" x14ac:dyDescent="0.25">
      <c r="A2727" s="5"/>
      <c r="B2727" s="5"/>
      <c r="C2727" s="5"/>
    </row>
    <row r="2728" spans="1:3" x14ac:dyDescent="0.25">
      <c r="A2728" s="5"/>
      <c r="B2728" s="5"/>
      <c r="C2728" s="5"/>
    </row>
    <row r="2729" spans="1:3" x14ac:dyDescent="0.25">
      <c r="A2729" s="5"/>
      <c r="B2729" s="5"/>
      <c r="C2729" s="5"/>
    </row>
    <row r="2730" spans="1:3" x14ac:dyDescent="0.25">
      <c r="A2730" s="5"/>
      <c r="B2730" s="5"/>
      <c r="C2730" s="5"/>
    </row>
    <row r="2731" spans="1:3" x14ac:dyDescent="0.25">
      <c r="A2731" s="5"/>
      <c r="B2731" s="5"/>
      <c r="C2731" s="5"/>
    </row>
    <row r="2732" spans="1:3" x14ac:dyDescent="0.25">
      <c r="A2732" s="5"/>
      <c r="B2732" s="5"/>
      <c r="C2732" s="5"/>
    </row>
    <row r="2733" spans="1:3" x14ac:dyDescent="0.25">
      <c r="A2733" s="5"/>
      <c r="B2733" s="5"/>
      <c r="C2733" s="5"/>
    </row>
    <row r="2734" spans="1:3" x14ac:dyDescent="0.25">
      <c r="A2734" s="5"/>
      <c r="B2734" s="5"/>
      <c r="C2734" s="5"/>
    </row>
    <row r="2735" spans="1:3" x14ac:dyDescent="0.25">
      <c r="A2735" s="5"/>
      <c r="B2735" s="5"/>
      <c r="C2735" s="5"/>
    </row>
    <row r="2736" spans="1:3" x14ac:dyDescent="0.25">
      <c r="A2736" s="5"/>
      <c r="B2736" s="5"/>
      <c r="C2736" s="5"/>
    </row>
    <row r="2737" spans="1:3" x14ac:dyDescent="0.25">
      <c r="A2737" s="5"/>
      <c r="B2737" s="5"/>
      <c r="C2737" s="5"/>
    </row>
    <row r="2738" spans="1:3" x14ac:dyDescent="0.25">
      <c r="A2738" s="5"/>
      <c r="B2738" s="5"/>
      <c r="C2738" s="5"/>
    </row>
    <row r="2739" spans="1:3" x14ac:dyDescent="0.25">
      <c r="A2739" s="5"/>
      <c r="B2739" s="5"/>
      <c r="C2739" s="5"/>
    </row>
    <row r="2740" spans="1:3" x14ac:dyDescent="0.25">
      <c r="A2740" s="5"/>
      <c r="B2740" s="5"/>
      <c r="C2740" s="5"/>
    </row>
    <row r="2741" spans="1:3" x14ac:dyDescent="0.25">
      <c r="A2741" s="5"/>
      <c r="B2741" s="5"/>
      <c r="C2741" s="5"/>
    </row>
    <row r="2742" spans="1:3" x14ac:dyDescent="0.25">
      <c r="A2742" s="5"/>
      <c r="B2742" s="5"/>
      <c r="C2742" s="5"/>
    </row>
    <row r="2743" spans="1:3" x14ac:dyDescent="0.25">
      <c r="A2743" s="5"/>
      <c r="B2743" s="5"/>
      <c r="C2743" s="5"/>
    </row>
    <row r="2744" spans="1:3" x14ac:dyDescent="0.25">
      <c r="A2744" s="5"/>
      <c r="B2744" s="5"/>
      <c r="C2744" s="5"/>
    </row>
    <row r="2745" spans="1:3" x14ac:dyDescent="0.25">
      <c r="A2745" s="5"/>
      <c r="B2745" s="5"/>
      <c r="C2745" s="5"/>
    </row>
    <row r="2746" spans="1:3" x14ac:dyDescent="0.25">
      <c r="A2746" s="5"/>
      <c r="B2746" s="5"/>
      <c r="C2746" s="5"/>
    </row>
    <row r="2747" spans="1:3" x14ac:dyDescent="0.25">
      <c r="A2747" s="5"/>
      <c r="B2747" s="5"/>
      <c r="C2747" s="5"/>
    </row>
    <row r="2748" spans="1:3" x14ac:dyDescent="0.25">
      <c r="A2748" s="5"/>
      <c r="B2748" s="5"/>
      <c r="C2748" s="5"/>
    </row>
    <row r="2749" spans="1:3" x14ac:dyDescent="0.25">
      <c r="A2749" s="5"/>
      <c r="B2749" s="5"/>
      <c r="C2749" s="5"/>
    </row>
    <row r="2750" spans="1:3" x14ac:dyDescent="0.25">
      <c r="A2750" s="5"/>
      <c r="B2750" s="5"/>
      <c r="C2750" s="5"/>
    </row>
    <row r="2751" spans="1:3" x14ac:dyDescent="0.25">
      <c r="A2751" s="5"/>
      <c r="B2751" s="5"/>
      <c r="C2751" s="5"/>
    </row>
    <row r="2752" spans="1:3" x14ac:dyDescent="0.25">
      <c r="A2752" s="5"/>
      <c r="B2752" s="5"/>
      <c r="C2752" s="5"/>
    </row>
    <row r="2753" spans="1:3" x14ac:dyDescent="0.25">
      <c r="A2753" s="5"/>
      <c r="B2753" s="5"/>
      <c r="C2753" s="5"/>
    </row>
    <row r="2754" spans="1:3" x14ac:dyDescent="0.25">
      <c r="A2754" s="5"/>
      <c r="B2754" s="5"/>
      <c r="C2754" s="5"/>
    </row>
    <row r="2755" spans="1:3" x14ac:dyDescent="0.25">
      <c r="A2755" s="5"/>
      <c r="B2755" s="5"/>
      <c r="C2755" s="5"/>
    </row>
    <row r="2756" spans="1:3" x14ac:dyDescent="0.25">
      <c r="A2756" s="5"/>
      <c r="B2756" s="5"/>
      <c r="C2756" s="5"/>
    </row>
    <row r="2757" spans="1:3" x14ac:dyDescent="0.25">
      <c r="A2757" s="5"/>
      <c r="B2757" s="5"/>
      <c r="C2757" s="5"/>
    </row>
    <row r="2758" spans="1:3" x14ac:dyDescent="0.25">
      <c r="A2758" s="5"/>
      <c r="B2758" s="5"/>
      <c r="C2758" s="5"/>
    </row>
    <row r="2759" spans="1:3" x14ac:dyDescent="0.25">
      <c r="A2759" s="5"/>
      <c r="B2759" s="5"/>
      <c r="C2759" s="5"/>
    </row>
    <row r="2760" spans="1:3" x14ac:dyDescent="0.25">
      <c r="A2760" s="5"/>
      <c r="B2760" s="5"/>
      <c r="C2760" s="5"/>
    </row>
    <row r="2761" spans="1:3" x14ac:dyDescent="0.25">
      <c r="A2761" s="5"/>
      <c r="B2761" s="5"/>
      <c r="C2761" s="5"/>
    </row>
    <row r="2762" spans="1:3" x14ac:dyDescent="0.25">
      <c r="A2762" s="5"/>
      <c r="B2762" s="5"/>
      <c r="C2762" s="5"/>
    </row>
    <row r="2763" spans="1:3" x14ac:dyDescent="0.25">
      <c r="A2763" s="5"/>
      <c r="B2763" s="5"/>
      <c r="C2763" s="5"/>
    </row>
    <row r="2764" spans="1:3" x14ac:dyDescent="0.25">
      <c r="A2764" s="5"/>
      <c r="B2764" s="5"/>
      <c r="C2764" s="5"/>
    </row>
    <row r="2765" spans="1:3" x14ac:dyDescent="0.25">
      <c r="A2765" s="5"/>
      <c r="B2765" s="5"/>
      <c r="C2765" s="5"/>
    </row>
    <row r="2766" spans="1:3" x14ac:dyDescent="0.25">
      <c r="A2766" s="5"/>
      <c r="B2766" s="5"/>
      <c r="C2766" s="5"/>
    </row>
    <row r="2767" spans="1:3" x14ac:dyDescent="0.25">
      <c r="A2767" s="5"/>
      <c r="B2767" s="5"/>
      <c r="C2767" s="5"/>
    </row>
    <row r="2768" spans="1:3" x14ac:dyDescent="0.25">
      <c r="A2768" s="5"/>
      <c r="B2768" s="5"/>
      <c r="C2768" s="5"/>
    </row>
    <row r="2769" spans="1:3" x14ac:dyDescent="0.25">
      <c r="A2769" s="5"/>
      <c r="B2769" s="5"/>
      <c r="C2769" s="5"/>
    </row>
    <row r="2770" spans="1:3" x14ac:dyDescent="0.25">
      <c r="A2770" s="5"/>
      <c r="B2770" s="5"/>
      <c r="C2770" s="5"/>
    </row>
    <row r="2771" spans="1:3" x14ac:dyDescent="0.25">
      <c r="A2771" s="5"/>
      <c r="B2771" s="5"/>
      <c r="C2771" s="5"/>
    </row>
    <row r="2772" spans="1:3" x14ac:dyDescent="0.25">
      <c r="A2772" s="5"/>
      <c r="B2772" s="5"/>
      <c r="C2772" s="5"/>
    </row>
    <row r="2773" spans="1:3" x14ac:dyDescent="0.25">
      <c r="A2773" s="5"/>
      <c r="B2773" s="5"/>
      <c r="C2773" s="5"/>
    </row>
    <row r="2774" spans="1:3" x14ac:dyDescent="0.25">
      <c r="A2774" s="5"/>
      <c r="B2774" s="5"/>
      <c r="C2774" s="5"/>
    </row>
    <row r="2775" spans="1:3" x14ac:dyDescent="0.25">
      <c r="A2775" s="5"/>
      <c r="B2775" s="5"/>
      <c r="C2775" s="5"/>
    </row>
    <row r="2776" spans="1:3" x14ac:dyDescent="0.25">
      <c r="A2776" s="5"/>
      <c r="B2776" s="5"/>
      <c r="C2776" s="5"/>
    </row>
    <row r="2777" spans="1:3" x14ac:dyDescent="0.25">
      <c r="A2777" s="5"/>
      <c r="B2777" s="5"/>
      <c r="C2777" s="5"/>
    </row>
    <row r="2778" spans="1:3" x14ac:dyDescent="0.25">
      <c r="A2778" s="5"/>
      <c r="B2778" s="5"/>
      <c r="C2778" s="5"/>
    </row>
    <row r="2779" spans="1:3" x14ac:dyDescent="0.25">
      <c r="A2779" s="5"/>
      <c r="B2779" s="5"/>
      <c r="C2779" s="5"/>
    </row>
    <row r="2780" spans="1:3" x14ac:dyDescent="0.25">
      <c r="A2780" s="5"/>
      <c r="B2780" s="5"/>
      <c r="C2780" s="5"/>
    </row>
    <row r="2781" spans="1:3" x14ac:dyDescent="0.25">
      <c r="A2781" s="5"/>
      <c r="B2781" s="5"/>
      <c r="C2781" s="5"/>
    </row>
    <row r="2782" spans="1:3" x14ac:dyDescent="0.25">
      <c r="A2782" s="5"/>
      <c r="B2782" s="5"/>
      <c r="C2782" s="5"/>
    </row>
    <row r="2783" spans="1:3" x14ac:dyDescent="0.25">
      <c r="A2783" s="5"/>
      <c r="B2783" s="5"/>
      <c r="C2783" s="5"/>
    </row>
    <row r="2784" spans="1:3" x14ac:dyDescent="0.25">
      <c r="A2784" s="5"/>
      <c r="B2784" s="5"/>
      <c r="C2784" s="5"/>
    </row>
    <row r="2785" spans="1:3" x14ac:dyDescent="0.25">
      <c r="A2785" s="5"/>
      <c r="B2785" s="5"/>
      <c r="C2785" s="5"/>
    </row>
    <row r="2786" spans="1:3" x14ac:dyDescent="0.25">
      <c r="A2786" s="5"/>
      <c r="B2786" s="5"/>
      <c r="C2786" s="5"/>
    </row>
    <row r="2787" spans="1:3" x14ac:dyDescent="0.25">
      <c r="A2787" s="5"/>
      <c r="B2787" s="5"/>
      <c r="C2787" s="5"/>
    </row>
    <row r="2788" spans="1:3" x14ac:dyDescent="0.25">
      <c r="A2788" s="5"/>
      <c r="B2788" s="5"/>
      <c r="C2788" s="5"/>
    </row>
    <row r="2789" spans="1:3" x14ac:dyDescent="0.25">
      <c r="A2789" s="5"/>
      <c r="B2789" s="5"/>
      <c r="C2789" s="5"/>
    </row>
    <row r="2790" spans="1:3" x14ac:dyDescent="0.25">
      <c r="A2790" s="5"/>
      <c r="B2790" s="5"/>
      <c r="C2790" s="5"/>
    </row>
    <row r="2791" spans="1:3" x14ac:dyDescent="0.25">
      <c r="A2791" s="5"/>
      <c r="B2791" s="5"/>
      <c r="C2791" s="5"/>
    </row>
    <row r="2792" spans="1:3" x14ac:dyDescent="0.25">
      <c r="A2792" s="5"/>
      <c r="B2792" s="5"/>
      <c r="C2792" s="5"/>
    </row>
    <row r="2793" spans="1:3" x14ac:dyDescent="0.25">
      <c r="A2793" s="5"/>
      <c r="B2793" s="5"/>
      <c r="C2793" s="5"/>
    </row>
    <row r="2794" spans="1:3" x14ac:dyDescent="0.25">
      <c r="A2794" s="5"/>
      <c r="B2794" s="5"/>
      <c r="C2794" s="5"/>
    </row>
    <row r="2795" spans="1:3" x14ac:dyDescent="0.25">
      <c r="A2795" s="5"/>
      <c r="B2795" s="5"/>
      <c r="C2795" s="5"/>
    </row>
    <row r="2796" spans="1:3" x14ac:dyDescent="0.25">
      <c r="A2796" s="5"/>
      <c r="B2796" s="5"/>
      <c r="C2796" s="5"/>
    </row>
    <row r="2797" spans="1:3" x14ac:dyDescent="0.25">
      <c r="A2797" s="5"/>
      <c r="B2797" s="5"/>
      <c r="C2797" s="5"/>
    </row>
    <row r="2798" spans="1:3" x14ac:dyDescent="0.25">
      <c r="A2798" s="5"/>
      <c r="B2798" s="5"/>
      <c r="C2798" s="5"/>
    </row>
    <row r="2799" spans="1:3" x14ac:dyDescent="0.25">
      <c r="A2799" s="5"/>
      <c r="B2799" s="5"/>
      <c r="C2799" s="5"/>
    </row>
    <row r="2800" spans="1:3" x14ac:dyDescent="0.25">
      <c r="A2800" s="5"/>
      <c r="B2800" s="5"/>
      <c r="C2800" s="5"/>
    </row>
    <row r="2801" spans="1:3" x14ac:dyDescent="0.25">
      <c r="A2801" s="5"/>
      <c r="B2801" s="5"/>
      <c r="C2801" s="5"/>
    </row>
    <row r="2802" spans="1:3" x14ac:dyDescent="0.25">
      <c r="A2802" s="5"/>
      <c r="B2802" s="5"/>
      <c r="C2802" s="5"/>
    </row>
    <row r="2803" spans="1:3" x14ac:dyDescent="0.25">
      <c r="A2803" s="5"/>
      <c r="B2803" s="5"/>
      <c r="C2803" s="5"/>
    </row>
    <row r="2804" spans="1:3" x14ac:dyDescent="0.25">
      <c r="A2804" s="5"/>
      <c r="B2804" s="5"/>
      <c r="C2804" s="5"/>
    </row>
    <row r="2805" spans="1:3" x14ac:dyDescent="0.25">
      <c r="A2805" s="5"/>
      <c r="B2805" s="5"/>
      <c r="C2805" s="5"/>
    </row>
    <row r="2806" spans="1:3" x14ac:dyDescent="0.25">
      <c r="A2806" s="5"/>
      <c r="B2806" s="5"/>
      <c r="C2806" s="5"/>
    </row>
    <row r="2807" spans="1:3" x14ac:dyDescent="0.25">
      <c r="A2807" s="5"/>
      <c r="B2807" s="5"/>
      <c r="C2807" s="5"/>
    </row>
    <row r="2808" spans="1:3" x14ac:dyDescent="0.25">
      <c r="A2808" s="5"/>
      <c r="B2808" s="5"/>
      <c r="C2808" s="5"/>
    </row>
    <row r="2809" spans="1:3" x14ac:dyDescent="0.25">
      <c r="A2809" s="5"/>
      <c r="B2809" s="5"/>
      <c r="C2809" s="5"/>
    </row>
    <row r="2810" spans="1:3" x14ac:dyDescent="0.25">
      <c r="A2810" s="5"/>
      <c r="B2810" s="5"/>
      <c r="C2810" s="5"/>
    </row>
    <row r="2811" spans="1:3" x14ac:dyDescent="0.25">
      <c r="A2811" s="5"/>
      <c r="B2811" s="5"/>
      <c r="C2811" s="5"/>
    </row>
    <row r="2812" spans="1:3" x14ac:dyDescent="0.25">
      <c r="A2812" s="5"/>
      <c r="B2812" s="5"/>
      <c r="C2812" s="5"/>
    </row>
    <row r="2813" spans="1:3" x14ac:dyDescent="0.25">
      <c r="A2813" s="5"/>
      <c r="B2813" s="5"/>
      <c r="C2813" s="5"/>
    </row>
    <row r="2814" spans="1:3" x14ac:dyDescent="0.25">
      <c r="A2814" s="5"/>
      <c r="B2814" s="5"/>
      <c r="C2814" s="5"/>
    </row>
    <row r="2815" spans="1:3" x14ac:dyDescent="0.25">
      <c r="A2815" s="5"/>
      <c r="B2815" s="5"/>
      <c r="C2815" s="5"/>
    </row>
    <row r="2816" spans="1:3" x14ac:dyDescent="0.25">
      <c r="A2816" s="5"/>
      <c r="B2816" s="5"/>
      <c r="C2816" s="5"/>
    </row>
    <row r="2817" spans="1:3" x14ac:dyDescent="0.25">
      <c r="A2817" s="5"/>
      <c r="B2817" s="5"/>
      <c r="C2817" s="5"/>
    </row>
    <row r="2818" spans="1:3" x14ac:dyDescent="0.25">
      <c r="A2818" s="5"/>
      <c r="B2818" s="5"/>
      <c r="C2818" s="5"/>
    </row>
    <row r="2819" spans="1:3" x14ac:dyDescent="0.25">
      <c r="A2819" s="5"/>
      <c r="B2819" s="5"/>
      <c r="C2819" s="5"/>
    </row>
    <row r="2820" spans="1:3" x14ac:dyDescent="0.25">
      <c r="A2820" s="5"/>
      <c r="B2820" s="5"/>
      <c r="C2820" s="5"/>
    </row>
    <row r="2821" spans="1:3" x14ac:dyDescent="0.25">
      <c r="A2821" s="5"/>
      <c r="B2821" s="5"/>
      <c r="C2821" s="5"/>
    </row>
    <row r="2822" spans="1:3" x14ac:dyDescent="0.25">
      <c r="A2822" s="5"/>
      <c r="B2822" s="5"/>
      <c r="C2822" s="5"/>
    </row>
    <row r="2823" spans="1:3" x14ac:dyDescent="0.25">
      <c r="A2823" s="5"/>
      <c r="B2823" s="5"/>
      <c r="C2823" s="5"/>
    </row>
    <row r="2824" spans="1:3" x14ac:dyDescent="0.25">
      <c r="A2824" s="5"/>
      <c r="B2824" s="5"/>
      <c r="C2824" s="5"/>
    </row>
    <row r="2825" spans="1:3" x14ac:dyDescent="0.25">
      <c r="A2825" s="5"/>
      <c r="B2825" s="5"/>
      <c r="C2825" s="5"/>
    </row>
    <row r="2826" spans="1:3" x14ac:dyDescent="0.25">
      <c r="A2826" s="5"/>
      <c r="B2826" s="5"/>
      <c r="C2826" s="5"/>
    </row>
    <row r="2827" spans="1:3" x14ac:dyDescent="0.25">
      <c r="A2827" s="5"/>
      <c r="B2827" s="5"/>
      <c r="C2827" s="5"/>
    </row>
    <row r="2828" spans="1:3" x14ac:dyDescent="0.25">
      <c r="A2828" s="5"/>
      <c r="B2828" s="5"/>
      <c r="C2828" s="5"/>
    </row>
    <row r="2829" spans="1:3" x14ac:dyDescent="0.25">
      <c r="A2829" s="5"/>
      <c r="B2829" s="5"/>
      <c r="C2829" s="5"/>
    </row>
    <row r="2830" spans="1:3" x14ac:dyDescent="0.25">
      <c r="A2830" s="5"/>
      <c r="B2830" s="5"/>
      <c r="C2830" s="5"/>
    </row>
    <row r="2831" spans="1:3" x14ac:dyDescent="0.25">
      <c r="A2831" s="5"/>
      <c r="B2831" s="5"/>
      <c r="C2831" s="5"/>
    </row>
    <row r="2832" spans="1:3" x14ac:dyDescent="0.25">
      <c r="A2832" s="5"/>
      <c r="B2832" s="5"/>
      <c r="C2832" s="5"/>
    </row>
    <row r="2833" spans="1:3" x14ac:dyDescent="0.25">
      <c r="A2833" s="5"/>
      <c r="B2833" s="5"/>
      <c r="C2833" s="5"/>
    </row>
    <row r="2834" spans="1:3" x14ac:dyDescent="0.25">
      <c r="A2834" s="5"/>
      <c r="B2834" s="5"/>
      <c r="C2834" s="5"/>
    </row>
    <row r="2835" spans="1:3" x14ac:dyDescent="0.25">
      <c r="A2835" s="5"/>
      <c r="B2835" s="5"/>
      <c r="C2835" s="5"/>
    </row>
    <row r="2836" spans="1:3" x14ac:dyDescent="0.25">
      <c r="A2836" s="5"/>
      <c r="B2836" s="5"/>
      <c r="C2836" s="5"/>
    </row>
    <row r="2837" spans="1:3" x14ac:dyDescent="0.25">
      <c r="A2837" s="5"/>
      <c r="B2837" s="5"/>
      <c r="C2837" s="5"/>
    </row>
    <row r="2838" spans="1:3" x14ac:dyDescent="0.25">
      <c r="A2838" s="5"/>
      <c r="B2838" s="5"/>
      <c r="C2838" s="5"/>
    </row>
    <row r="2839" spans="1:3" x14ac:dyDescent="0.25">
      <c r="A2839" s="5"/>
      <c r="B2839" s="5"/>
      <c r="C2839" s="5"/>
    </row>
    <row r="2840" spans="1:3" x14ac:dyDescent="0.25">
      <c r="A2840" s="5"/>
      <c r="B2840" s="5"/>
      <c r="C2840" s="5"/>
    </row>
    <row r="2841" spans="1:3" x14ac:dyDescent="0.25">
      <c r="A2841" s="5"/>
      <c r="B2841" s="5"/>
      <c r="C2841" s="5"/>
    </row>
    <row r="2842" spans="1:3" x14ac:dyDescent="0.25">
      <c r="A2842" s="5"/>
      <c r="B2842" s="5"/>
      <c r="C2842" s="5"/>
    </row>
    <row r="2843" spans="1:3" x14ac:dyDescent="0.25">
      <c r="A2843" s="5"/>
      <c r="B2843" s="5"/>
      <c r="C2843" s="5"/>
    </row>
    <row r="2844" spans="1:3" x14ac:dyDescent="0.25">
      <c r="A2844" s="5"/>
      <c r="B2844" s="5"/>
      <c r="C2844" s="5"/>
    </row>
    <row r="2845" spans="1:3" x14ac:dyDescent="0.25">
      <c r="A2845" s="5"/>
      <c r="B2845" s="5"/>
      <c r="C2845" s="5"/>
    </row>
    <row r="2846" spans="1:3" x14ac:dyDescent="0.25">
      <c r="A2846" s="5"/>
      <c r="B2846" s="5"/>
      <c r="C2846" s="5"/>
    </row>
    <row r="2847" spans="1:3" x14ac:dyDescent="0.25">
      <c r="A2847" s="5"/>
      <c r="B2847" s="5"/>
      <c r="C2847" s="5"/>
    </row>
    <row r="2848" spans="1:3" x14ac:dyDescent="0.25">
      <c r="A2848" s="5"/>
      <c r="B2848" s="5"/>
      <c r="C2848" s="5"/>
    </row>
    <row r="2849" spans="1:3" x14ac:dyDescent="0.25">
      <c r="A2849" s="5"/>
      <c r="B2849" s="5"/>
      <c r="C2849" s="5"/>
    </row>
    <row r="2850" spans="1:3" x14ac:dyDescent="0.25">
      <c r="A2850" s="5"/>
      <c r="B2850" s="5"/>
      <c r="C2850" s="5"/>
    </row>
    <row r="2851" spans="1:3" x14ac:dyDescent="0.25">
      <c r="A2851" s="5"/>
      <c r="B2851" s="5"/>
      <c r="C2851" s="5"/>
    </row>
    <row r="2852" spans="1:3" x14ac:dyDescent="0.25">
      <c r="A2852" s="5"/>
      <c r="B2852" s="5"/>
      <c r="C2852" s="5"/>
    </row>
    <row r="2853" spans="1:3" x14ac:dyDescent="0.25">
      <c r="A2853" s="5"/>
      <c r="B2853" s="5"/>
      <c r="C2853" s="5"/>
    </row>
    <row r="2854" spans="1:3" x14ac:dyDescent="0.25">
      <c r="A2854" s="5"/>
      <c r="B2854" s="5"/>
      <c r="C2854" s="5"/>
    </row>
    <row r="2855" spans="1:3" x14ac:dyDescent="0.25">
      <c r="A2855" s="5"/>
      <c r="B2855" s="5"/>
      <c r="C2855" s="5"/>
    </row>
    <row r="2856" spans="1:3" x14ac:dyDescent="0.25">
      <c r="A2856" s="5"/>
      <c r="B2856" s="5"/>
      <c r="C2856" s="5"/>
    </row>
    <row r="2857" spans="1:3" x14ac:dyDescent="0.25">
      <c r="A2857" s="5"/>
      <c r="B2857" s="5"/>
      <c r="C2857" s="5"/>
    </row>
    <row r="2858" spans="1:3" x14ac:dyDescent="0.25">
      <c r="A2858" s="5"/>
      <c r="B2858" s="5"/>
      <c r="C2858" s="5"/>
    </row>
    <row r="2859" spans="1:3" x14ac:dyDescent="0.25">
      <c r="A2859" s="5"/>
      <c r="B2859" s="5"/>
      <c r="C2859" s="5"/>
    </row>
    <row r="2860" spans="1:3" x14ac:dyDescent="0.25">
      <c r="A2860" s="5"/>
      <c r="B2860" s="5"/>
      <c r="C2860" s="5"/>
    </row>
    <row r="2861" spans="1:3" x14ac:dyDescent="0.25">
      <c r="A2861" s="5"/>
      <c r="B2861" s="5"/>
      <c r="C2861" s="5"/>
    </row>
    <row r="2862" spans="1:3" x14ac:dyDescent="0.25">
      <c r="A2862" s="5"/>
      <c r="B2862" s="5"/>
      <c r="C2862" s="5"/>
    </row>
    <row r="2863" spans="1:3" x14ac:dyDescent="0.25">
      <c r="A2863" s="5"/>
      <c r="B2863" s="5"/>
      <c r="C2863" s="5"/>
    </row>
    <row r="2864" spans="1:3" x14ac:dyDescent="0.25">
      <c r="A2864" s="5"/>
      <c r="B2864" s="5"/>
      <c r="C2864" s="5"/>
    </row>
    <row r="2865" spans="1:3" x14ac:dyDescent="0.25">
      <c r="A2865" s="5"/>
      <c r="B2865" s="5"/>
      <c r="C2865" s="5"/>
    </row>
    <row r="2866" spans="1:3" x14ac:dyDescent="0.25">
      <c r="A2866" s="5"/>
      <c r="B2866" s="5"/>
      <c r="C2866" s="5"/>
    </row>
    <row r="2867" spans="1:3" x14ac:dyDescent="0.25">
      <c r="A2867" s="5"/>
      <c r="B2867" s="5"/>
      <c r="C2867" s="5"/>
    </row>
    <row r="2868" spans="1:3" x14ac:dyDescent="0.25">
      <c r="A2868" s="5"/>
      <c r="B2868" s="5"/>
      <c r="C2868" s="5"/>
    </row>
    <row r="2869" spans="1:3" x14ac:dyDescent="0.25">
      <c r="A2869" s="5"/>
      <c r="B2869" s="5"/>
      <c r="C2869" s="5"/>
    </row>
    <row r="2870" spans="1:3" x14ac:dyDescent="0.25">
      <c r="A2870" s="5"/>
      <c r="B2870" s="5"/>
      <c r="C2870" s="5"/>
    </row>
    <row r="2871" spans="1:3" x14ac:dyDescent="0.25">
      <c r="A2871" s="5"/>
      <c r="B2871" s="5"/>
      <c r="C2871" s="5"/>
    </row>
    <row r="2872" spans="1:3" x14ac:dyDescent="0.25">
      <c r="A2872" s="5"/>
      <c r="B2872" s="5"/>
      <c r="C2872" s="5"/>
    </row>
    <row r="2873" spans="1:3" x14ac:dyDescent="0.25">
      <c r="A2873" s="5"/>
      <c r="B2873" s="5"/>
      <c r="C2873" s="5"/>
    </row>
    <row r="2874" spans="1:3" x14ac:dyDescent="0.25">
      <c r="A2874" s="5"/>
      <c r="B2874" s="5"/>
      <c r="C2874" s="5"/>
    </row>
    <row r="2875" spans="1:3" x14ac:dyDescent="0.25">
      <c r="A2875" s="5"/>
      <c r="B2875" s="5"/>
      <c r="C2875" s="5"/>
    </row>
    <row r="2876" spans="1:3" x14ac:dyDescent="0.25">
      <c r="A2876" s="5"/>
      <c r="B2876" s="5"/>
      <c r="C2876" s="5"/>
    </row>
    <row r="2877" spans="1:3" x14ac:dyDescent="0.25">
      <c r="A2877" s="5"/>
      <c r="B2877" s="5"/>
      <c r="C2877" s="5"/>
    </row>
    <row r="2878" spans="1:3" x14ac:dyDescent="0.25">
      <c r="A2878" s="5"/>
      <c r="B2878" s="5"/>
      <c r="C2878" s="5"/>
    </row>
    <row r="2879" spans="1:3" x14ac:dyDescent="0.25">
      <c r="A2879" s="5"/>
      <c r="B2879" s="5"/>
      <c r="C2879" s="5"/>
    </row>
    <row r="2880" spans="1:3" x14ac:dyDescent="0.25">
      <c r="A2880" s="5"/>
      <c r="B2880" s="5"/>
      <c r="C2880" s="5"/>
    </row>
    <row r="2881" spans="1:3" x14ac:dyDescent="0.25">
      <c r="A2881" s="5"/>
      <c r="B2881" s="5"/>
      <c r="C2881" s="5"/>
    </row>
    <row r="2882" spans="1:3" x14ac:dyDescent="0.25">
      <c r="A2882" s="5"/>
      <c r="B2882" s="5"/>
      <c r="C2882" s="5"/>
    </row>
    <row r="2883" spans="1:3" x14ac:dyDescent="0.25">
      <c r="A2883" s="5"/>
      <c r="B2883" s="5"/>
      <c r="C2883" s="5"/>
    </row>
    <row r="2884" spans="1:3" x14ac:dyDescent="0.25">
      <c r="A2884" s="5"/>
      <c r="B2884" s="5"/>
      <c r="C2884" s="5"/>
    </row>
    <row r="2885" spans="1:3" x14ac:dyDescent="0.25">
      <c r="A2885" s="5"/>
      <c r="B2885" s="5"/>
      <c r="C2885" s="5"/>
    </row>
    <row r="2886" spans="1:3" x14ac:dyDescent="0.25">
      <c r="A2886" s="5"/>
      <c r="B2886" s="5"/>
      <c r="C2886" s="5"/>
    </row>
    <row r="2887" spans="1:3" x14ac:dyDescent="0.25">
      <c r="A2887" s="5"/>
      <c r="B2887" s="5"/>
      <c r="C2887" s="5"/>
    </row>
    <row r="2888" spans="1:3" x14ac:dyDescent="0.25">
      <c r="A2888" s="5"/>
      <c r="B2888" s="5"/>
      <c r="C2888" s="5"/>
    </row>
    <row r="2889" spans="1:3" x14ac:dyDescent="0.25">
      <c r="A2889" s="5"/>
      <c r="B2889" s="5"/>
      <c r="C2889" s="5"/>
    </row>
    <row r="2890" spans="1:3" x14ac:dyDescent="0.25">
      <c r="A2890" s="5"/>
      <c r="B2890" s="5"/>
      <c r="C2890" s="5"/>
    </row>
    <row r="2891" spans="1:3" x14ac:dyDescent="0.25">
      <c r="A2891" s="5"/>
      <c r="B2891" s="5"/>
      <c r="C2891" s="5"/>
    </row>
    <row r="2892" spans="1:3" x14ac:dyDescent="0.25">
      <c r="A2892" s="5"/>
      <c r="B2892" s="5"/>
      <c r="C2892" s="5"/>
    </row>
    <row r="2893" spans="1:3" x14ac:dyDescent="0.25">
      <c r="A2893" s="5"/>
      <c r="B2893" s="5"/>
      <c r="C2893" s="5"/>
    </row>
    <row r="2894" spans="1:3" x14ac:dyDescent="0.25">
      <c r="A2894" s="5"/>
      <c r="B2894" s="5"/>
      <c r="C2894" s="5"/>
    </row>
    <row r="2895" spans="1:3" x14ac:dyDescent="0.25">
      <c r="A2895" s="5"/>
      <c r="B2895" s="5"/>
      <c r="C2895" s="5"/>
    </row>
    <row r="2896" spans="1:3" x14ac:dyDescent="0.25">
      <c r="A2896" s="5"/>
      <c r="B2896" s="5"/>
      <c r="C2896" s="5"/>
    </row>
    <row r="2897" spans="1:3" x14ac:dyDescent="0.25">
      <c r="A2897" s="5"/>
      <c r="B2897" s="5"/>
      <c r="C2897" s="5"/>
    </row>
    <row r="2898" spans="1:3" x14ac:dyDescent="0.25">
      <c r="A2898" s="5"/>
      <c r="B2898" s="5"/>
      <c r="C2898" s="5"/>
    </row>
    <row r="2899" spans="1:3" x14ac:dyDescent="0.25">
      <c r="A2899" s="5"/>
      <c r="B2899" s="5"/>
      <c r="C2899" s="5"/>
    </row>
    <row r="2900" spans="1:3" x14ac:dyDescent="0.25">
      <c r="A2900" s="5"/>
      <c r="B2900" s="5"/>
      <c r="C2900" s="5"/>
    </row>
    <row r="2901" spans="1:3" x14ac:dyDescent="0.25">
      <c r="A2901" s="5"/>
      <c r="B2901" s="5"/>
      <c r="C2901" s="5"/>
    </row>
    <row r="2902" spans="1:3" x14ac:dyDescent="0.25">
      <c r="A2902" s="5"/>
      <c r="B2902" s="5"/>
      <c r="C2902" s="5"/>
    </row>
    <row r="2903" spans="1:3" x14ac:dyDescent="0.25">
      <c r="A2903" s="5"/>
      <c r="B2903" s="5"/>
      <c r="C2903" s="5"/>
    </row>
    <row r="2904" spans="1:3" x14ac:dyDescent="0.25">
      <c r="A2904" s="5"/>
      <c r="B2904" s="5"/>
      <c r="C2904" s="5"/>
    </row>
    <row r="2905" spans="1:3" x14ac:dyDescent="0.25">
      <c r="A2905" s="5"/>
      <c r="B2905" s="5"/>
      <c r="C2905" s="5"/>
    </row>
    <row r="2906" spans="1:3" x14ac:dyDescent="0.25">
      <c r="A2906" s="5"/>
      <c r="B2906" s="5"/>
      <c r="C2906" s="5"/>
    </row>
    <row r="2907" spans="1:3" x14ac:dyDescent="0.25">
      <c r="A2907" s="5"/>
      <c r="B2907" s="5"/>
      <c r="C2907" s="5"/>
    </row>
    <row r="2908" spans="1:3" x14ac:dyDescent="0.25">
      <c r="A2908" s="5"/>
      <c r="B2908" s="5"/>
      <c r="C2908" s="5"/>
    </row>
    <row r="2909" spans="1:3" x14ac:dyDescent="0.25">
      <c r="A2909" s="5"/>
      <c r="B2909" s="5"/>
      <c r="C2909" s="5"/>
    </row>
    <row r="2910" spans="1:3" x14ac:dyDescent="0.25">
      <c r="A2910" s="5"/>
      <c r="B2910" s="5"/>
      <c r="C2910" s="5"/>
    </row>
    <row r="2911" spans="1:3" x14ac:dyDescent="0.25">
      <c r="A2911" s="5"/>
      <c r="B2911" s="5"/>
      <c r="C2911" s="5"/>
    </row>
    <row r="2912" spans="1:3" x14ac:dyDescent="0.25">
      <c r="A2912" s="5"/>
      <c r="B2912" s="5"/>
      <c r="C2912" s="5"/>
    </row>
    <row r="2913" spans="1:3" x14ac:dyDescent="0.25">
      <c r="A2913" s="5"/>
      <c r="B2913" s="5"/>
      <c r="C2913" s="5"/>
    </row>
    <row r="2914" spans="1:3" x14ac:dyDescent="0.25">
      <c r="A2914" s="5"/>
      <c r="B2914" s="5"/>
      <c r="C2914" s="5"/>
    </row>
    <row r="2915" spans="1:3" x14ac:dyDescent="0.25">
      <c r="A2915" s="5"/>
      <c r="B2915" s="5"/>
      <c r="C2915" s="5"/>
    </row>
    <row r="2916" spans="1:3" x14ac:dyDescent="0.25">
      <c r="A2916" s="5"/>
      <c r="B2916" s="5"/>
      <c r="C2916" s="5"/>
    </row>
    <row r="2917" spans="1:3" x14ac:dyDescent="0.25">
      <c r="A2917" s="5"/>
      <c r="B2917" s="5"/>
      <c r="C2917" s="5"/>
    </row>
    <row r="2918" spans="1:3" x14ac:dyDescent="0.25">
      <c r="A2918" s="5"/>
      <c r="B2918" s="5"/>
      <c r="C2918" s="5"/>
    </row>
    <row r="2919" spans="1:3" x14ac:dyDescent="0.25">
      <c r="A2919" s="5"/>
      <c r="B2919" s="5"/>
      <c r="C2919" s="5"/>
    </row>
    <row r="2920" spans="1:3" x14ac:dyDescent="0.25">
      <c r="A2920" s="5"/>
      <c r="B2920" s="5"/>
      <c r="C2920" s="5"/>
    </row>
    <row r="2921" spans="1:3" x14ac:dyDescent="0.25">
      <c r="A2921" s="5"/>
      <c r="B2921" s="5"/>
      <c r="C2921" s="5"/>
    </row>
    <row r="2922" spans="1:3" x14ac:dyDescent="0.25">
      <c r="A2922" s="5"/>
      <c r="B2922" s="5"/>
      <c r="C2922" s="5"/>
    </row>
    <row r="2923" spans="1:3" x14ac:dyDescent="0.25">
      <c r="A2923" s="5"/>
      <c r="B2923" s="5"/>
      <c r="C2923" s="5"/>
    </row>
    <row r="2924" spans="1:3" x14ac:dyDescent="0.25">
      <c r="A2924" s="5"/>
      <c r="B2924" s="5"/>
      <c r="C2924" s="5"/>
    </row>
    <row r="2925" spans="1:3" x14ac:dyDescent="0.25">
      <c r="A2925" s="5"/>
      <c r="B2925" s="5"/>
      <c r="C2925" s="5"/>
    </row>
    <row r="2926" spans="1:3" x14ac:dyDescent="0.25">
      <c r="A2926" s="5"/>
      <c r="B2926" s="5"/>
      <c r="C2926" s="5"/>
    </row>
    <row r="2927" spans="1:3" x14ac:dyDescent="0.25">
      <c r="A2927" s="5"/>
      <c r="B2927" s="5"/>
      <c r="C2927" s="5"/>
    </row>
    <row r="2928" spans="1:3" x14ac:dyDescent="0.25">
      <c r="A2928" s="5"/>
      <c r="B2928" s="5"/>
      <c r="C2928" s="5"/>
    </row>
    <row r="2929" spans="1:3" x14ac:dyDescent="0.25">
      <c r="A2929" s="5"/>
      <c r="B2929" s="5"/>
      <c r="C2929" s="5"/>
    </row>
    <row r="2930" spans="1:3" x14ac:dyDescent="0.25">
      <c r="A2930" s="5"/>
      <c r="B2930" s="5"/>
      <c r="C2930" s="5"/>
    </row>
    <row r="2931" spans="1:3" x14ac:dyDescent="0.25">
      <c r="A2931" s="5"/>
      <c r="B2931" s="5"/>
      <c r="C2931" s="5"/>
    </row>
    <row r="2932" spans="1:3" x14ac:dyDescent="0.25">
      <c r="A2932" s="5"/>
      <c r="B2932" s="5"/>
      <c r="C2932" s="5"/>
    </row>
    <row r="2933" spans="1:3" x14ac:dyDescent="0.25">
      <c r="A2933" s="5"/>
      <c r="B2933" s="5"/>
      <c r="C2933" s="5"/>
    </row>
    <row r="2934" spans="1:3" x14ac:dyDescent="0.25">
      <c r="A2934" s="5"/>
      <c r="B2934" s="5"/>
      <c r="C2934" s="5"/>
    </row>
    <row r="2935" spans="1:3" x14ac:dyDescent="0.25">
      <c r="A2935" s="5"/>
      <c r="B2935" s="5"/>
      <c r="C2935" s="5"/>
    </row>
    <row r="2936" spans="1:3" x14ac:dyDescent="0.25">
      <c r="A2936" s="5"/>
      <c r="B2936" s="5"/>
      <c r="C2936" s="5"/>
    </row>
    <row r="2937" spans="1:3" x14ac:dyDescent="0.25">
      <c r="A2937" s="5"/>
      <c r="B2937" s="5"/>
      <c r="C2937" s="5"/>
    </row>
    <row r="2938" spans="1:3" x14ac:dyDescent="0.25">
      <c r="A2938" s="5"/>
      <c r="B2938" s="5"/>
      <c r="C2938" s="5"/>
    </row>
    <row r="2939" spans="1:3" x14ac:dyDescent="0.25">
      <c r="A2939" s="5"/>
      <c r="B2939" s="5"/>
      <c r="C2939" s="5"/>
    </row>
    <row r="2940" spans="1:3" x14ac:dyDescent="0.25">
      <c r="A2940" s="5"/>
      <c r="B2940" s="5"/>
      <c r="C2940" s="5"/>
    </row>
    <row r="2941" spans="1:3" x14ac:dyDescent="0.25">
      <c r="A2941" s="5"/>
      <c r="B2941" s="5"/>
      <c r="C2941" s="5"/>
    </row>
    <row r="2942" spans="1:3" x14ac:dyDescent="0.25">
      <c r="A2942" s="5"/>
      <c r="B2942" s="5"/>
      <c r="C2942" s="5"/>
    </row>
    <row r="2943" spans="1:3" x14ac:dyDescent="0.25">
      <c r="A2943" s="5"/>
      <c r="B2943" s="5"/>
      <c r="C2943" s="5"/>
    </row>
    <row r="2944" spans="1:3" x14ac:dyDescent="0.25">
      <c r="A2944" s="5"/>
      <c r="B2944" s="5"/>
      <c r="C2944" s="5"/>
    </row>
    <row r="2945" spans="1:3" x14ac:dyDescent="0.25">
      <c r="A2945" s="5"/>
      <c r="B2945" s="5"/>
      <c r="C2945" s="5"/>
    </row>
    <row r="2946" spans="1:3" x14ac:dyDescent="0.25">
      <c r="A2946" s="5"/>
      <c r="B2946" s="5"/>
      <c r="C2946" s="5"/>
    </row>
    <row r="2947" spans="1:3" x14ac:dyDescent="0.25">
      <c r="A2947" s="5"/>
      <c r="B2947" s="5"/>
      <c r="C2947" s="5"/>
    </row>
    <row r="2948" spans="1:3" x14ac:dyDescent="0.25">
      <c r="A2948" s="5"/>
      <c r="B2948" s="5"/>
      <c r="C2948" s="5"/>
    </row>
    <row r="2949" spans="1:3" x14ac:dyDescent="0.25">
      <c r="A2949" s="5"/>
      <c r="B2949" s="5"/>
      <c r="C2949" s="5"/>
    </row>
    <row r="2950" spans="1:3" x14ac:dyDescent="0.25">
      <c r="A2950" s="5"/>
      <c r="B2950" s="5"/>
      <c r="C2950" s="5"/>
    </row>
    <row r="2951" spans="1:3" x14ac:dyDescent="0.25">
      <c r="A2951" s="5"/>
      <c r="B2951" s="5"/>
      <c r="C2951" s="5"/>
    </row>
    <row r="2952" spans="1:3" x14ac:dyDescent="0.25">
      <c r="A2952" s="5"/>
      <c r="B2952" s="5"/>
      <c r="C2952" s="5"/>
    </row>
    <row r="2953" spans="1:3" x14ac:dyDescent="0.25">
      <c r="A2953" s="5"/>
      <c r="B2953" s="5"/>
      <c r="C2953" s="5"/>
    </row>
    <row r="2954" spans="1:3" x14ac:dyDescent="0.25">
      <c r="A2954" s="5"/>
      <c r="B2954" s="5"/>
      <c r="C2954" s="5"/>
    </row>
    <row r="2955" spans="1:3" x14ac:dyDescent="0.25">
      <c r="A2955" s="5"/>
      <c r="B2955" s="5"/>
      <c r="C2955" s="5"/>
    </row>
    <row r="2956" spans="1:3" x14ac:dyDescent="0.25">
      <c r="A2956" s="5"/>
      <c r="B2956" s="5"/>
      <c r="C2956" s="5"/>
    </row>
    <row r="2957" spans="1:3" x14ac:dyDescent="0.25">
      <c r="A2957" s="5"/>
      <c r="B2957" s="5"/>
      <c r="C2957" s="5"/>
    </row>
    <row r="2958" spans="1:3" x14ac:dyDescent="0.25">
      <c r="A2958" s="5"/>
      <c r="B2958" s="5"/>
      <c r="C2958" s="5"/>
    </row>
    <row r="2959" spans="1:3" x14ac:dyDescent="0.25">
      <c r="A2959" s="5"/>
      <c r="B2959" s="5"/>
      <c r="C2959" s="5"/>
    </row>
    <row r="2960" spans="1:3" x14ac:dyDescent="0.25">
      <c r="A2960" s="5"/>
      <c r="B2960" s="5"/>
      <c r="C2960" s="5"/>
    </row>
    <row r="2961" spans="1:3" x14ac:dyDescent="0.25">
      <c r="A2961" s="5"/>
      <c r="B2961" s="5"/>
      <c r="C2961" s="5"/>
    </row>
    <row r="2962" spans="1:3" x14ac:dyDescent="0.25">
      <c r="A2962" s="5"/>
      <c r="B2962" s="5"/>
      <c r="C2962" s="5"/>
    </row>
    <row r="2963" spans="1:3" x14ac:dyDescent="0.25">
      <c r="A2963" s="5"/>
      <c r="B2963" s="5"/>
      <c r="C2963" s="5"/>
    </row>
    <row r="2964" spans="1:3" x14ac:dyDescent="0.25">
      <c r="A2964" s="5"/>
      <c r="B2964" s="5"/>
      <c r="C2964" s="5"/>
    </row>
    <row r="2965" spans="1:3" x14ac:dyDescent="0.25">
      <c r="A2965" s="5"/>
      <c r="B2965" s="5"/>
      <c r="C2965" s="5"/>
    </row>
    <row r="2966" spans="1:3" x14ac:dyDescent="0.25">
      <c r="A2966" s="5"/>
      <c r="B2966" s="5"/>
      <c r="C2966" s="5"/>
    </row>
    <row r="2967" spans="1:3" x14ac:dyDescent="0.25">
      <c r="A2967" s="5"/>
      <c r="B2967" s="5"/>
      <c r="C2967" s="5"/>
    </row>
    <row r="2968" spans="1:3" x14ac:dyDescent="0.25">
      <c r="A2968" s="5"/>
      <c r="B2968" s="5"/>
      <c r="C2968" s="5"/>
    </row>
    <row r="2969" spans="1:3" x14ac:dyDescent="0.25">
      <c r="A2969" s="5"/>
      <c r="B2969" s="5"/>
      <c r="C2969" s="5"/>
    </row>
    <row r="2970" spans="1:3" x14ac:dyDescent="0.25">
      <c r="A2970" s="5"/>
      <c r="B2970" s="5"/>
      <c r="C2970" s="5"/>
    </row>
    <row r="2971" spans="1:3" x14ac:dyDescent="0.25">
      <c r="A2971" s="5"/>
      <c r="B2971" s="5"/>
      <c r="C2971" s="5"/>
    </row>
    <row r="2972" spans="1:3" x14ac:dyDescent="0.25">
      <c r="A2972" s="5"/>
      <c r="B2972" s="5"/>
      <c r="C2972" s="5"/>
    </row>
    <row r="2973" spans="1:3" x14ac:dyDescent="0.25">
      <c r="A2973" s="5"/>
      <c r="B2973" s="5"/>
      <c r="C2973" s="5"/>
    </row>
    <row r="2974" spans="1:3" x14ac:dyDescent="0.25">
      <c r="A2974" s="5"/>
      <c r="B2974" s="5"/>
      <c r="C2974" s="5"/>
    </row>
    <row r="2975" spans="1:3" x14ac:dyDescent="0.25">
      <c r="A2975" s="5"/>
      <c r="B2975" s="5"/>
      <c r="C2975" s="5"/>
    </row>
    <row r="2976" spans="1:3" x14ac:dyDescent="0.25">
      <c r="A2976" s="5"/>
      <c r="B2976" s="5"/>
      <c r="C2976" s="5"/>
    </row>
    <row r="2977" spans="1:3" x14ac:dyDescent="0.25">
      <c r="A2977" s="5"/>
      <c r="B2977" s="5"/>
      <c r="C2977" s="5"/>
    </row>
    <row r="2978" spans="1:3" x14ac:dyDescent="0.25">
      <c r="A2978" s="5"/>
      <c r="B2978" s="5"/>
      <c r="C2978" s="5"/>
    </row>
    <row r="2979" spans="1:3" x14ac:dyDescent="0.25">
      <c r="A2979" s="5"/>
      <c r="B2979" s="5"/>
      <c r="C2979" s="5"/>
    </row>
    <row r="2980" spans="1:3" x14ac:dyDescent="0.25">
      <c r="A2980" s="5"/>
      <c r="B2980" s="5"/>
      <c r="C2980" s="5"/>
    </row>
    <row r="2981" spans="1:3" x14ac:dyDescent="0.25">
      <c r="A2981" s="5"/>
      <c r="B2981" s="5"/>
      <c r="C2981" s="5"/>
    </row>
    <row r="2982" spans="1:3" x14ac:dyDescent="0.25">
      <c r="A2982" s="5"/>
      <c r="B2982" s="5"/>
      <c r="C2982" s="5"/>
    </row>
    <row r="2983" spans="1:3" x14ac:dyDescent="0.25">
      <c r="A2983" s="5"/>
      <c r="B2983" s="5"/>
      <c r="C2983" s="5"/>
    </row>
    <row r="2984" spans="1:3" x14ac:dyDescent="0.25">
      <c r="A2984" s="5"/>
      <c r="B2984" s="5"/>
      <c r="C2984" s="5"/>
    </row>
    <row r="2985" spans="1:3" x14ac:dyDescent="0.25">
      <c r="A2985" s="5"/>
      <c r="B2985" s="5"/>
      <c r="C2985" s="5"/>
    </row>
    <row r="2986" spans="1:3" x14ac:dyDescent="0.25">
      <c r="A2986" s="5"/>
      <c r="B2986" s="5"/>
      <c r="C2986" s="5"/>
    </row>
    <row r="2987" spans="1:3" x14ac:dyDescent="0.25">
      <c r="A2987" s="5"/>
      <c r="B2987" s="5"/>
      <c r="C2987" s="5"/>
    </row>
    <row r="2988" spans="1:3" x14ac:dyDescent="0.25">
      <c r="A2988" s="5"/>
      <c r="B2988" s="5"/>
      <c r="C2988" s="5"/>
    </row>
    <row r="2989" spans="1:3" x14ac:dyDescent="0.25">
      <c r="A2989" s="5"/>
      <c r="B2989" s="5"/>
      <c r="C2989" s="5"/>
    </row>
    <row r="2990" spans="1:3" x14ac:dyDescent="0.25">
      <c r="A2990" s="5"/>
      <c r="B2990" s="5"/>
      <c r="C2990" s="5"/>
    </row>
    <row r="2991" spans="1:3" x14ac:dyDescent="0.25">
      <c r="A2991" s="5"/>
      <c r="B2991" s="5"/>
      <c r="C2991" s="5"/>
    </row>
    <row r="2992" spans="1:3" x14ac:dyDescent="0.25">
      <c r="A2992" s="5"/>
      <c r="B2992" s="5"/>
      <c r="C2992" s="5"/>
    </row>
    <row r="2993" spans="1:3" x14ac:dyDescent="0.25">
      <c r="A2993" s="5"/>
      <c r="B2993" s="5"/>
      <c r="C2993" s="5"/>
    </row>
    <row r="2994" spans="1:3" x14ac:dyDescent="0.25">
      <c r="A2994" s="5"/>
      <c r="B2994" s="5"/>
      <c r="C2994" s="5"/>
    </row>
    <row r="2995" spans="1:3" x14ac:dyDescent="0.25">
      <c r="A2995" s="5"/>
      <c r="B2995" s="5"/>
      <c r="C2995" s="5"/>
    </row>
    <row r="2996" spans="1:3" x14ac:dyDescent="0.25">
      <c r="A2996" s="5"/>
      <c r="B2996" s="5"/>
      <c r="C2996" s="5"/>
    </row>
    <row r="2997" spans="1:3" x14ac:dyDescent="0.25">
      <c r="A2997" s="5"/>
      <c r="B2997" s="5"/>
      <c r="C2997" s="5"/>
    </row>
    <row r="2998" spans="1:3" x14ac:dyDescent="0.25">
      <c r="A2998" s="5"/>
      <c r="B2998" s="5"/>
      <c r="C2998" s="5"/>
    </row>
    <row r="2999" spans="1:3" x14ac:dyDescent="0.25">
      <c r="A2999" s="5"/>
      <c r="B2999" s="5"/>
      <c r="C2999" s="5"/>
    </row>
    <row r="3000" spans="1:3" x14ac:dyDescent="0.25">
      <c r="A3000" s="5"/>
      <c r="B3000" s="5"/>
      <c r="C3000" s="5"/>
    </row>
    <row r="3001" spans="1:3" x14ac:dyDescent="0.25">
      <c r="A3001" s="5"/>
      <c r="B3001" s="5"/>
      <c r="C3001" s="5"/>
    </row>
    <row r="3002" spans="1:3" x14ac:dyDescent="0.25">
      <c r="A3002" s="5"/>
      <c r="B3002" s="5"/>
      <c r="C3002" s="5"/>
    </row>
    <row r="3003" spans="1:3" x14ac:dyDescent="0.25">
      <c r="A3003" s="5"/>
      <c r="B3003" s="5"/>
      <c r="C3003" s="5"/>
    </row>
    <row r="3004" spans="1:3" x14ac:dyDescent="0.25">
      <c r="A3004" s="5"/>
      <c r="B3004" s="5"/>
      <c r="C3004" s="5"/>
    </row>
    <row r="3005" spans="1:3" x14ac:dyDescent="0.25">
      <c r="A3005" s="5"/>
      <c r="B3005" s="5"/>
      <c r="C3005" s="5"/>
    </row>
    <row r="3006" spans="1:3" x14ac:dyDescent="0.25">
      <c r="A3006" s="5"/>
      <c r="B3006" s="5"/>
      <c r="C3006" s="5"/>
    </row>
    <row r="3007" spans="1:3" x14ac:dyDescent="0.25">
      <c r="A3007" s="5"/>
      <c r="B3007" s="5"/>
      <c r="C3007" s="5"/>
    </row>
    <row r="3008" spans="1:3" x14ac:dyDescent="0.25">
      <c r="A3008" s="5"/>
      <c r="B3008" s="5"/>
      <c r="C3008" s="5"/>
    </row>
    <row r="3009" spans="1:3" x14ac:dyDescent="0.25">
      <c r="A3009" s="5"/>
      <c r="B3009" s="5"/>
      <c r="C3009" s="5"/>
    </row>
    <row r="3010" spans="1:3" x14ac:dyDescent="0.25">
      <c r="A3010" s="5"/>
      <c r="B3010" s="5"/>
      <c r="C3010" s="5"/>
    </row>
    <row r="3011" spans="1:3" x14ac:dyDescent="0.25">
      <c r="A3011" s="5"/>
      <c r="B3011" s="5"/>
      <c r="C3011" s="5"/>
    </row>
    <row r="3012" spans="1:3" x14ac:dyDescent="0.25">
      <c r="A3012" s="5"/>
      <c r="B3012" s="5"/>
      <c r="C3012" s="5"/>
    </row>
    <row r="3013" spans="1:3" x14ac:dyDescent="0.25">
      <c r="A3013" s="5"/>
      <c r="B3013" s="5"/>
      <c r="C3013" s="5"/>
    </row>
    <row r="3014" spans="1:3" x14ac:dyDescent="0.25">
      <c r="A3014" s="5"/>
      <c r="B3014" s="5"/>
      <c r="C3014" s="5"/>
    </row>
    <row r="3015" spans="1:3" x14ac:dyDescent="0.25">
      <c r="A3015" s="5"/>
      <c r="B3015" s="5"/>
      <c r="C3015" s="5"/>
    </row>
    <row r="3016" spans="1:3" x14ac:dyDescent="0.25">
      <c r="A3016" s="5"/>
      <c r="B3016" s="5"/>
      <c r="C3016" s="5"/>
    </row>
    <row r="3017" spans="1:3" x14ac:dyDescent="0.25">
      <c r="A3017" s="5"/>
      <c r="B3017" s="5"/>
      <c r="C3017" s="5"/>
    </row>
    <row r="3018" spans="1:3" x14ac:dyDescent="0.25">
      <c r="A3018" s="5"/>
      <c r="B3018" s="5"/>
      <c r="C3018" s="5"/>
    </row>
    <row r="3019" spans="1:3" x14ac:dyDescent="0.25">
      <c r="A3019" s="5"/>
      <c r="B3019" s="5"/>
      <c r="C3019" s="5"/>
    </row>
    <row r="3020" spans="1:3" x14ac:dyDescent="0.25">
      <c r="A3020" s="5"/>
      <c r="B3020" s="5"/>
      <c r="C3020" s="5"/>
    </row>
    <row r="3021" spans="1:3" x14ac:dyDescent="0.25">
      <c r="A3021" s="5"/>
      <c r="B3021" s="5"/>
      <c r="C3021" s="5"/>
    </row>
    <row r="3022" spans="1:3" x14ac:dyDescent="0.25">
      <c r="A3022" s="5"/>
      <c r="B3022" s="5"/>
      <c r="C3022" s="5"/>
    </row>
    <row r="3023" spans="1:3" x14ac:dyDescent="0.25">
      <c r="A3023" s="5"/>
      <c r="B3023" s="5"/>
      <c r="C3023" s="5"/>
    </row>
    <row r="3024" spans="1:3" x14ac:dyDescent="0.25">
      <c r="A3024" s="5"/>
      <c r="B3024" s="5"/>
      <c r="C3024" s="5"/>
    </row>
    <row r="3025" spans="1:3" x14ac:dyDescent="0.25">
      <c r="A3025" s="5"/>
      <c r="B3025" s="5"/>
      <c r="C3025" s="5"/>
    </row>
    <row r="3026" spans="1:3" x14ac:dyDescent="0.25">
      <c r="A3026" s="5"/>
      <c r="B3026" s="5"/>
      <c r="C3026" s="5"/>
    </row>
    <row r="3027" spans="1:3" x14ac:dyDescent="0.25">
      <c r="A3027" s="5"/>
      <c r="B3027" s="5"/>
      <c r="C3027" s="5"/>
    </row>
    <row r="3028" spans="1:3" x14ac:dyDescent="0.25">
      <c r="A3028" s="5"/>
      <c r="B3028" s="5"/>
      <c r="C3028" s="5"/>
    </row>
    <row r="3029" spans="1:3" x14ac:dyDescent="0.25">
      <c r="A3029" s="5"/>
      <c r="B3029" s="5"/>
      <c r="C3029" s="5"/>
    </row>
    <row r="3030" spans="1:3" x14ac:dyDescent="0.25">
      <c r="A3030" s="5"/>
      <c r="B3030" s="5"/>
      <c r="C3030" s="5"/>
    </row>
    <row r="3031" spans="1:3" x14ac:dyDescent="0.25">
      <c r="A3031" s="5"/>
      <c r="B3031" s="5"/>
      <c r="C3031" s="5"/>
    </row>
    <row r="3032" spans="1:3" x14ac:dyDescent="0.25">
      <c r="A3032" s="5"/>
      <c r="B3032" s="5"/>
      <c r="C3032" s="5"/>
    </row>
    <row r="3033" spans="1:3" x14ac:dyDescent="0.25">
      <c r="A3033" s="5"/>
      <c r="B3033" s="5"/>
      <c r="C3033" s="5"/>
    </row>
    <row r="3034" spans="1:3" x14ac:dyDescent="0.25">
      <c r="A3034" s="5"/>
      <c r="B3034" s="5"/>
      <c r="C3034" s="5"/>
    </row>
    <row r="3035" spans="1:3" x14ac:dyDescent="0.25">
      <c r="A3035" s="5"/>
      <c r="B3035" s="5"/>
      <c r="C3035" s="5"/>
    </row>
    <row r="3036" spans="1:3" x14ac:dyDescent="0.25">
      <c r="A3036" s="5"/>
      <c r="B3036" s="5"/>
      <c r="C3036" s="5"/>
    </row>
    <row r="3037" spans="1:3" x14ac:dyDescent="0.25">
      <c r="A3037" s="5"/>
      <c r="B3037" s="5"/>
      <c r="C3037" s="5"/>
    </row>
    <row r="3038" spans="1:3" x14ac:dyDescent="0.25">
      <c r="A3038" s="5"/>
      <c r="B3038" s="5"/>
      <c r="C3038" s="5"/>
    </row>
    <row r="3039" spans="1:3" x14ac:dyDescent="0.25">
      <c r="A3039" s="5"/>
      <c r="B3039" s="5"/>
      <c r="C3039" s="5"/>
    </row>
    <row r="3040" spans="1:3" x14ac:dyDescent="0.25">
      <c r="A3040" s="5"/>
      <c r="B3040" s="5"/>
      <c r="C3040" s="5"/>
    </row>
    <row r="3041" spans="1:3" x14ac:dyDescent="0.25">
      <c r="A3041" s="5"/>
      <c r="B3041" s="5"/>
      <c r="C3041" s="5"/>
    </row>
    <row r="3042" spans="1:3" x14ac:dyDescent="0.25">
      <c r="A3042" s="5"/>
      <c r="B3042" s="5"/>
      <c r="C3042" s="5"/>
    </row>
    <row r="3043" spans="1:3" x14ac:dyDescent="0.25">
      <c r="A3043" s="5"/>
      <c r="B3043" s="5"/>
      <c r="C3043" s="5"/>
    </row>
    <row r="3044" spans="1:3" x14ac:dyDescent="0.25">
      <c r="A3044" s="5"/>
      <c r="B3044" s="5"/>
      <c r="C3044" s="5"/>
    </row>
    <row r="3045" spans="1:3" x14ac:dyDescent="0.25">
      <c r="A3045" s="5"/>
      <c r="B3045" s="5"/>
      <c r="C3045" s="5"/>
    </row>
    <row r="3046" spans="1:3" x14ac:dyDescent="0.25">
      <c r="A3046" s="5"/>
      <c r="B3046" s="5"/>
      <c r="C3046" s="5"/>
    </row>
    <row r="3047" spans="1:3" x14ac:dyDescent="0.25">
      <c r="A3047" s="5"/>
      <c r="B3047" s="5"/>
      <c r="C3047" s="5"/>
    </row>
    <row r="3048" spans="1:3" x14ac:dyDescent="0.25">
      <c r="A3048" s="5"/>
      <c r="B3048" s="5"/>
      <c r="C3048" s="5"/>
    </row>
    <row r="3049" spans="1:3" x14ac:dyDescent="0.25">
      <c r="A3049" s="5"/>
      <c r="B3049" s="5"/>
      <c r="C3049" s="5"/>
    </row>
    <row r="3050" spans="1:3" x14ac:dyDescent="0.25">
      <c r="A3050" s="5"/>
      <c r="B3050" s="5"/>
      <c r="C3050" s="5"/>
    </row>
    <row r="3051" spans="1:3" x14ac:dyDescent="0.25">
      <c r="A3051" s="5"/>
      <c r="B3051" s="5"/>
      <c r="C3051" s="5"/>
    </row>
    <row r="3052" spans="1:3" x14ac:dyDescent="0.25">
      <c r="A3052" s="5"/>
      <c r="B3052" s="5"/>
      <c r="C3052" s="5"/>
    </row>
    <row r="3053" spans="1:3" x14ac:dyDescent="0.25">
      <c r="A3053" s="5"/>
      <c r="B3053" s="5"/>
      <c r="C3053" s="5"/>
    </row>
    <row r="3054" spans="1:3" x14ac:dyDescent="0.25">
      <c r="A3054" s="5"/>
      <c r="B3054" s="5"/>
      <c r="C3054" s="5"/>
    </row>
    <row r="3055" spans="1:3" x14ac:dyDescent="0.25">
      <c r="A3055" s="5"/>
      <c r="B3055" s="5"/>
      <c r="C3055" s="5"/>
    </row>
    <row r="3056" spans="1:3" x14ac:dyDescent="0.25">
      <c r="A3056" s="5"/>
      <c r="B3056" s="5"/>
      <c r="C3056" s="5"/>
    </row>
    <row r="3057" spans="1:3" x14ac:dyDescent="0.25">
      <c r="A3057" s="5"/>
      <c r="B3057" s="5"/>
      <c r="C3057" s="5"/>
    </row>
    <row r="3058" spans="1:3" x14ac:dyDescent="0.25">
      <c r="A3058" s="5"/>
      <c r="B3058" s="5"/>
      <c r="C3058" s="5"/>
    </row>
    <row r="3059" spans="1:3" x14ac:dyDescent="0.25">
      <c r="A3059" s="5"/>
      <c r="B3059" s="5"/>
      <c r="C3059" s="5"/>
    </row>
    <row r="3060" spans="1:3" x14ac:dyDescent="0.25">
      <c r="A3060" s="5"/>
      <c r="B3060" s="5"/>
      <c r="C3060" s="5"/>
    </row>
    <row r="3061" spans="1:3" x14ac:dyDescent="0.25">
      <c r="A3061" s="5"/>
      <c r="B3061" s="5"/>
      <c r="C3061" s="5"/>
    </row>
    <row r="3062" spans="1:3" x14ac:dyDescent="0.25">
      <c r="A3062" s="5"/>
      <c r="B3062" s="5"/>
      <c r="C3062" s="5"/>
    </row>
    <row r="3063" spans="1:3" x14ac:dyDescent="0.25">
      <c r="A3063" s="5"/>
      <c r="B3063" s="5"/>
      <c r="C3063" s="5"/>
    </row>
    <row r="3064" spans="1:3" x14ac:dyDescent="0.25">
      <c r="A3064" s="5"/>
      <c r="B3064" s="5"/>
      <c r="C3064" s="5"/>
    </row>
    <row r="3065" spans="1:3" x14ac:dyDescent="0.25">
      <c r="A3065" s="5"/>
      <c r="B3065" s="5"/>
      <c r="C3065" s="5"/>
    </row>
    <row r="3066" spans="1:3" x14ac:dyDescent="0.25">
      <c r="A3066" s="5"/>
      <c r="B3066" s="5"/>
      <c r="C3066" s="5"/>
    </row>
    <row r="3067" spans="1:3" x14ac:dyDescent="0.25">
      <c r="A3067" s="5"/>
      <c r="B3067" s="5"/>
      <c r="C3067" s="5"/>
    </row>
    <row r="3068" spans="1:3" x14ac:dyDescent="0.25">
      <c r="A3068" s="5"/>
      <c r="B3068" s="5"/>
      <c r="C3068" s="5"/>
    </row>
    <row r="3069" spans="1:3" x14ac:dyDescent="0.25">
      <c r="A3069" s="5"/>
      <c r="B3069" s="5"/>
      <c r="C3069" s="5"/>
    </row>
    <row r="3070" spans="1:3" x14ac:dyDescent="0.25">
      <c r="A3070" s="5"/>
      <c r="B3070" s="5"/>
      <c r="C3070" s="5"/>
    </row>
    <row r="3071" spans="1:3" x14ac:dyDescent="0.25">
      <c r="A3071" s="5"/>
      <c r="B3071" s="5"/>
      <c r="C3071" s="5"/>
    </row>
    <row r="3072" spans="1:3" x14ac:dyDescent="0.25">
      <c r="A3072" s="5"/>
      <c r="B3072" s="5"/>
      <c r="C3072" s="5"/>
    </row>
    <row r="3073" spans="1:3" x14ac:dyDescent="0.25">
      <c r="A3073" s="5"/>
      <c r="B3073" s="5"/>
      <c r="C3073" s="5"/>
    </row>
    <row r="3074" spans="1:3" x14ac:dyDescent="0.25">
      <c r="A3074" s="5"/>
      <c r="B3074" s="5"/>
      <c r="C3074" s="5"/>
    </row>
    <row r="3075" spans="1:3" x14ac:dyDescent="0.25">
      <c r="A3075" s="5"/>
      <c r="B3075" s="5"/>
      <c r="C3075" s="5"/>
    </row>
    <row r="3076" spans="1:3" x14ac:dyDescent="0.25">
      <c r="A3076" s="5"/>
      <c r="B3076" s="5"/>
      <c r="C3076" s="5"/>
    </row>
    <row r="3077" spans="1:3" x14ac:dyDescent="0.25">
      <c r="A3077" s="5"/>
      <c r="B3077" s="5"/>
      <c r="C3077" s="5"/>
    </row>
    <row r="3078" spans="1:3" x14ac:dyDescent="0.25">
      <c r="A3078" s="5"/>
      <c r="B3078" s="5"/>
      <c r="C3078" s="5"/>
    </row>
    <row r="3079" spans="1:3" x14ac:dyDescent="0.25">
      <c r="A3079" s="5"/>
      <c r="B3079" s="5"/>
      <c r="C3079" s="5"/>
    </row>
    <row r="3080" spans="1:3" x14ac:dyDescent="0.25">
      <c r="A3080" s="5"/>
      <c r="B3080" s="5"/>
      <c r="C3080" s="5"/>
    </row>
    <row r="3081" spans="1:3" x14ac:dyDescent="0.25">
      <c r="A3081" s="5"/>
      <c r="B3081" s="5"/>
      <c r="C3081" s="5"/>
    </row>
    <row r="3082" spans="1:3" x14ac:dyDescent="0.25">
      <c r="A3082" s="5"/>
      <c r="B3082" s="5"/>
      <c r="C3082" s="5"/>
    </row>
    <row r="3083" spans="1:3" x14ac:dyDescent="0.25">
      <c r="A3083" s="5"/>
      <c r="B3083" s="5"/>
      <c r="C3083" s="5"/>
    </row>
    <row r="3084" spans="1:3" x14ac:dyDescent="0.25">
      <c r="A3084" s="5"/>
      <c r="B3084" s="5"/>
      <c r="C3084" s="5"/>
    </row>
    <row r="3085" spans="1:3" x14ac:dyDescent="0.25">
      <c r="A3085" s="5"/>
      <c r="B3085" s="5"/>
      <c r="C3085" s="5"/>
    </row>
    <row r="3086" spans="1:3" x14ac:dyDescent="0.25">
      <c r="A3086" s="5"/>
      <c r="B3086" s="5"/>
      <c r="C3086" s="5"/>
    </row>
    <row r="3087" spans="1:3" x14ac:dyDescent="0.25">
      <c r="A3087" s="5"/>
      <c r="B3087" s="5"/>
      <c r="C3087" s="5"/>
    </row>
    <row r="3088" spans="1:3" x14ac:dyDescent="0.25">
      <c r="A3088" s="5"/>
      <c r="B3088" s="5"/>
      <c r="C3088" s="5"/>
    </row>
    <row r="3089" spans="1:3" x14ac:dyDescent="0.25">
      <c r="A3089" s="5"/>
      <c r="B3089" s="5"/>
      <c r="C3089" s="5"/>
    </row>
    <row r="3090" spans="1:3" x14ac:dyDescent="0.25">
      <c r="A3090" s="5"/>
      <c r="B3090" s="5"/>
      <c r="C3090" s="5"/>
    </row>
    <row r="3091" spans="1:3" x14ac:dyDescent="0.25">
      <c r="A3091" s="5"/>
      <c r="B3091" s="5"/>
      <c r="C3091" s="5"/>
    </row>
    <row r="3092" spans="1:3" x14ac:dyDescent="0.25">
      <c r="A3092" s="5"/>
      <c r="B3092" s="5"/>
      <c r="C3092" s="5"/>
    </row>
    <row r="3093" spans="1:3" x14ac:dyDescent="0.25">
      <c r="A3093" s="5"/>
      <c r="B3093" s="5"/>
      <c r="C3093" s="5"/>
    </row>
    <row r="3094" spans="1:3" x14ac:dyDescent="0.25">
      <c r="A3094" s="5"/>
      <c r="B3094" s="5"/>
      <c r="C3094" s="5"/>
    </row>
    <row r="3095" spans="1:3" x14ac:dyDescent="0.25">
      <c r="A3095" s="5"/>
      <c r="B3095" s="5"/>
      <c r="C3095" s="5"/>
    </row>
    <row r="3096" spans="1:3" x14ac:dyDescent="0.25">
      <c r="A3096" s="5"/>
      <c r="B3096" s="5"/>
      <c r="C3096" s="5"/>
    </row>
    <row r="3097" spans="1:3" x14ac:dyDescent="0.25">
      <c r="A3097" s="5"/>
      <c r="B3097" s="5"/>
      <c r="C3097" s="5"/>
    </row>
    <row r="3098" spans="1:3" x14ac:dyDescent="0.25">
      <c r="A3098" s="5"/>
      <c r="B3098" s="5"/>
      <c r="C3098" s="5"/>
    </row>
    <row r="3099" spans="1:3" x14ac:dyDescent="0.25">
      <c r="A3099" s="5"/>
      <c r="B3099" s="5"/>
      <c r="C3099" s="5"/>
    </row>
    <row r="3100" spans="1:3" x14ac:dyDescent="0.25">
      <c r="A3100" s="5"/>
      <c r="B3100" s="5"/>
      <c r="C3100" s="5"/>
    </row>
    <row r="3101" spans="1:3" x14ac:dyDescent="0.25">
      <c r="A3101" s="5"/>
      <c r="B3101" s="5"/>
      <c r="C3101" s="5"/>
    </row>
    <row r="3102" spans="1:3" x14ac:dyDescent="0.25">
      <c r="A3102" s="5"/>
      <c r="B3102" s="5"/>
      <c r="C3102" s="5"/>
    </row>
    <row r="3103" spans="1:3" x14ac:dyDescent="0.25">
      <c r="A3103" s="5"/>
      <c r="B3103" s="5"/>
      <c r="C3103" s="5"/>
    </row>
    <row r="3104" spans="1:3" x14ac:dyDescent="0.25">
      <c r="A3104" s="5"/>
      <c r="B3104" s="5"/>
      <c r="C3104" s="5"/>
    </row>
    <row r="3105" spans="1:3" x14ac:dyDescent="0.25">
      <c r="A3105" s="5"/>
      <c r="B3105" s="5"/>
      <c r="C3105" s="5"/>
    </row>
    <row r="3106" spans="1:3" x14ac:dyDescent="0.25">
      <c r="A3106" s="5"/>
      <c r="B3106" s="5"/>
      <c r="C3106" s="5"/>
    </row>
    <row r="3107" spans="1:3" x14ac:dyDescent="0.25">
      <c r="A3107" s="5"/>
      <c r="B3107" s="5"/>
      <c r="C3107" s="5"/>
    </row>
    <row r="3108" spans="1:3" x14ac:dyDescent="0.25">
      <c r="A3108" s="5"/>
      <c r="B3108" s="5"/>
      <c r="C3108" s="5"/>
    </row>
    <row r="3109" spans="1:3" x14ac:dyDescent="0.25">
      <c r="A3109" s="5"/>
      <c r="B3109" s="5"/>
      <c r="C3109" s="5"/>
    </row>
    <row r="3110" spans="1:3" x14ac:dyDescent="0.25">
      <c r="A3110" s="5"/>
      <c r="B3110" s="5"/>
      <c r="C3110" s="5"/>
    </row>
    <row r="3111" spans="1:3" x14ac:dyDescent="0.25">
      <c r="A3111" s="5"/>
      <c r="B3111" s="5"/>
      <c r="C3111" s="5"/>
    </row>
    <row r="3112" spans="1:3" x14ac:dyDescent="0.25">
      <c r="A3112" s="5"/>
      <c r="B3112" s="5"/>
      <c r="C3112" s="5"/>
    </row>
    <row r="3113" spans="1:3" x14ac:dyDescent="0.25">
      <c r="A3113" s="5"/>
      <c r="B3113" s="5"/>
      <c r="C3113" s="5"/>
    </row>
    <row r="3114" spans="1:3" x14ac:dyDescent="0.25">
      <c r="A3114" s="5"/>
      <c r="B3114" s="5"/>
      <c r="C3114" s="5"/>
    </row>
    <row r="3115" spans="1:3" x14ac:dyDescent="0.25">
      <c r="A3115" s="5"/>
      <c r="B3115" s="5"/>
      <c r="C3115" s="5"/>
    </row>
    <row r="3116" spans="1:3" x14ac:dyDescent="0.25">
      <c r="A3116" s="5"/>
      <c r="B3116" s="5"/>
      <c r="C3116" s="5"/>
    </row>
    <row r="3117" spans="1:3" x14ac:dyDescent="0.25">
      <c r="A3117" s="5"/>
      <c r="B3117" s="5"/>
      <c r="C3117" s="5"/>
    </row>
    <row r="3118" spans="1:3" x14ac:dyDescent="0.25">
      <c r="A3118" s="5"/>
      <c r="B3118" s="5"/>
      <c r="C3118" s="5"/>
    </row>
    <row r="3119" spans="1:3" x14ac:dyDescent="0.25">
      <c r="A3119" s="5"/>
      <c r="B3119" s="5"/>
      <c r="C3119" s="5"/>
    </row>
    <row r="3120" spans="1:3" x14ac:dyDescent="0.25">
      <c r="A3120" s="5"/>
      <c r="B3120" s="5"/>
      <c r="C3120" s="5"/>
    </row>
    <row r="3121" spans="1:3" x14ac:dyDescent="0.25">
      <c r="A3121" s="5"/>
      <c r="B3121" s="5"/>
      <c r="C3121" s="5"/>
    </row>
    <row r="3122" spans="1:3" x14ac:dyDescent="0.25">
      <c r="A3122" s="5"/>
      <c r="B3122" s="5"/>
      <c r="C3122" s="5"/>
    </row>
    <row r="3123" spans="1:3" x14ac:dyDescent="0.25">
      <c r="A3123" s="5"/>
      <c r="B3123" s="5"/>
      <c r="C3123" s="5"/>
    </row>
    <row r="3124" spans="1:3" x14ac:dyDescent="0.25">
      <c r="A3124" s="5"/>
      <c r="B3124" s="5"/>
      <c r="C3124" s="5"/>
    </row>
    <row r="3125" spans="1:3" x14ac:dyDescent="0.25">
      <c r="A3125" s="5"/>
      <c r="B3125" s="5"/>
      <c r="C3125" s="5"/>
    </row>
    <row r="3126" spans="1:3" x14ac:dyDescent="0.25">
      <c r="A3126" s="5"/>
      <c r="B3126" s="5"/>
      <c r="C3126" s="5"/>
    </row>
    <row r="3127" spans="1:3" x14ac:dyDescent="0.25">
      <c r="A3127" s="5"/>
      <c r="B3127" s="5"/>
      <c r="C3127" s="5"/>
    </row>
    <row r="3128" spans="1:3" x14ac:dyDescent="0.25">
      <c r="A3128" s="5"/>
      <c r="B3128" s="5"/>
      <c r="C3128" s="5"/>
    </row>
    <row r="3129" spans="1:3" x14ac:dyDescent="0.25">
      <c r="A3129" s="5"/>
      <c r="B3129" s="5"/>
      <c r="C3129" s="5"/>
    </row>
    <row r="3130" spans="1:3" x14ac:dyDescent="0.25">
      <c r="A3130" s="5"/>
      <c r="B3130" s="5"/>
      <c r="C3130" s="5"/>
    </row>
    <row r="3131" spans="1:3" x14ac:dyDescent="0.25">
      <c r="A3131" s="5"/>
      <c r="B3131" s="5"/>
      <c r="C3131" s="5"/>
    </row>
    <row r="3132" spans="1:3" x14ac:dyDescent="0.25">
      <c r="A3132" s="5"/>
      <c r="B3132" s="5"/>
      <c r="C3132" s="5"/>
    </row>
    <row r="3133" spans="1:3" x14ac:dyDescent="0.25">
      <c r="A3133" s="5"/>
      <c r="B3133" s="5"/>
      <c r="C3133" s="5"/>
    </row>
    <row r="3134" spans="1:3" x14ac:dyDescent="0.25">
      <c r="A3134" s="5"/>
      <c r="B3134" s="5"/>
      <c r="C3134" s="5"/>
    </row>
    <row r="3135" spans="1:3" x14ac:dyDescent="0.25">
      <c r="A3135" s="5"/>
      <c r="B3135" s="5"/>
      <c r="C3135" s="5"/>
    </row>
    <row r="3136" spans="1:3" x14ac:dyDescent="0.25">
      <c r="A3136" s="5"/>
      <c r="B3136" s="5"/>
      <c r="C3136" s="5"/>
    </row>
    <row r="3137" spans="1:3" x14ac:dyDescent="0.25">
      <c r="A3137" s="5"/>
      <c r="B3137" s="5"/>
      <c r="C3137" s="5"/>
    </row>
    <row r="3138" spans="1:3" x14ac:dyDescent="0.25">
      <c r="A3138" s="5"/>
      <c r="B3138" s="5"/>
      <c r="C3138" s="5"/>
    </row>
    <row r="3139" spans="1:3" x14ac:dyDescent="0.25">
      <c r="A3139" s="5"/>
      <c r="B3139" s="5"/>
      <c r="C3139" s="5"/>
    </row>
    <row r="3140" spans="1:3" x14ac:dyDescent="0.25">
      <c r="A3140" s="5"/>
      <c r="B3140" s="5"/>
      <c r="C3140" s="5"/>
    </row>
    <row r="3141" spans="1:3" x14ac:dyDescent="0.25">
      <c r="A3141" s="5"/>
      <c r="B3141" s="5"/>
      <c r="C3141" s="5"/>
    </row>
    <row r="3142" spans="1:3" x14ac:dyDescent="0.25">
      <c r="A3142" s="5"/>
      <c r="B3142" s="5"/>
      <c r="C3142" s="5"/>
    </row>
    <row r="3143" spans="1:3" x14ac:dyDescent="0.25">
      <c r="A3143" s="5"/>
      <c r="B3143" s="5"/>
      <c r="C3143" s="5"/>
    </row>
    <row r="3144" spans="1:3" x14ac:dyDescent="0.25">
      <c r="A3144" s="5"/>
      <c r="B3144" s="5"/>
      <c r="C3144" s="5"/>
    </row>
    <row r="3145" spans="1:3" x14ac:dyDescent="0.25">
      <c r="A3145" s="5"/>
      <c r="B3145" s="5"/>
      <c r="C3145" s="5"/>
    </row>
    <row r="3146" spans="1:3" x14ac:dyDescent="0.25">
      <c r="A3146" s="5"/>
      <c r="B3146" s="5"/>
      <c r="C3146" s="5"/>
    </row>
    <row r="3147" spans="1:3" x14ac:dyDescent="0.25">
      <c r="A3147" s="5"/>
      <c r="B3147" s="5"/>
      <c r="C3147" s="5"/>
    </row>
    <row r="3148" spans="1:3" x14ac:dyDescent="0.25">
      <c r="A3148" s="5"/>
      <c r="B3148" s="5"/>
      <c r="C3148" s="5"/>
    </row>
    <row r="3149" spans="1:3" x14ac:dyDescent="0.25">
      <c r="A3149" s="5"/>
      <c r="B3149" s="5"/>
      <c r="C3149" s="5"/>
    </row>
    <row r="3150" spans="1:3" x14ac:dyDescent="0.25">
      <c r="A3150" s="5"/>
      <c r="B3150" s="5"/>
      <c r="C3150" s="5"/>
    </row>
    <row r="3151" spans="1:3" x14ac:dyDescent="0.25">
      <c r="A3151" s="5"/>
      <c r="B3151" s="5"/>
      <c r="C3151" s="5"/>
    </row>
    <row r="3152" spans="1:3" x14ac:dyDescent="0.25">
      <c r="A3152" s="5"/>
      <c r="B3152" s="5"/>
      <c r="C3152" s="5"/>
    </row>
    <row r="3153" spans="1:3" x14ac:dyDescent="0.25">
      <c r="A3153" s="5"/>
      <c r="B3153" s="5"/>
      <c r="C3153" s="5"/>
    </row>
    <row r="3154" spans="1:3" x14ac:dyDescent="0.25">
      <c r="A3154" s="5"/>
      <c r="B3154" s="5"/>
      <c r="C3154" s="5"/>
    </row>
    <row r="3155" spans="1:3" x14ac:dyDescent="0.25">
      <c r="A3155" s="5"/>
      <c r="B3155" s="5"/>
      <c r="C3155" s="5"/>
    </row>
    <row r="3156" spans="1:3" x14ac:dyDescent="0.25">
      <c r="A3156" s="5"/>
      <c r="B3156" s="5"/>
      <c r="C3156" s="5"/>
    </row>
    <row r="3157" spans="1:3" x14ac:dyDescent="0.25">
      <c r="A3157" s="5"/>
      <c r="B3157" s="5"/>
      <c r="C3157" s="5"/>
    </row>
    <row r="3158" spans="1:3" x14ac:dyDescent="0.25">
      <c r="A3158" s="5"/>
      <c r="B3158" s="5"/>
      <c r="C3158" s="5"/>
    </row>
    <row r="3159" spans="1:3" x14ac:dyDescent="0.25">
      <c r="A3159" s="5"/>
      <c r="B3159" s="5"/>
      <c r="C3159" s="5"/>
    </row>
    <row r="3160" spans="1:3" x14ac:dyDescent="0.25">
      <c r="A3160" s="5"/>
      <c r="B3160" s="5"/>
      <c r="C3160" s="5"/>
    </row>
    <row r="3161" spans="1:3" x14ac:dyDescent="0.25">
      <c r="A3161" s="5"/>
      <c r="B3161" s="5"/>
      <c r="C3161" s="5"/>
    </row>
    <row r="3162" spans="1:3" x14ac:dyDescent="0.25">
      <c r="A3162" s="5"/>
      <c r="B3162" s="5"/>
      <c r="C3162" s="5"/>
    </row>
    <row r="3163" spans="1:3" x14ac:dyDescent="0.25">
      <c r="A3163" s="5"/>
      <c r="B3163" s="5"/>
      <c r="C3163" s="5"/>
    </row>
    <row r="3164" spans="1:3" x14ac:dyDescent="0.25">
      <c r="A3164" s="5"/>
      <c r="B3164" s="5"/>
      <c r="C3164" s="5"/>
    </row>
    <row r="3165" spans="1:3" x14ac:dyDescent="0.25">
      <c r="A3165" s="5"/>
      <c r="B3165" s="5"/>
      <c r="C3165" s="5"/>
    </row>
    <row r="3166" spans="1:3" x14ac:dyDescent="0.25">
      <c r="A3166" s="5"/>
      <c r="B3166" s="5"/>
      <c r="C3166" s="5"/>
    </row>
    <row r="3167" spans="1:3" x14ac:dyDescent="0.25">
      <c r="A3167" s="5"/>
      <c r="B3167" s="5"/>
      <c r="C3167" s="5"/>
    </row>
    <row r="3168" spans="1:3" x14ac:dyDescent="0.25">
      <c r="A3168" s="5"/>
      <c r="B3168" s="5"/>
      <c r="C3168" s="5"/>
    </row>
    <row r="3169" spans="1:3" x14ac:dyDescent="0.25">
      <c r="A3169" s="5"/>
      <c r="B3169" s="5"/>
      <c r="C3169" s="5"/>
    </row>
    <row r="3170" spans="1:3" x14ac:dyDescent="0.25">
      <c r="A3170" s="5"/>
      <c r="B3170" s="5"/>
      <c r="C3170" s="5"/>
    </row>
    <row r="3171" spans="1:3" x14ac:dyDescent="0.25">
      <c r="A3171" s="5"/>
      <c r="B3171" s="5"/>
      <c r="C3171" s="5"/>
    </row>
    <row r="3172" spans="1:3" x14ac:dyDescent="0.25">
      <c r="A3172" s="5"/>
      <c r="B3172" s="5"/>
      <c r="C3172" s="5"/>
    </row>
    <row r="3173" spans="1:3" x14ac:dyDescent="0.25">
      <c r="A3173" s="5"/>
      <c r="B3173" s="5"/>
      <c r="C3173" s="5"/>
    </row>
    <row r="3174" spans="1:3" x14ac:dyDescent="0.25">
      <c r="A3174" s="5"/>
      <c r="B3174" s="5"/>
      <c r="C3174" s="5"/>
    </row>
    <row r="3175" spans="1:3" x14ac:dyDescent="0.25">
      <c r="A3175" s="5"/>
      <c r="B3175" s="5"/>
      <c r="C3175" s="5"/>
    </row>
    <row r="3176" spans="1:3" x14ac:dyDescent="0.25">
      <c r="A3176" s="5"/>
      <c r="B3176" s="5"/>
      <c r="C3176" s="5"/>
    </row>
    <row r="3177" spans="1:3" x14ac:dyDescent="0.25">
      <c r="A3177" s="5"/>
      <c r="B3177" s="5"/>
      <c r="C3177" s="5"/>
    </row>
    <row r="3178" spans="1:3" x14ac:dyDescent="0.25">
      <c r="A3178" s="5"/>
      <c r="B3178" s="5"/>
      <c r="C3178" s="5"/>
    </row>
    <row r="3179" spans="1:3" x14ac:dyDescent="0.25">
      <c r="A3179" s="5"/>
      <c r="B3179" s="5"/>
      <c r="C3179" s="5"/>
    </row>
    <row r="3180" spans="1:3" x14ac:dyDescent="0.25">
      <c r="A3180" s="5"/>
      <c r="B3180" s="5"/>
      <c r="C3180" s="5"/>
    </row>
    <row r="3181" spans="1:3" x14ac:dyDescent="0.25">
      <c r="A3181" s="5"/>
      <c r="B3181" s="5"/>
      <c r="C3181" s="5"/>
    </row>
    <row r="3182" spans="1:3" x14ac:dyDescent="0.25">
      <c r="A3182" s="5"/>
      <c r="B3182" s="5"/>
      <c r="C3182" s="5"/>
    </row>
    <row r="3183" spans="1:3" x14ac:dyDescent="0.25">
      <c r="A3183" s="5"/>
      <c r="B3183" s="5"/>
      <c r="C3183" s="5"/>
    </row>
    <row r="3184" spans="1:3" x14ac:dyDescent="0.25">
      <c r="A3184" s="5"/>
      <c r="B3184" s="5"/>
      <c r="C3184" s="5"/>
    </row>
    <row r="3185" spans="1:3" x14ac:dyDescent="0.25">
      <c r="A3185" s="5"/>
      <c r="B3185" s="5"/>
      <c r="C3185" s="5"/>
    </row>
    <row r="3186" spans="1:3" x14ac:dyDescent="0.25">
      <c r="A3186" s="5"/>
      <c r="B3186" s="5"/>
      <c r="C3186" s="5"/>
    </row>
    <row r="3187" spans="1:3" x14ac:dyDescent="0.25">
      <c r="A3187" s="5"/>
      <c r="B3187" s="5"/>
      <c r="C3187" s="5"/>
    </row>
    <row r="3188" spans="1:3" x14ac:dyDescent="0.25">
      <c r="A3188" s="5"/>
      <c r="B3188" s="5"/>
      <c r="C3188" s="5"/>
    </row>
    <row r="3189" spans="1:3" x14ac:dyDescent="0.25">
      <c r="A3189" s="5"/>
      <c r="B3189" s="5"/>
      <c r="C3189" s="5"/>
    </row>
    <row r="3190" spans="1:3" x14ac:dyDescent="0.25">
      <c r="A3190" s="5"/>
      <c r="B3190" s="5"/>
      <c r="C3190" s="5"/>
    </row>
    <row r="3191" spans="1:3" x14ac:dyDescent="0.25">
      <c r="A3191" s="5"/>
      <c r="B3191" s="5"/>
      <c r="C3191" s="5"/>
    </row>
    <row r="3192" spans="1:3" x14ac:dyDescent="0.25">
      <c r="A3192" s="5"/>
      <c r="B3192" s="5"/>
      <c r="C3192" s="5"/>
    </row>
    <row r="3193" spans="1:3" x14ac:dyDescent="0.25">
      <c r="A3193" s="5"/>
      <c r="B3193" s="5"/>
      <c r="C3193" s="5"/>
    </row>
    <row r="3194" spans="1:3" x14ac:dyDescent="0.25">
      <c r="A3194" s="5"/>
      <c r="B3194" s="5"/>
      <c r="C3194" s="5"/>
    </row>
    <row r="3195" spans="1:3" x14ac:dyDescent="0.25">
      <c r="A3195" s="5"/>
      <c r="B3195" s="5"/>
      <c r="C3195" s="5"/>
    </row>
    <row r="3196" spans="1:3" x14ac:dyDescent="0.25">
      <c r="A3196" s="5"/>
      <c r="B3196" s="5"/>
      <c r="C3196" s="5"/>
    </row>
    <row r="3197" spans="1:3" x14ac:dyDescent="0.25">
      <c r="A3197" s="5"/>
      <c r="B3197" s="5"/>
      <c r="C3197" s="5"/>
    </row>
    <row r="3198" spans="1:3" x14ac:dyDescent="0.25">
      <c r="A3198" s="5"/>
      <c r="B3198" s="5"/>
      <c r="C3198" s="5"/>
    </row>
    <row r="3199" spans="1:3" x14ac:dyDescent="0.25">
      <c r="A3199" s="5"/>
      <c r="B3199" s="5"/>
      <c r="C3199" s="5"/>
    </row>
    <row r="3200" spans="1:3" x14ac:dyDescent="0.25">
      <c r="A3200" s="5"/>
      <c r="B3200" s="5"/>
      <c r="C3200" s="5"/>
    </row>
    <row r="3201" spans="1:3" x14ac:dyDescent="0.25">
      <c r="A3201" s="5"/>
      <c r="B3201" s="5"/>
      <c r="C3201" s="5"/>
    </row>
    <row r="3202" spans="1:3" x14ac:dyDescent="0.25">
      <c r="A3202" s="5"/>
      <c r="B3202" s="5"/>
      <c r="C3202" s="5"/>
    </row>
    <row r="3203" spans="1:3" x14ac:dyDescent="0.25">
      <c r="A3203" s="5"/>
      <c r="B3203" s="5"/>
      <c r="C3203" s="5"/>
    </row>
    <row r="3204" spans="1:3" x14ac:dyDescent="0.25">
      <c r="A3204" s="5"/>
      <c r="B3204" s="5"/>
      <c r="C3204" s="5"/>
    </row>
    <row r="3205" spans="1:3" x14ac:dyDescent="0.25">
      <c r="A3205" s="5"/>
      <c r="B3205" s="5"/>
      <c r="C3205" s="5"/>
    </row>
    <row r="3206" spans="1:3" x14ac:dyDescent="0.25">
      <c r="A3206" s="5"/>
      <c r="B3206" s="5"/>
      <c r="C3206" s="5"/>
    </row>
    <row r="3207" spans="1:3" x14ac:dyDescent="0.25">
      <c r="A3207" s="5"/>
      <c r="B3207" s="5"/>
      <c r="C3207" s="5"/>
    </row>
    <row r="3208" spans="1:3" x14ac:dyDescent="0.25">
      <c r="A3208" s="5"/>
      <c r="B3208" s="5"/>
      <c r="C3208" s="5"/>
    </row>
    <row r="3209" spans="1:3" x14ac:dyDescent="0.25">
      <c r="A3209" s="5"/>
      <c r="B3209" s="5"/>
      <c r="C3209" s="5"/>
    </row>
    <row r="3210" spans="1:3" x14ac:dyDescent="0.25">
      <c r="A3210" s="5"/>
      <c r="B3210" s="5"/>
      <c r="C3210" s="5"/>
    </row>
    <row r="3211" spans="1:3" x14ac:dyDescent="0.25">
      <c r="A3211" s="5"/>
      <c r="B3211" s="5"/>
      <c r="C3211" s="5"/>
    </row>
    <row r="3212" spans="1:3" x14ac:dyDescent="0.25">
      <c r="A3212" s="5"/>
      <c r="B3212" s="5"/>
      <c r="C3212" s="5"/>
    </row>
    <row r="3213" spans="1:3" x14ac:dyDescent="0.25">
      <c r="A3213" s="5"/>
      <c r="B3213" s="5"/>
      <c r="C3213" s="5"/>
    </row>
    <row r="3214" spans="1:3" x14ac:dyDescent="0.25">
      <c r="A3214" s="5"/>
      <c r="B3214" s="5"/>
      <c r="C3214" s="5"/>
    </row>
    <row r="3215" spans="1:3" x14ac:dyDescent="0.25">
      <c r="A3215" s="5"/>
      <c r="B3215" s="5"/>
      <c r="C3215" s="5"/>
    </row>
    <row r="3216" spans="1:3" x14ac:dyDescent="0.25">
      <c r="A3216" s="5"/>
      <c r="B3216" s="5"/>
      <c r="C3216" s="5"/>
    </row>
    <row r="3217" spans="1:3" x14ac:dyDescent="0.25">
      <c r="A3217" s="5"/>
      <c r="B3217" s="5"/>
      <c r="C3217" s="5"/>
    </row>
    <row r="3218" spans="1:3" x14ac:dyDescent="0.25">
      <c r="A3218" s="5"/>
      <c r="B3218" s="5"/>
      <c r="C3218" s="5"/>
    </row>
    <row r="3219" spans="1:3" x14ac:dyDescent="0.25">
      <c r="A3219" s="5"/>
      <c r="B3219" s="5"/>
      <c r="C3219" s="5"/>
    </row>
    <row r="3220" spans="1:3" x14ac:dyDescent="0.25">
      <c r="A3220" s="5"/>
      <c r="B3220" s="5"/>
      <c r="C3220" s="5"/>
    </row>
    <row r="3221" spans="1:3" x14ac:dyDescent="0.25">
      <c r="A3221" s="5"/>
      <c r="B3221" s="5"/>
      <c r="C3221" s="5"/>
    </row>
    <row r="3222" spans="1:3" x14ac:dyDescent="0.25">
      <c r="A3222" s="5"/>
      <c r="B3222" s="5"/>
      <c r="C3222" s="5"/>
    </row>
    <row r="3223" spans="1:3" x14ac:dyDescent="0.25">
      <c r="A3223" s="5"/>
      <c r="B3223" s="5"/>
      <c r="C3223" s="5"/>
    </row>
    <row r="3224" spans="1:3" x14ac:dyDescent="0.25">
      <c r="A3224" s="5"/>
      <c r="B3224" s="5"/>
      <c r="C3224" s="5"/>
    </row>
    <row r="3225" spans="1:3" x14ac:dyDescent="0.25">
      <c r="A3225" s="5"/>
      <c r="B3225" s="5"/>
      <c r="C3225" s="5"/>
    </row>
    <row r="3226" spans="1:3" x14ac:dyDescent="0.25">
      <c r="A3226" s="5"/>
      <c r="B3226" s="5"/>
      <c r="C3226" s="5"/>
    </row>
    <row r="3227" spans="1:3" x14ac:dyDescent="0.25">
      <c r="A3227" s="5"/>
      <c r="B3227" s="5"/>
      <c r="C3227" s="5"/>
    </row>
    <row r="3228" spans="1:3" x14ac:dyDescent="0.25">
      <c r="A3228" s="5"/>
      <c r="B3228" s="5"/>
      <c r="C3228" s="5"/>
    </row>
    <row r="3229" spans="1:3" x14ac:dyDescent="0.25">
      <c r="A3229" s="5"/>
      <c r="B3229" s="5"/>
      <c r="C3229" s="5"/>
    </row>
    <row r="3230" spans="1:3" x14ac:dyDescent="0.25">
      <c r="A3230" s="5"/>
      <c r="B3230" s="5"/>
      <c r="C3230" s="5"/>
    </row>
    <row r="3231" spans="1:3" x14ac:dyDescent="0.25">
      <c r="A3231" s="5"/>
      <c r="B3231" s="5"/>
      <c r="C3231" s="5"/>
    </row>
    <row r="3232" spans="1:3" x14ac:dyDescent="0.25">
      <c r="A3232" s="5"/>
      <c r="B3232" s="5"/>
      <c r="C3232" s="5"/>
    </row>
    <row r="3233" spans="1:3" x14ac:dyDescent="0.25">
      <c r="A3233" s="5"/>
      <c r="B3233" s="5"/>
      <c r="C3233" s="5"/>
    </row>
    <row r="3234" spans="1:3" x14ac:dyDescent="0.25">
      <c r="A3234" s="5"/>
      <c r="B3234" s="5"/>
      <c r="C3234" s="5"/>
    </row>
    <row r="3235" spans="1:3" x14ac:dyDescent="0.25">
      <c r="A3235" s="5"/>
      <c r="B3235" s="5"/>
      <c r="C3235" s="5"/>
    </row>
    <row r="3236" spans="1:3" x14ac:dyDescent="0.25">
      <c r="A3236" s="5"/>
      <c r="B3236" s="5"/>
      <c r="C3236" s="5"/>
    </row>
    <row r="3237" spans="1:3" x14ac:dyDescent="0.25">
      <c r="A3237" s="5"/>
      <c r="B3237" s="5"/>
      <c r="C3237" s="5"/>
    </row>
    <row r="3238" spans="1:3" x14ac:dyDescent="0.25">
      <c r="A3238" s="5"/>
      <c r="B3238" s="5"/>
      <c r="C3238" s="5"/>
    </row>
    <row r="3239" spans="1:3" x14ac:dyDescent="0.25">
      <c r="A3239" s="5"/>
      <c r="B3239" s="5"/>
      <c r="C3239" s="5"/>
    </row>
    <row r="3240" spans="1:3" x14ac:dyDescent="0.25">
      <c r="A3240" s="5"/>
      <c r="B3240" s="5"/>
      <c r="C3240" s="5"/>
    </row>
    <row r="3241" spans="1:3" x14ac:dyDescent="0.25">
      <c r="A3241" s="5"/>
      <c r="B3241" s="5"/>
      <c r="C3241" s="5"/>
    </row>
    <row r="3242" spans="1:3" x14ac:dyDescent="0.25">
      <c r="A3242" s="5"/>
      <c r="B3242" s="5"/>
      <c r="C3242" s="5"/>
    </row>
    <row r="3243" spans="1:3" x14ac:dyDescent="0.25">
      <c r="A3243" s="5"/>
      <c r="B3243" s="5"/>
      <c r="C3243" s="5"/>
    </row>
    <row r="3244" spans="1:3" x14ac:dyDescent="0.25">
      <c r="A3244" s="5"/>
      <c r="B3244" s="5"/>
      <c r="C3244" s="5"/>
    </row>
    <row r="3245" spans="1:3" x14ac:dyDescent="0.25">
      <c r="A3245" s="5"/>
      <c r="B3245" s="5"/>
      <c r="C3245" s="5"/>
    </row>
    <row r="3246" spans="1:3" x14ac:dyDescent="0.25">
      <c r="A3246" s="5"/>
      <c r="B3246" s="5"/>
      <c r="C3246" s="5"/>
    </row>
    <row r="3247" spans="1:3" x14ac:dyDescent="0.25">
      <c r="A3247" s="5"/>
      <c r="B3247" s="5"/>
      <c r="C3247" s="5"/>
    </row>
    <row r="3248" spans="1:3" x14ac:dyDescent="0.25">
      <c r="A3248" s="5"/>
      <c r="B3248" s="5"/>
      <c r="C3248" s="5"/>
    </row>
    <row r="3249" spans="1:3" x14ac:dyDescent="0.25">
      <c r="A3249" s="5"/>
      <c r="B3249" s="5"/>
      <c r="C3249" s="5"/>
    </row>
    <row r="3250" spans="1:3" x14ac:dyDescent="0.25">
      <c r="A3250" s="5"/>
      <c r="B3250" s="5"/>
      <c r="C3250" s="5"/>
    </row>
    <row r="3251" spans="1:3" x14ac:dyDescent="0.25">
      <c r="A3251" s="5"/>
      <c r="B3251" s="5"/>
      <c r="C3251" s="5"/>
    </row>
    <row r="3252" spans="1:3" x14ac:dyDescent="0.25">
      <c r="A3252" s="5"/>
      <c r="B3252" s="5"/>
      <c r="C3252" s="5"/>
    </row>
    <row r="3253" spans="1:3" x14ac:dyDescent="0.25">
      <c r="A3253" s="5"/>
      <c r="B3253" s="5"/>
      <c r="C3253" s="5"/>
    </row>
    <row r="3254" spans="1:3" x14ac:dyDescent="0.25">
      <c r="A3254" s="5"/>
      <c r="B3254" s="5"/>
      <c r="C3254" s="5"/>
    </row>
    <row r="3255" spans="1:3" x14ac:dyDescent="0.25">
      <c r="A3255" s="5"/>
      <c r="B3255" s="5"/>
      <c r="C3255" s="5"/>
    </row>
    <row r="3256" spans="1:3" x14ac:dyDescent="0.25">
      <c r="A3256" s="5"/>
      <c r="B3256" s="5"/>
      <c r="C3256" s="5"/>
    </row>
    <row r="3257" spans="1:3" x14ac:dyDescent="0.25">
      <c r="A3257" s="5"/>
      <c r="B3257" s="5"/>
      <c r="C3257" s="5"/>
    </row>
    <row r="3258" spans="1:3" x14ac:dyDescent="0.25">
      <c r="A3258" s="5"/>
      <c r="B3258" s="5"/>
      <c r="C3258" s="5"/>
    </row>
    <row r="3259" spans="1:3" x14ac:dyDescent="0.25">
      <c r="A3259" s="5"/>
      <c r="B3259" s="5"/>
      <c r="C3259" s="5"/>
    </row>
    <row r="3260" spans="1:3" x14ac:dyDescent="0.25">
      <c r="A3260" s="5"/>
      <c r="B3260" s="5"/>
      <c r="C3260" s="5"/>
    </row>
    <row r="3261" spans="1:3" x14ac:dyDescent="0.25">
      <c r="A3261" s="5"/>
      <c r="B3261" s="5"/>
      <c r="C3261" s="5"/>
    </row>
    <row r="3262" spans="1:3" x14ac:dyDescent="0.25">
      <c r="A3262" s="5"/>
      <c r="B3262" s="5"/>
      <c r="C3262" s="5"/>
    </row>
    <row r="3263" spans="1:3" x14ac:dyDescent="0.25">
      <c r="A3263" s="5"/>
      <c r="B3263" s="5"/>
      <c r="C3263" s="5"/>
    </row>
    <row r="3264" spans="1:3" x14ac:dyDescent="0.25">
      <c r="A3264" s="5"/>
      <c r="B3264" s="5"/>
      <c r="C3264" s="5"/>
    </row>
    <row r="3265" spans="1:3" x14ac:dyDescent="0.25">
      <c r="A3265" s="5"/>
      <c r="B3265" s="5"/>
      <c r="C3265" s="5"/>
    </row>
    <row r="3266" spans="1:3" x14ac:dyDescent="0.25">
      <c r="A3266" s="5"/>
      <c r="B3266" s="5"/>
      <c r="C3266" s="5"/>
    </row>
    <row r="3267" spans="1:3" x14ac:dyDescent="0.25">
      <c r="A3267" s="5"/>
      <c r="B3267" s="5"/>
      <c r="C3267" s="5"/>
    </row>
    <row r="3268" spans="1:3" x14ac:dyDescent="0.25">
      <c r="A3268" s="5"/>
      <c r="B3268" s="5"/>
      <c r="C3268" s="5"/>
    </row>
    <row r="3269" spans="1:3" x14ac:dyDescent="0.25">
      <c r="A3269" s="5"/>
      <c r="B3269" s="5"/>
      <c r="C3269" s="5"/>
    </row>
    <row r="3270" spans="1:3" x14ac:dyDescent="0.25">
      <c r="A3270" s="5"/>
      <c r="B3270" s="5"/>
      <c r="C3270" s="5"/>
    </row>
    <row r="3271" spans="1:3" x14ac:dyDescent="0.25">
      <c r="A3271" s="5"/>
      <c r="B3271" s="5"/>
      <c r="C3271" s="5"/>
    </row>
    <row r="3272" spans="1:3" x14ac:dyDescent="0.25">
      <c r="A3272" s="5"/>
      <c r="B3272" s="5"/>
      <c r="C3272" s="5"/>
    </row>
    <row r="3273" spans="1:3" x14ac:dyDescent="0.25">
      <c r="A3273" s="5"/>
      <c r="B3273" s="5"/>
      <c r="C3273" s="5"/>
    </row>
    <row r="3274" spans="1:3" x14ac:dyDescent="0.25">
      <c r="A3274" s="5"/>
      <c r="B3274" s="5"/>
      <c r="C3274" s="5"/>
    </row>
    <row r="3275" spans="1:3" x14ac:dyDescent="0.25">
      <c r="A3275" s="5"/>
      <c r="B3275" s="5"/>
      <c r="C3275" s="5"/>
    </row>
    <row r="3276" spans="1:3" x14ac:dyDescent="0.25">
      <c r="A3276" s="5"/>
      <c r="B3276" s="5"/>
      <c r="C3276" s="5"/>
    </row>
    <row r="3277" spans="1:3" x14ac:dyDescent="0.25">
      <c r="A3277" s="5"/>
      <c r="B3277" s="5"/>
      <c r="C3277" s="5"/>
    </row>
    <row r="3278" spans="1:3" x14ac:dyDescent="0.25">
      <c r="A3278" s="5"/>
      <c r="B3278" s="5"/>
      <c r="C3278" s="5"/>
    </row>
    <row r="3279" spans="1:3" x14ac:dyDescent="0.25">
      <c r="A3279" s="5"/>
      <c r="B3279" s="5"/>
      <c r="C3279" s="5"/>
    </row>
    <row r="3280" spans="1:3" x14ac:dyDescent="0.25">
      <c r="A3280" s="5"/>
      <c r="B3280" s="5"/>
      <c r="C3280" s="5"/>
    </row>
    <row r="3281" spans="1:3" x14ac:dyDescent="0.25">
      <c r="A3281" s="5"/>
      <c r="B3281" s="5"/>
      <c r="C3281" s="5"/>
    </row>
    <row r="3282" spans="1:3" x14ac:dyDescent="0.25">
      <c r="A3282" s="5"/>
      <c r="B3282" s="5"/>
      <c r="C3282" s="5"/>
    </row>
    <row r="3283" spans="1:3" x14ac:dyDescent="0.25">
      <c r="A3283" s="5"/>
      <c r="B3283" s="5"/>
      <c r="C3283" s="5"/>
    </row>
    <row r="3284" spans="1:3" x14ac:dyDescent="0.25">
      <c r="A3284" s="5"/>
      <c r="B3284" s="5"/>
      <c r="C3284" s="5"/>
    </row>
    <row r="3285" spans="1:3" x14ac:dyDescent="0.25">
      <c r="A3285" s="5"/>
      <c r="B3285" s="5"/>
      <c r="C3285" s="5"/>
    </row>
    <row r="3286" spans="1:3" x14ac:dyDescent="0.25">
      <c r="A3286" s="5"/>
      <c r="B3286" s="5"/>
      <c r="C3286" s="5"/>
    </row>
    <row r="3287" spans="1:3" x14ac:dyDescent="0.25">
      <c r="A3287" s="5"/>
      <c r="B3287" s="5"/>
      <c r="C3287" s="5"/>
    </row>
    <row r="3288" spans="1:3" x14ac:dyDescent="0.25">
      <c r="A3288" s="5"/>
      <c r="B3288" s="5"/>
      <c r="C3288" s="5"/>
    </row>
    <row r="3289" spans="1:3" x14ac:dyDescent="0.25">
      <c r="A3289" s="5"/>
      <c r="B3289" s="5"/>
      <c r="C3289" s="5"/>
    </row>
    <row r="3290" spans="1:3" x14ac:dyDescent="0.25">
      <c r="A3290" s="5"/>
      <c r="B3290" s="5"/>
      <c r="C3290" s="5"/>
    </row>
    <row r="3291" spans="1:3" x14ac:dyDescent="0.25">
      <c r="A3291" s="5"/>
      <c r="B3291" s="5"/>
      <c r="C3291" s="5"/>
    </row>
    <row r="3292" spans="1:3" x14ac:dyDescent="0.25">
      <c r="A3292" s="5"/>
      <c r="B3292" s="5"/>
      <c r="C3292" s="5"/>
    </row>
    <row r="3293" spans="1:3" x14ac:dyDescent="0.25">
      <c r="A3293" s="5"/>
      <c r="B3293" s="5"/>
      <c r="C3293" s="5"/>
    </row>
    <row r="3294" spans="1:3" x14ac:dyDescent="0.25">
      <c r="A3294" s="5"/>
      <c r="B3294" s="5"/>
      <c r="C3294" s="5"/>
    </row>
    <row r="3295" spans="1:3" x14ac:dyDescent="0.25">
      <c r="A3295" s="5"/>
      <c r="B3295" s="5"/>
      <c r="C3295" s="5"/>
    </row>
    <row r="3296" spans="1:3" x14ac:dyDescent="0.25">
      <c r="A3296" s="5"/>
      <c r="B3296" s="5"/>
      <c r="C3296" s="5"/>
    </row>
    <row r="3297" spans="1:3" x14ac:dyDescent="0.25">
      <c r="A3297" s="5"/>
      <c r="B3297" s="5"/>
      <c r="C3297" s="5"/>
    </row>
    <row r="3298" spans="1:3" x14ac:dyDescent="0.25">
      <c r="A3298" s="5"/>
      <c r="B3298" s="5"/>
      <c r="C3298" s="5"/>
    </row>
    <row r="3299" spans="1:3" x14ac:dyDescent="0.25">
      <c r="A3299" s="5"/>
      <c r="B3299" s="5"/>
      <c r="C3299" s="5"/>
    </row>
    <row r="3300" spans="1:3" x14ac:dyDescent="0.25">
      <c r="A3300" s="5"/>
      <c r="B3300" s="5"/>
      <c r="C3300" s="5"/>
    </row>
    <row r="3301" spans="1:3" x14ac:dyDescent="0.25">
      <c r="A3301" s="5"/>
      <c r="B3301" s="5"/>
      <c r="C3301" s="5"/>
    </row>
    <row r="3302" spans="1:3" x14ac:dyDescent="0.25">
      <c r="A3302" s="5"/>
      <c r="B3302" s="5"/>
      <c r="C3302" s="5"/>
    </row>
    <row r="3303" spans="1:3" x14ac:dyDescent="0.25">
      <c r="A3303" s="5"/>
      <c r="B3303" s="5"/>
      <c r="C3303" s="5"/>
    </row>
    <row r="3304" spans="1:3" x14ac:dyDescent="0.25">
      <c r="A3304" s="5"/>
      <c r="B3304" s="5"/>
      <c r="C3304" s="5"/>
    </row>
    <row r="3305" spans="1:3" x14ac:dyDescent="0.25">
      <c r="A3305" s="5"/>
      <c r="B3305" s="5"/>
      <c r="C3305" s="5"/>
    </row>
    <row r="3306" spans="1:3" x14ac:dyDescent="0.25">
      <c r="A3306" s="5"/>
      <c r="B3306" s="5"/>
      <c r="C3306" s="5"/>
    </row>
    <row r="3307" spans="1:3" x14ac:dyDescent="0.25">
      <c r="A3307" s="5"/>
      <c r="B3307" s="5"/>
      <c r="C3307" s="5"/>
    </row>
    <row r="3308" spans="1:3" x14ac:dyDescent="0.25">
      <c r="A3308" s="5"/>
      <c r="B3308" s="5"/>
      <c r="C3308" s="5"/>
    </row>
    <row r="3309" spans="1:3" x14ac:dyDescent="0.25">
      <c r="A3309" s="5"/>
      <c r="B3309" s="5"/>
      <c r="C3309" s="5"/>
    </row>
    <row r="3310" spans="1:3" x14ac:dyDescent="0.25">
      <c r="A3310" s="5"/>
      <c r="B3310" s="5"/>
      <c r="C3310" s="5"/>
    </row>
    <row r="3311" spans="1:3" x14ac:dyDescent="0.25">
      <c r="A3311" s="5"/>
      <c r="B3311" s="5"/>
      <c r="C3311" s="5"/>
    </row>
    <row r="3312" spans="1:3" x14ac:dyDescent="0.25">
      <c r="A3312" s="5"/>
      <c r="B3312" s="5"/>
      <c r="C3312" s="5"/>
    </row>
    <row r="3313" spans="1:3" x14ac:dyDescent="0.25">
      <c r="A3313" s="5"/>
      <c r="B3313" s="5"/>
      <c r="C3313" s="5"/>
    </row>
    <row r="3314" spans="1:3" x14ac:dyDescent="0.25">
      <c r="A3314" s="5"/>
      <c r="B3314" s="5"/>
      <c r="C3314" s="5"/>
    </row>
    <row r="3315" spans="1:3" x14ac:dyDescent="0.25">
      <c r="A3315" s="5"/>
      <c r="B3315" s="5"/>
      <c r="C3315" s="5"/>
    </row>
    <row r="3316" spans="1:3" x14ac:dyDescent="0.25">
      <c r="A3316" s="5"/>
      <c r="B3316" s="5"/>
      <c r="C3316" s="5"/>
    </row>
    <row r="3317" spans="1:3" x14ac:dyDescent="0.25">
      <c r="A3317" s="5"/>
      <c r="B3317" s="5"/>
      <c r="C3317" s="5"/>
    </row>
    <row r="3318" spans="1:3" x14ac:dyDescent="0.25">
      <c r="A3318" s="5"/>
      <c r="B3318" s="5"/>
      <c r="C3318" s="5"/>
    </row>
    <row r="3319" spans="1:3" x14ac:dyDescent="0.25">
      <c r="A3319" s="5"/>
      <c r="B3319" s="5"/>
      <c r="C3319" s="5"/>
    </row>
    <row r="3320" spans="1:3" x14ac:dyDescent="0.25">
      <c r="A3320" s="5"/>
      <c r="B3320" s="5"/>
      <c r="C3320" s="5"/>
    </row>
    <row r="3321" spans="1:3" x14ac:dyDescent="0.25">
      <c r="A3321" s="5"/>
      <c r="B3321" s="5"/>
      <c r="C3321" s="5"/>
    </row>
    <row r="3322" spans="1:3" x14ac:dyDescent="0.25">
      <c r="A3322" s="5"/>
      <c r="B3322" s="5"/>
      <c r="C3322" s="5"/>
    </row>
    <row r="3323" spans="1:3" x14ac:dyDescent="0.25">
      <c r="A3323" s="5"/>
      <c r="B3323" s="5"/>
      <c r="C3323" s="5"/>
    </row>
    <row r="3324" spans="1:3" x14ac:dyDescent="0.25">
      <c r="A3324" s="5"/>
      <c r="B3324" s="5"/>
      <c r="C3324" s="5"/>
    </row>
    <row r="3325" spans="1:3" x14ac:dyDescent="0.25">
      <c r="A3325" s="5"/>
      <c r="B3325" s="5"/>
      <c r="C3325" s="5"/>
    </row>
    <row r="3326" spans="1:3" x14ac:dyDescent="0.25">
      <c r="A3326" s="5"/>
      <c r="B3326" s="5"/>
      <c r="C3326" s="5"/>
    </row>
    <row r="3327" spans="1:3" x14ac:dyDescent="0.25">
      <c r="A3327" s="5"/>
      <c r="B3327" s="5"/>
      <c r="C3327" s="5"/>
    </row>
    <row r="3328" spans="1:3" x14ac:dyDescent="0.25">
      <c r="A3328" s="5"/>
      <c r="B3328" s="5"/>
      <c r="C3328" s="5"/>
    </row>
    <row r="3329" spans="1:3" x14ac:dyDescent="0.25">
      <c r="A3329" s="5"/>
      <c r="B3329" s="5"/>
      <c r="C3329" s="5"/>
    </row>
    <row r="3330" spans="1:3" x14ac:dyDescent="0.25">
      <c r="A3330" s="5"/>
      <c r="B3330" s="5"/>
      <c r="C3330" s="5"/>
    </row>
    <row r="3331" spans="1:3" x14ac:dyDescent="0.25">
      <c r="A3331" s="5"/>
      <c r="B3331" s="5"/>
      <c r="C3331" s="5"/>
    </row>
    <row r="3332" spans="1:3" x14ac:dyDescent="0.25">
      <c r="A3332" s="5"/>
      <c r="B3332" s="5"/>
      <c r="C3332" s="5"/>
    </row>
    <row r="3333" spans="1:3" x14ac:dyDescent="0.25">
      <c r="A3333" s="5"/>
      <c r="B3333" s="5"/>
      <c r="C3333" s="5"/>
    </row>
    <row r="3334" spans="1:3" x14ac:dyDescent="0.25">
      <c r="A3334" s="5"/>
      <c r="B3334" s="5"/>
      <c r="C3334" s="5"/>
    </row>
    <row r="3335" spans="1:3" x14ac:dyDescent="0.25">
      <c r="A3335" s="5"/>
      <c r="B3335" s="5"/>
      <c r="C3335" s="5"/>
    </row>
    <row r="3336" spans="1:3" x14ac:dyDescent="0.25">
      <c r="A3336" s="5"/>
      <c r="B3336" s="5"/>
      <c r="C3336" s="5"/>
    </row>
    <row r="3337" spans="1:3" x14ac:dyDescent="0.25">
      <c r="A3337" s="5"/>
      <c r="B3337" s="5"/>
      <c r="C3337" s="5"/>
    </row>
    <row r="3338" spans="1:3" x14ac:dyDescent="0.25">
      <c r="A3338" s="5"/>
      <c r="B3338" s="5"/>
      <c r="C3338" s="5"/>
    </row>
    <row r="3339" spans="1:3" x14ac:dyDescent="0.25">
      <c r="A3339" s="5"/>
      <c r="B3339" s="5"/>
      <c r="C3339" s="5"/>
    </row>
    <row r="3340" spans="1:3" x14ac:dyDescent="0.25">
      <c r="A3340" s="5"/>
      <c r="B3340" s="5"/>
      <c r="C3340" s="5"/>
    </row>
    <row r="3341" spans="1:3" x14ac:dyDescent="0.25">
      <c r="A3341" s="5"/>
      <c r="B3341" s="5"/>
      <c r="C3341" s="5"/>
    </row>
    <row r="3342" spans="1:3" x14ac:dyDescent="0.25">
      <c r="A3342" s="5"/>
      <c r="B3342" s="5"/>
      <c r="C3342" s="5"/>
    </row>
    <row r="3343" spans="1:3" x14ac:dyDescent="0.25">
      <c r="A3343" s="5"/>
      <c r="B3343" s="5"/>
      <c r="C3343" s="5"/>
    </row>
    <row r="3344" spans="1:3" x14ac:dyDescent="0.25">
      <c r="A3344" s="5"/>
      <c r="B3344" s="5"/>
      <c r="C3344" s="5"/>
    </row>
    <row r="3345" spans="1:3" x14ac:dyDescent="0.25">
      <c r="A3345" s="5"/>
      <c r="B3345" s="5"/>
      <c r="C3345" s="5"/>
    </row>
    <row r="3346" spans="1:3" x14ac:dyDescent="0.25">
      <c r="A3346" s="5"/>
      <c r="B3346" s="5"/>
      <c r="C3346" s="5"/>
    </row>
    <row r="3347" spans="1:3" x14ac:dyDescent="0.25">
      <c r="A3347" s="5"/>
      <c r="B3347" s="5"/>
      <c r="C3347" s="5"/>
    </row>
    <row r="3348" spans="1:3" x14ac:dyDescent="0.25">
      <c r="A3348" s="5"/>
      <c r="B3348" s="5"/>
      <c r="C3348" s="5"/>
    </row>
    <row r="3349" spans="1:3" x14ac:dyDescent="0.25">
      <c r="A3349" s="5"/>
      <c r="B3349" s="5"/>
      <c r="C3349" s="5"/>
    </row>
    <row r="3350" spans="1:3" x14ac:dyDescent="0.25">
      <c r="A3350" s="5"/>
      <c r="B3350" s="5"/>
      <c r="C3350" s="5"/>
    </row>
    <row r="3351" spans="1:3" x14ac:dyDescent="0.25">
      <c r="A3351" s="5"/>
      <c r="B3351" s="5"/>
      <c r="C3351" s="5"/>
    </row>
    <row r="3352" spans="1:3" x14ac:dyDescent="0.25">
      <c r="A3352" s="5"/>
      <c r="B3352" s="5"/>
      <c r="C3352" s="5"/>
    </row>
    <row r="3353" spans="1:3" x14ac:dyDescent="0.25">
      <c r="A3353" s="5"/>
      <c r="B3353" s="5"/>
      <c r="C3353" s="5"/>
    </row>
    <row r="3354" spans="1:3" x14ac:dyDescent="0.25">
      <c r="A3354" s="5"/>
      <c r="B3354" s="5"/>
      <c r="C3354" s="5"/>
    </row>
    <row r="3355" spans="1:3" x14ac:dyDescent="0.25">
      <c r="A3355" s="5"/>
      <c r="B3355" s="5"/>
      <c r="C3355" s="5"/>
    </row>
    <row r="3356" spans="1:3" x14ac:dyDescent="0.25">
      <c r="A3356" s="5"/>
      <c r="B3356" s="5"/>
      <c r="C3356" s="5"/>
    </row>
    <row r="3357" spans="1:3" x14ac:dyDescent="0.25">
      <c r="A3357" s="5"/>
      <c r="B3357" s="5"/>
      <c r="C3357" s="5"/>
    </row>
    <row r="3358" spans="1:3" x14ac:dyDescent="0.25">
      <c r="A3358" s="5"/>
      <c r="B3358" s="5"/>
      <c r="C3358" s="5"/>
    </row>
    <row r="3359" spans="1:3" x14ac:dyDescent="0.25">
      <c r="A3359" s="5"/>
      <c r="B3359" s="5"/>
      <c r="C3359" s="5"/>
    </row>
    <row r="3360" spans="1:3" x14ac:dyDescent="0.25">
      <c r="A3360" s="5"/>
      <c r="B3360" s="5"/>
      <c r="C3360" s="5"/>
    </row>
    <row r="3361" spans="1:3" x14ac:dyDescent="0.25">
      <c r="A3361" s="5"/>
      <c r="B3361" s="5"/>
      <c r="C3361" s="5"/>
    </row>
    <row r="3362" spans="1:3" x14ac:dyDescent="0.25">
      <c r="A3362" s="5"/>
      <c r="B3362" s="5"/>
      <c r="C3362" s="5"/>
    </row>
    <row r="3363" spans="1:3" x14ac:dyDescent="0.25">
      <c r="A3363" s="5"/>
      <c r="B3363" s="5"/>
      <c r="C3363" s="5"/>
    </row>
    <row r="3364" spans="1:3" x14ac:dyDescent="0.25">
      <c r="A3364" s="5"/>
      <c r="B3364" s="5"/>
      <c r="C3364" s="5"/>
    </row>
    <row r="3365" spans="1:3" x14ac:dyDescent="0.25">
      <c r="A3365" s="5"/>
      <c r="B3365" s="5"/>
      <c r="C3365" s="5"/>
    </row>
    <row r="3366" spans="1:3" x14ac:dyDescent="0.25">
      <c r="A3366" s="5"/>
      <c r="B3366" s="5"/>
      <c r="C3366" s="5"/>
    </row>
    <row r="3367" spans="1:3" x14ac:dyDescent="0.25">
      <c r="A3367" s="5"/>
      <c r="B3367" s="5"/>
      <c r="C3367" s="5"/>
    </row>
    <row r="3368" spans="1:3" x14ac:dyDescent="0.25">
      <c r="A3368" s="5"/>
      <c r="B3368" s="5"/>
      <c r="C3368" s="5"/>
    </row>
    <row r="3369" spans="1:3" x14ac:dyDescent="0.25">
      <c r="A3369" s="5"/>
      <c r="B3369" s="5"/>
      <c r="C3369" s="5"/>
    </row>
    <row r="3370" spans="1:3" x14ac:dyDescent="0.25">
      <c r="A3370" s="5"/>
      <c r="B3370" s="5"/>
      <c r="C3370" s="5"/>
    </row>
    <row r="3371" spans="1:3" x14ac:dyDescent="0.25">
      <c r="A3371" s="5"/>
      <c r="B3371" s="5"/>
      <c r="C3371" s="5"/>
    </row>
    <row r="3372" spans="1:3" x14ac:dyDescent="0.25">
      <c r="A3372" s="5"/>
      <c r="B3372" s="5"/>
      <c r="C3372" s="5"/>
    </row>
    <row r="3373" spans="1:3" x14ac:dyDescent="0.25">
      <c r="A3373" s="5"/>
      <c r="B3373" s="5"/>
      <c r="C3373" s="5"/>
    </row>
    <row r="3374" spans="1:3" x14ac:dyDescent="0.25">
      <c r="A3374" s="5"/>
      <c r="B3374" s="5"/>
      <c r="C3374" s="5"/>
    </row>
    <row r="3375" spans="1:3" x14ac:dyDescent="0.25">
      <c r="A3375" s="5"/>
      <c r="B3375" s="5"/>
      <c r="C3375" s="5"/>
    </row>
    <row r="3376" spans="1:3" x14ac:dyDescent="0.25">
      <c r="A3376" s="5"/>
      <c r="B3376" s="5"/>
      <c r="C3376" s="5"/>
    </row>
    <row r="3377" spans="1:3" x14ac:dyDescent="0.25">
      <c r="A3377" s="5"/>
      <c r="B3377" s="5"/>
      <c r="C3377" s="5"/>
    </row>
    <row r="3378" spans="1:3" x14ac:dyDescent="0.25">
      <c r="A3378" s="5"/>
      <c r="B3378" s="5"/>
      <c r="C3378" s="5"/>
    </row>
    <row r="3379" spans="1:3" x14ac:dyDescent="0.25">
      <c r="A3379" s="5"/>
      <c r="B3379" s="5"/>
      <c r="C3379" s="5"/>
    </row>
    <row r="3380" spans="1:3" x14ac:dyDescent="0.25">
      <c r="A3380" s="5"/>
      <c r="B3380" s="5"/>
      <c r="C3380" s="5"/>
    </row>
    <row r="3381" spans="1:3" x14ac:dyDescent="0.25">
      <c r="A3381" s="5"/>
      <c r="B3381" s="5"/>
      <c r="C3381" s="5"/>
    </row>
    <row r="3382" spans="1:3" x14ac:dyDescent="0.25">
      <c r="A3382" s="5"/>
      <c r="B3382" s="5"/>
      <c r="C3382" s="5"/>
    </row>
    <row r="3383" spans="1:3" x14ac:dyDescent="0.25">
      <c r="A3383" s="5"/>
      <c r="B3383" s="5"/>
      <c r="C3383" s="5"/>
    </row>
    <row r="3384" spans="1:3" x14ac:dyDescent="0.25">
      <c r="A3384" s="5"/>
      <c r="B3384" s="5"/>
      <c r="C3384" s="5"/>
    </row>
    <row r="3385" spans="1:3" x14ac:dyDescent="0.25">
      <c r="A3385" s="5"/>
      <c r="B3385" s="5"/>
      <c r="C3385" s="5"/>
    </row>
    <row r="3386" spans="1:3" x14ac:dyDescent="0.25">
      <c r="A3386" s="5"/>
      <c r="B3386" s="5"/>
      <c r="C3386" s="5"/>
    </row>
    <row r="3387" spans="1:3" x14ac:dyDescent="0.25">
      <c r="A3387" s="5"/>
      <c r="B3387" s="5"/>
      <c r="C3387" s="5"/>
    </row>
    <row r="3388" spans="1:3" x14ac:dyDescent="0.25">
      <c r="A3388" s="5"/>
      <c r="B3388" s="5"/>
      <c r="C3388" s="5"/>
    </row>
    <row r="3389" spans="1:3" x14ac:dyDescent="0.25">
      <c r="A3389" s="5"/>
      <c r="B3389" s="5"/>
      <c r="C3389" s="5"/>
    </row>
    <row r="3390" spans="1:3" x14ac:dyDescent="0.25">
      <c r="A3390" s="5"/>
      <c r="B3390" s="5"/>
      <c r="C3390" s="5"/>
    </row>
    <row r="3391" spans="1:3" x14ac:dyDescent="0.25">
      <c r="A3391" s="5"/>
      <c r="B3391" s="5"/>
      <c r="C3391" s="5"/>
    </row>
    <row r="3392" spans="1:3" x14ac:dyDescent="0.25">
      <c r="A3392" s="5"/>
      <c r="B3392" s="5"/>
      <c r="C3392" s="5"/>
    </row>
    <row r="3393" spans="1:3" x14ac:dyDescent="0.25">
      <c r="A3393" s="5"/>
      <c r="B3393" s="5"/>
      <c r="C3393" s="5"/>
    </row>
    <row r="3394" spans="1:3" x14ac:dyDescent="0.25">
      <c r="A3394" s="5"/>
      <c r="B3394" s="5"/>
      <c r="C3394" s="5"/>
    </row>
    <row r="3395" spans="1:3" x14ac:dyDescent="0.25">
      <c r="A3395" s="5"/>
      <c r="B3395" s="5"/>
      <c r="C3395" s="5"/>
    </row>
    <row r="3396" spans="1:3" x14ac:dyDescent="0.25">
      <c r="A3396" s="5"/>
      <c r="B3396" s="5"/>
      <c r="C3396" s="5"/>
    </row>
    <row r="3397" spans="1:3" x14ac:dyDescent="0.25">
      <c r="A3397" s="5"/>
      <c r="B3397" s="5"/>
      <c r="C3397" s="5"/>
    </row>
    <row r="3398" spans="1:3" x14ac:dyDescent="0.25">
      <c r="A3398" s="5"/>
      <c r="B3398" s="5"/>
      <c r="C3398" s="5"/>
    </row>
    <row r="3399" spans="1:3" x14ac:dyDescent="0.25">
      <c r="A3399" s="5"/>
      <c r="B3399" s="5"/>
      <c r="C3399" s="5"/>
    </row>
    <row r="3400" spans="1:3" x14ac:dyDescent="0.25">
      <c r="A3400" s="5"/>
      <c r="B3400" s="5"/>
      <c r="C3400" s="5"/>
    </row>
    <row r="3401" spans="1:3" x14ac:dyDescent="0.25">
      <c r="A3401" s="5"/>
      <c r="B3401" s="5"/>
      <c r="C3401" s="5"/>
    </row>
    <row r="3402" spans="1:3" x14ac:dyDescent="0.25">
      <c r="A3402" s="5"/>
      <c r="B3402" s="5"/>
      <c r="C3402" s="5"/>
    </row>
    <row r="3403" spans="1:3" x14ac:dyDescent="0.25">
      <c r="A3403" s="5"/>
      <c r="B3403" s="5"/>
      <c r="C3403" s="5"/>
    </row>
    <row r="3404" spans="1:3" x14ac:dyDescent="0.25">
      <c r="A3404" s="5"/>
      <c r="B3404" s="5"/>
      <c r="C3404" s="5"/>
    </row>
    <row r="3405" spans="1:3" x14ac:dyDescent="0.25">
      <c r="A3405" s="5"/>
      <c r="B3405" s="5"/>
      <c r="C3405" s="5"/>
    </row>
    <row r="3406" spans="1:3" x14ac:dyDescent="0.25">
      <c r="A3406" s="5"/>
      <c r="B3406" s="5"/>
      <c r="C3406" s="5"/>
    </row>
    <row r="3407" spans="1:3" x14ac:dyDescent="0.25">
      <c r="A3407" s="5"/>
      <c r="B3407" s="5"/>
      <c r="C3407" s="5"/>
    </row>
    <row r="3408" spans="1:3" x14ac:dyDescent="0.25">
      <c r="A3408" s="5"/>
      <c r="B3408" s="5"/>
      <c r="C3408" s="5"/>
    </row>
    <row r="3409" spans="1:3" x14ac:dyDescent="0.25">
      <c r="A3409" s="5"/>
      <c r="B3409" s="5"/>
      <c r="C3409" s="5"/>
    </row>
    <row r="3410" spans="1:3" x14ac:dyDescent="0.25">
      <c r="A3410" s="5"/>
      <c r="B3410" s="5"/>
      <c r="C3410" s="5"/>
    </row>
    <row r="3411" spans="1:3" x14ac:dyDescent="0.25">
      <c r="A3411" s="5"/>
      <c r="B3411" s="5"/>
      <c r="C3411" s="5"/>
    </row>
    <row r="3412" spans="1:3" x14ac:dyDescent="0.25">
      <c r="A3412" s="5"/>
      <c r="B3412" s="5"/>
      <c r="C3412" s="5"/>
    </row>
    <row r="3413" spans="1:3" x14ac:dyDescent="0.25">
      <c r="A3413" s="5"/>
      <c r="B3413" s="5"/>
      <c r="C3413" s="5"/>
    </row>
    <row r="3414" spans="1:3" x14ac:dyDescent="0.25">
      <c r="A3414" s="5"/>
      <c r="B3414" s="5"/>
      <c r="C3414" s="5"/>
    </row>
    <row r="3415" spans="1:3" x14ac:dyDescent="0.25">
      <c r="A3415" s="5"/>
      <c r="B3415" s="5"/>
      <c r="C3415" s="5"/>
    </row>
    <row r="3416" spans="1:3" x14ac:dyDescent="0.25">
      <c r="A3416" s="5"/>
      <c r="B3416" s="5"/>
      <c r="C3416" s="5"/>
    </row>
    <row r="3417" spans="1:3" x14ac:dyDescent="0.25">
      <c r="A3417" s="5"/>
      <c r="B3417" s="5"/>
      <c r="C3417" s="5"/>
    </row>
    <row r="3418" spans="1:3" x14ac:dyDescent="0.25">
      <c r="A3418" s="5"/>
      <c r="B3418" s="5"/>
      <c r="C3418" s="5"/>
    </row>
    <row r="3419" spans="1:3" x14ac:dyDescent="0.25">
      <c r="A3419" s="5"/>
      <c r="B3419" s="5"/>
      <c r="C3419" s="5"/>
    </row>
    <row r="3420" spans="1:3" x14ac:dyDescent="0.25">
      <c r="A3420" s="5"/>
      <c r="B3420" s="5"/>
      <c r="C3420" s="5"/>
    </row>
    <row r="3421" spans="1:3" x14ac:dyDescent="0.25">
      <c r="A3421" s="5"/>
      <c r="B3421" s="5"/>
      <c r="C3421" s="5"/>
    </row>
    <row r="3422" spans="1:3" x14ac:dyDescent="0.25">
      <c r="A3422" s="5"/>
      <c r="B3422" s="5"/>
      <c r="C3422" s="5"/>
    </row>
    <row r="3423" spans="1:3" x14ac:dyDescent="0.25">
      <c r="A3423" s="5"/>
      <c r="B3423" s="5"/>
      <c r="C3423" s="5"/>
    </row>
    <row r="3424" spans="1:3" x14ac:dyDescent="0.25">
      <c r="A3424" s="5"/>
      <c r="B3424" s="5"/>
      <c r="C3424" s="5"/>
    </row>
    <row r="3425" spans="1:3" x14ac:dyDescent="0.25">
      <c r="A3425" s="5"/>
      <c r="B3425" s="5"/>
      <c r="C3425" s="5"/>
    </row>
    <row r="3426" spans="1:3" x14ac:dyDescent="0.25">
      <c r="A3426" s="5"/>
      <c r="B3426" s="5"/>
      <c r="C3426" s="5"/>
    </row>
    <row r="3427" spans="1:3" x14ac:dyDescent="0.25">
      <c r="A3427" s="5"/>
      <c r="B3427" s="5"/>
      <c r="C3427" s="5"/>
    </row>
    <row r="3428" spans="1:3" x14ac:dyDescent="0.25">
      <c r="A3428" s="5"/>
      <c r="B3428" s="5"/>
      <c r="C3428" s="5"/>
    </row>
    <row r="3429" spans="1:3" x14ac:dyDescent="0.25">
      <c r="A3429" s="5"/>
      <c r="B3429" s="5"/>
      <c r="C3429" s="5"/>
    </row>
    <row r="3430" spans="1:3" x14ac:dyDescent="0.25">
      <c r="A3430" s="5"/>
      <c r="B3430" s="5"/>
      <c r="C3430" s="5"/>
    </row>
    <row r="3431" spans="1:3" x14ac:dyDescent="0.25">
      <c r="A3431" s="5"/>
      <c r="B3431" s="5"/>
      <c r="C3431" s="5"/>
    </row>
    <row r="3432" spans="1:3" x14ac:dyDescent="0.25">
      <c r="A3432" s="5"/>
      <c r="B3432" s="5"/>
      <c r="C3432" s="5"/>
    </row>
    <row r="3433" spans="1:3" x14ac:dyDescent="0.25">
      <c r="A3433" s="5"/>
      <c r="B3433" s="5"/>
      <c r="C3433" s="5"/>
    </row>
    <row r="3434" spans="1:3" x14ac:dyDescent="0.25">
      <c r="A3434" s="5"/>
      <c r="B3434" s="5"/>
      <c r="C3434" s="5"/>
    </row>
    <row r="3435" spans="1:3" x14ac:dyDescent="0.25">
      <c r="A3435" s="5"/>
      <c r="B3435" s="5"/>
      <c r="C3435" s="5"/>
    </row>
    <row r="3436" spans="1:3" x14ac:dyDescent="0.25">
      <c r="A3436" s="5"/>
      <c r="B3436" s="5"/>
      <c r="C3436" s="5"/>
    </row>
    <row r="3437" spans="1:3" x14ac:dyDescent="0.25">
      <c r="A3437" s="5"/>
      <c r="B3437" s="5"/>
      <c r="C3437" s="5"/>
    </row>
    <row r="3438" spans="1:3" x14ac:dyDescent="0.25">
      <c r="A3438" s="5"/>
      <c r="B3438" s="5"/>
      <c r="C3438" s="5"/>
    </row>
    <row r="3439" spans="1:3" x14ac:dyDescent="0.25">
      <c r="A3439" s="5"/>
      <c r="B3439" s="5"/>
      <c r="C3439" s="5"/>
    </row>
    <row r="3440" spans="1:3" x14ac:dyDescent="0.25">
      <c r="A3440" s="5"/>
      <c r="B3440" s="5"/>
      <c r="C3440" s="5"/>
    </row>
    <row r="3441" spans="1:3" x14ac:dyDescent="0.25">
      <c r="A3441" s="5"/>
      <c r="B3441" s="5"/>
      <c r="C3441" s="5"/>
    </row>
    <row r="3442" spans="1:3" x14ac:dyDescent="0.25">
      <c r="A3442" s="5"/>
      <c r="B3442" s="5"/>
      <c r="C3442" s="5"/>
    </row>
    <row r="3443" spans="1:3" x14ac:dyDescent="0.25">
      <c r="A3443" s="5"/>
      <c r="B3443" s="5"/>
      <c r="C3443" s="5"/>
    </row>
    <row r="3444" spans="1:3" x14ac:dyDescent="0.25">
      <c r="A3444" s="5"/>
      <c r="B3444" s="5"/>
      <c r="C3444" s="5"/>
    </row>
    <row r="3445" spans="1:3" x14ac:dyDescent="0.25">
      <c r="A3445" s="5"/>
      <c r="B3445" s="5"/>
      <c r="C3445" s="5"/>
    </row>
    <row r="3446" spans="1:3" x14ac:dyDescent="0.25">
      <c r="A3446" s="5"/>
      <c r="B3446" s="5"/>
      <c r="C3446" s="5"/>
    </row>
    <row r="3447" spans="1:3" x14ac:dyDescent="0.25">
      <c r="A3447" s="5"/>
      <c r="B3447" s="5"/>
      <c r="C3447" s="5"/>
    </row>
    <row r="3448" spans="1:3" x14ac:dyDescent="0.25">
      <c r="A3448" s="5"/>
      <c r="B3448" s="5"/>
      <c r="C3448" s="5"/>
    </row>
    <row r="3449" spans="1:3" x14ac:dyDescent="0.25">
      <c r="A3449" s="5"/>
      <c r="B3449" s="5"/>
      <c r="C3449" s="5"/>
    </row>
    <row r="3450" spans="1:3" x14ac:dyDescent="0.25">
      <c r="A3450" s="5"/>
      <c r="B3450" s="5"/>
      <c r="C3450" s="5"/>
    </row>
    <row r="3451" spans="1:3" x14ac:dyDescent="0.25">
      <c r="A3451" s="5"/>
      <c r="B3451" s="5"/>
      <c r="C3451" s="5"/>
    </row>
    <row r="3452" spans="1:3" x14ac:dyDescent="0.25">
      <c r="A3452" s="5"/>
      <c r="B3452" s="5"/>
      <c r="C3452" s="5"/>
    </row>
    <row r="3453" spans="1:3" x14ac:dyDescent="0.25">
      <c r="A3453" s="5"/>
      <c r="B3453" s="5"/>
      <c r="C3453" s="5"/>
    </row>
    <row r="3454" spans="1:3" x14ac:dyDescent="0.25">
      <c r="A3454" s="5"/>
      <c r="B3454" s="5"/>
      <c r="C3454" s="5"/>
    </row>
    <row r="3455" spans="1:3" x14ac:dyDescent="0.25">
      <c r="A3455" s="5"/>
      <c r="B3455" s="5"/>
      <c r="C3455" s="5"/>
    </row>
    <row r="3456" spans="1:3" x14ac:dyDescent="0.25">
      <c r="A3456" s="5"/>
      <c r="B3456" s="5"/>
      <c r="C3456" s="5"/>
    </row>
    <row r="3457" spans="1:3" x14ac:dyDescent="0.25">
      <c r="A3457" s="5"/>
      <c r="B3457" s="5"/>
      <c r="C3457" s="5"/>
    </row>
    <row r="3458" spans="1:3" x14ac:dyDescent="0.25">
      <c r="A3458" s="5"/>
      <c r="B3458" s="5"/>
      <c r="C3458" s="5"/>
    </row>
    <row r="3459" spans="1:3" x14ac:dyDescent="0.25">
      <c r="A3459" s="5"/>
      <c r="B3459" s="5"/>
      <c r="C3459" s="5"/>
    </row>
    <row r="3460" spans="1:3" x14ac:dyDescent="0.25">
      <c r="A3460" s="5"/>
      <c r="B3460" s="5"/>
      <c r="C3460" s="5"/>
    </row>
    <row r="3461" spans="1:3" x14ac:dyDescent="0.25">
      <c r="A3461" s="5"/>
      <c r="B3461" s="5"/>
      <c r="C3461" s="5"/>
    </row>
    <row r="3462" spans="1:3" x14ac:dyDescent="0.25">
      <c r="A3462" s="5"/>
      <c r="B3462" s="5"/>
      <c r="C3462" s="5"/>
    </row>
    <row r="3463" spans="1:3" x14ac:dyDescent="0.25">
      <c r="A3463" s="5"/>
      <c r="B3463" s="5"/>
      <c r="C3463" s="5"/>
    </row>
    <row r="3464" spans="1:3" x14ac:dyDescent="0.25">
      <c r="A3464" s="5"/>
      <c r="B3464" s="5"/>
      <c r="C3464" s="5"/>
    </row>
    <row r="3465" spans="1:3" x14ac:dyDescent="0.25">
      <c r="A3465" s="5"/>
      <c r="B3465" s="5"/>
      <c r="C3465" s="5"/>
    </row>
    <row r="3466" spans="1:3" x14ac:dyDescent="0.25">
      <c r="A3466" s="5"/>
      <c r="B3466" s="5"/>
      <c r="C3466" s="5"/>
    </row>
    <row r="3467" spans="1:3" x14ac:dyDescent="0.25">
      <c r="A3467" s="5"/>
      <c r="B3467" s="5"/>
      <c r="C3467" s="5"/>
    </row>
    <row r="3468" spans="1:3" x14ac:dyDescent="0.25">
      <c r="A3468" s="5"/>
      <c r="B3468" s="5"/>
      <c r="C3468" s="5"/>
    </row>
    <row r="3469" spans="1:3" x14ac:dyDescent="0.25">
      <c r="A3469" s="5"/>
      <c r="B3469" s="5"/>
      <c r="C3469" s="5"/>
    </row>
    <row r="3470" spans="1:3" x14ac:dyDescent="0.25">
      <c r="A3470" s="5"/>
      <c r="B3470" s="5"/>
      <c r="C3470" s="5"/>
    </row>
    <row r="3471" spans="1:3" x14ac:dyDescent="0.25">
      <c r="A3471" s="5"/>
      <c r="B3471" s="5"/>
      <c r="C3471" s="5"/>
    </row>
    <row r="3472" spans="1:3" x14ac:dyDescent="0.25">
      <c r="A3472" s="5"/>
      <c r="B3472" s="5"/>
      <c r="C3472" s="5"/>
    </row>
    <row r="3473" spans="1:3" x14ac:dyDescent="0.25">
      <c r="A3473" s="5"/>
      <c r="B3473" s="5"/>
      <c r="C3473" s="5"/>
    </row>
    <row r="3474" spans="1:3" x14ac:dyDescent="0.25">
      <c r="A3474" s="5"/>
      <c r="B3474" s="5"/>
      <c r="C3474" s="5"/>
    </row>
    <row r="3475" spans="1:3" x14ac:dyDescent="0.25">
      <c r="A3475" s="5"/>
      <c r="B3475" s="5"/>
      <c r="C3475" s="5"/>
    </row>
    <row r="3476" spans="1:3" x14ac:dyDescent="0.25">
      <c r="A3476" s="5"/>
      <c r="B3476" s="5"/>
      <c r="C3476" s="5"/>
    </row>
    <row r="3477" spans="1:3" x14ac:dyDescent="0.25">
      <c r="A3477" s="5"/>
      <c r="B3477" s="5"/>
      <c r="C3477" s="5"/>
    </row>
    <row r="3478" spans="1:3" x14ac:dyDescent="0.25">
      <c r="A3478" s="5"/>
      <c r="B3478" s="5"/>
      <c r="C3478" s="5"/>
    </row>
    <row r="3479" spans="1:3" x14ac:dyDescent="0.25">
      <c r="A3479" s="5"/>
      <c r="B3479" s="5"/>
      <c r="C3479" s="5"/>
    </row>
    <row r="3480" spans="1:3" x14ac:dyDescent="0.25">
      <c r="A3480" s="5"/>
      <c r="B3480" s="5"/>
      <c r="C3480" s="5"/>
    </row>
    <row r="3481" spans="1:3" x14ac:dyDescent="0.25">
      <c r="A3481" s="5"/>
      <c r="B3481" s="5"/>
      <c r="C3481" s="5"/>
    </row>
    <row r="3482" spans="1:3" x14ac:dyDescent="0.25">
      <c r="A3482" s="5"/>
      <c r="B3482" s="5"/>
      <c r="C3482" s="5"/>
    </row>
    <row r="3483" spans="1:3" x14ac:dyDescent="0.25">
      <c r="A3483" s="5"/>
      <c r="B3483" s="5"/>
      <c r="C3483" s="5"/>
    </row>
    <row r="3484" spans="1:3" x14ac:dyDescent="0.25">
      <c r="A3484" s="5"/>
      <c r="B3484" s="5"/>
      <c r="C3484" s="5"/>
    </row>
    <row r="3485" spans="1:3" x14ac:dyDescent="0.25">
      <c r="A3485" s="5"/>
      <c r="B3485" s="5"/>
      <c r="C3485" s="5"/>
    </row>
    <row r="3486" spans="1:3" x14ac:dyDescent="0.25">
      <c r="A3486" s="5"/>
      <c r="B3486" s="5"/>
      <c r="C3486" s="5"/>
    </row>
    <row r="3487" spans="1:3" x14ac:dyDescent="0.25">
      <c r="A3487" s="5"/>
      <c r="B3487" s="5"/>
      <c r="C3487" s="5"/>
    </row>
    <row r="3488" spans="1:3" x14ac:dyDescent="0.25">
      <c r="A3488" s="5"/>
      <c r="B3488" s="5"/>
      <c r="C3488" s="5"/>
    </row>
    <row r="3489" spans="1:3" x14ac:dyDescent="0.25">
      <c r="A3489" s="5"/>
      <c r="B3489" s="5"/>
      <c r="C3489" s="5"/>
    </row>
    <row r="3490" spans="1:3" x14ac:dyDescent="0.25">
      <c r="A3490" s="5"/>
      <c r="B3490" s="5"/>
      <c r="C3490" s="5"/>
    </row>
    <row r="3491" spans="1:3" x14ac:dyDescent="0.25">
      <c r="A3491" s="5"/>
      <c r="B3491" s="5"/>
      <c r="C3491" s="5"/>
    </row>
    <row r="3492" spans="1:3" x14ac:dyDescent="0.25">
      <c r="A3492" s="5"/>
      <c r="B3492" s="5"/>
      <c r="C3492" s="5"/>
    </row>
    <row r="3493" spans="1:3" x14ac:dyDescent="0.25">
      <c r="A3493" s="5"/>
      <c r="B3493" s="5"/>
      <c r="C3493" s="5"/>
    </row>
    <row r="3494" spans="1:3" x14ac:dyDescent="0.25">
      <c r="A3494" s="5"/>
      <c r="B3494" s="5"/>
      <c r="C3494" s="5"/>
    </row>
    <row r="3495" spans="1:3" x14ac:dyDescent="0.25">
      <c r="A3495" s="5"/>
      <c r="B3495" s="5"/>
      <c r="C3495" s="5"/>
    </row>
    <row r="3496" spans="1:3" x14ac:dyDescent="0.25">
      <c r="A3496" s="5"/>
      <c r="B3496" s="5"/>
      <c r="C3496" s="5"/>
    </row>
    <row r="3497" spans="1:3" x14ac:dyDescent="0.25">
      <c r="A3497" s="5"/>
      <c r="B3497" s="5"/>
      <c r="C3497" s="5"/>
    </row>
    <row r="3498" spans="1:3" x14ac:dyDescent="0.25">
      <c r="A3498" s="5"/>
      <c r="B3498" s="5"/>
      <c r="C3498" s="5"/>
    </row>
    <row r="3499" spans="1:3" x14ac:dyDescent="0.25">
      <c r="A3499" s="5"/>
      <c r="B3499" s="5"/>
      <c r="C3499" s="5"/>
    </row>
    <row r="3500" spans="1:3" x14ac:dyDescent="0.25">
      <c r="A3500" s="5"/>
      <c r="B3500" s="5"/>
      <c r="C3500" s="5"/>
    </row>
    <row r="3501" spans="1:3" x14ac:dyDescent="0.25">
      <c r="A3501" s="5"/>
      <c r="B3501" s="5"/>
      <c r="C3501" s="5"/>
    </row>
    <row r="3502" spans="1:3" x14ac:dyDescent="0.25">
      <c r="A3502" s="5"/>
      <c r="B3502" s="5"/>
      <c r="C3502" s="5"/>
    </row>
    <row r="3503" spans="1:3" x14ac:dyDescent="0.25">
      <c r="A3503" s="5"/>
      <c r="B3503" s="5"/>
      <c r="C3503" s="5"/>
    </row>
    <row r="3504" spans="1:3" x14ac:dyDescent="0.25">
      <c r="A3504" s="5"/>
      <c r="B3504" s="5"/>
      <c r="C3504" s="5"/>
    </row>
    <row r="3505" spans="1:3" x14ac:dyDescent="0.25">
      <c r="A3505" s="5"/>
      <c r="B3505" s="5"/>
      <c r="C3505" s="5"/>
    </row>
    <row r="3506" spans="1:3" x14ac:dyDescent="0.25">
      <c r="A3506" s="5"/>
      <c r="B3506" s="5"/>
      <c r="C3506" s="5"/>
    </row>
    <row r="3507" spans="1:3" x14ac:dyDescent="0.25">
      <c r="A3507" s="5"/>
      <c r="B3507" s="5"/>
      <c r="C3507" s="5"/>
    </row>
    <row r="3508" spans="1:3" x14ac:dyDescent="0.25">
      <c r="A3508" s="5"/>
      <c r="B3508" s="5"/>
      <c r="C3508" s="5"/>
    </row>
    <row r="3509" spans="1:3" x14ac:dyDescent="0.25">
      <c r="A3509" s="5"/>
      <c r="B3509" s="5"/>
      <c r="C3509" s="5"/>
    </row>
    <row r="3510" spans="1:3" x14ac:dyDescent="0.25">
      <c r="A3510" s="5"/>
      <c r="B3510" s="5"/>
      <c r="C3510" s="5"/>
    </row>
    <row r="3511" spans="1:3" x14ac:dyDescent="0.25">
      <c r="A3511" s="5"/>
      <c r="B3511" s="5"/>
      <c r="C3511" s="5"/>
    </row>
    <row r="3512" spans="1:3" x14ac:dyDescent="0.25">
      <c r="A3512" s="5"/>
      <c r="B3512" s="5"/>
      <c r="C3512" s="5"/>
    </row>
    <row r="3513" spans="1:3" x14ac:dyDescent="0.25">
      <c r="A3513" s="5"/>
      <c r="B3513" s="5"/>
      <c r="C3513" s="5"/>
    </row>
    <row r="3514" spans="1:3" x14ac:dyDescent="0.25">
      <c r="A3514" s="5"/>
      <c r="B3514" s="5"/>
      <c r="C3514" s="5"/>
    </row>
    <row r="3515" spans="1:3" x14ac:dyDescent="0.25">
      <c r="A3515" s="5"/>
      <c r="B3515" s="5"/>
      <c r="C3515" s="5"/>
    </row>
    <row r="3516" spans="1:3" x14ac:dyDescent="0.25">
      <c r="A3516" s="5"/>
      <c r="B3516" s="5"/>
      <c r="C3516" s="5"/>
    </row>
    <row r="3517" spans="1:3" x14ac:dyDescent="0.25">
      <c r="A3517" s="5"/>
      <c r="B3517" s="5"/>
      <c r="C3517" s="5"/>
    </row>
    <row r="3518" spans="1:3" x14ac:dyDescent="0.25">
      <c r="A3518" s="5"/>
      <c r="B3518" s="5"/>
      <c r="C3518" s="5"/>
    </row>
    <row r="3519" spans="1:3" x14ac:dyDescent="0.25">
      <c r="A3519" s="5"/>
      <c r="B3519" s="5"/>
      <c r="C3519" s="5"/>
    </row>
    <row r="3520" spans="1:3" x14ac:dyDescent="0.25">
      <c r="A3520" s="5"/>
      <c r="B3520" s="5"/>
      <c r="C3520" s="5"/>
    </row>
    <row r="3521" spans="1:3" x14ac:dyDescent="0.25">
      <c r="A3521" s="5"/>
      <c r="B3521" s="5"/>
      <c r="C3521" s="5"/>
    </row>
    <row r="3522" spans="1:3" x14ac:dyDescent="0.25">
      <c r="A3522" s="5"/>
      <c r="B3522" s="5"/>
      <c r="C3522" s="5"/>
    </row>
    <row r="3523" spans="1:3" x14ac:dyDescent="0.25">
      <c r="A3523" s="5"/>
      <c r="B3523" s="5"/>
      <c r="C3523" s="5"/>
    </row>
    <row r="3524" spans="1:3" x14ac:dyDescent="0.25">
      <c r="A3524" s="5"/>
      <c r="B3524" s="5"/>
      <c r="C3524" s="5"/>
    </row>
    <row r="3525" spans="1:3" x14ac:dyDescent="0.25">
      <c r="A3525" s="5"/>
      <c r="B3525" s="5"/>
      <c r="C3525" s="5"/>
    </row>
    <row r="3526" spans="1:3" x14ac:dyDescent="0.25">
      <c r="A3526" s="5"/>
      <c r="B3526" s="5"/>
      <c r="C3526" s="5"/>
    </row>
    <row r="3527" spans="1:3" x14ac:dyDescent="0.25">
      <c r="A3527" s="5"/>
      <c r="B3527" s="5"/>
      <c r="C3527" s="5"/>
    </row>
    <row r="3528" spans="1:3" x14ac:dyDescent="0.25">
      <c r="A3528" s="5"/>
      <c r="B3528" s="5"/>
      <c r="C3528" s="5"/>
    </row>
    <row r="3529" spans="1:3" x14ac:dyDescent="0.25">
      <c r="A3529" s="5"/>
      <c r="B3529" s="5"/>
      <c r="C3529" s="5"/>
    </row>
    <row r="3530" spans="1:3" x14ac:dyDescent="0.25">
      <c r="A3530" s="5"/>
      <c r="B3530" s="5"/>
      <c r="C3530" s="5"/>
    </row>
    <row r="3531" spans="1:3" x14ac:dyDescent="0.25">
      <c r="A3531" s="5"/>
      <c r="B3531" s="5"/>
      <c r="C3531" s="5"/>
    </row>
    <row r="3532" spans="1:3" x14ac:dyDescent="0.25">
      <c r="A3532" s="5"/>
      <c r="B3532" s="5"/>
      <c r="C3532" s="5"/>
    </row>
    <row r="3533" spans="1:3" x14ac:dyDescent="0.25">
      <c r="A3533" s="5"/>
      <c r="B3533" s="5"/>
      <c r="C3533" s="5"/>
    </row>
    <row r="3534" spans="1:3" x14ac:dyDescent="0.25">
      <c r="A3534" s="5"/>
      <c r="B3534" s="5"/>
      <c r="C3534" s="5"/>
    </row>
    <row r="3535" spans="1:3" x14ac:dyDescent="0.25">
      <c r="A3535" s="5"/>
      <c r="B3535" s="5"/>
      <c r="C3535" s="5"/>
    </row>
    <row r="3536" spans="1:3" x14ac:dyDescent="0.25">
      <c r="A3536" s="5"/>
      <c r="B3536" s="5"/>
      <c r="C3536" s="5"/>
    </row>
    <row r="3537" spans="1:3" x14ac:dyDescent="0.25">
      <c r="A3537" s="5"/>
      <c r="B3537" s="5"/>
      <c r="C3537" s="5"/>
    </row>
    <row r="3538" spans="1:3" x14ac:dyDescent="0.25">
      <c r="A3538" s="5"/>
      <c r="B3538" s="5"/>
      <c r="C3538" s="5"/>
    </row>
    <row r="3539" spans="1:3" x14ac:dyDescent="0.25">
      <c r="A3539" s="5"/>
      <c r="B3539" s="5"/>
      <c r="C3539" s="5"/>
    </row>
    <row r="3540" spans="1:3" x14ac:dyDescent="0.25">
      <c r="A3540" s="5"/>
      <c r="B3540" s="5"/>
      <c r="C3540" s="5"/>
    </row>
    <row r="3541" spans="1:3" x14ac:dyDescent="0.25">
      <c r="A3541" s="5"/>
      <c r="B3541" s="5"/>
      <c r="C3541" s="5"/>
    </row>
    <row r="3542" spans="1:3" x14ac:dyDescent="0.25">
      <c r="A3542" s="5"/>
      <c r="B3542" s="5"/>
      <c r="C3542" s="5"/>
    </row>
    <row r="3543" spans="1:3" x14ac:dyDescent="0.25">
      <c r="A3543" s="5"/>
      <c r="B3543" s="5"/>
      <c r="C3543" s="5"/>
    </row>
    <row r="3544" spans="1:3" x14ac:dyDescent="0.25">
      <c r="A3544" s="5"/>
      <c r="B3544" s="5"/>
      <c r="C3544" s="5"/>
    </row>
    <row r="3545" spans="1:3" x14ac:dyDescent="0.25">
      <c r="A3545" s="5"/>
      <c r="B3545" s="5"/>
      <c r="C3545" s="5"/>
    </row>
    <row r="3546" spans="1:3" x14ac:dyDescent="0.25">
      <c r="A3546" s="5"/>
      <c r="B3546" s="5"/>
      <c r="C3546" s="5"/>
    </row>
    <row r="3547" spans="1:3" x14ac:dyDescent="0.25">
      <c r="A3547" s="5"/>
      <c r="B3547" s="5"/>
      <c r="C3547" s="5"/>
    </row>
    <row r="3548" spans="1:3" x14ac:dyDescent="0.25">
      <c r="A3548" s="5"/>
      <c r="B3548" s="5"/>
      <c r="C3548" s="5"/>
    </row>
    <row r="3549" spans="1:3" x14ac:dyDescent="0.25">
      <c r="A3549" s="5"/>
      <c r="B3549" s="5"/>
      <c r="C3549" s="5"/>
    </row>
    <row r="3550" spans="1:3" x14ac:dyDescent="0.25">
      <c r="A3550" s="5"/>
      <c r="B3550" s="5"/>
      <c r="C3550" s="5"/>
    </row>
    <row r="3551" spans="1:3" x14ac:dyDescent="0.25">
      <c r="A3551" s="5"/>
      <c r="B3551" s="5"/>
      <c r="C3551" s="5"/>
    </row>
    <row r="3552" spans="1:3" x14ac:dyDescent="0.25">
      <c r="A3552" s="5"/>
      <c r="B3552" s="5"/>
      <c r="C3552" s="5"/>
    </row>
    <row r="3553" spans="1:3" x14ac:dyDescent="0.25">
      <c r="A3553" s="5"/>
      <c r="B3553" s="5"/>
      <c r="C3553" s="5"/>
    </row>
    <row r="3554" spans="1:3" x14ac:dyDescent="0.25">
      <c r="A3554" s="5"/>
      <c r="B3554" s="5"/>
      <c r="C3554" s="5"/>
    </row>
    <row r="3555" spans="1:3" x14ac:dyDescent="0.25">
      <c r="A3555" s="5"/>
      <c r="B3555" s="5"/>
      <c r="C3555" s="5"/>
    </row>
    <row r="3556" spans="1:3" x14ac:dyDescent="0.25">
      <c r="A3556" s="5"/>
      <c r="B3556" s="5"/>
      <c r="C3556" s="5"/>
    </row>
    <row r="3557" spans="1:3" x14ac:dyDescent="0.25">
      <c r="A3557" s="5"/>
      <c r="B3557" s="5"/>
      <c r="C3557" s="5"/>
    </row>
    <row r="3558" spans="1:3" x14ac:dyDescent="0.25">
      <c r="A3558" s="5"/>
      <c r="B3558" s="5"/>
      <c r="C3558" s="5"/>
    </row>
    <row r="3559" spans="1:3" x14ac:dyDescent="0.25">
      <c r="A3559" s="5"/>
      <c r="B3559" s="5"/>
      <c r="C3559" s="5"/>
    </row>
    <row r="3560" spans="1:3" x14ac:dyDescent="0.25">
      <c r="A3560" s="5"/>
      <c r="B3560" s="5"/>
      <c r="C3560" s="5"/>
    </row>
    <row r="3561" spans="1:3" x14ac:dyDescent="0.25">
      <c r="A3561" s="5"/>
      <c r="B3561" s="5"/>
      <c r="C3561" s="5"/>
    </row>
    <row r="3562" spans="1:3" x14ac:dyDescent="0.25">
      <c r="A3562" s="5"/>
      <c r="B3562" s="5"/>
      <c r="C3562" s="5"/>
    </row>
    <row r="3563" spans="1:3" x14ac:dyDescent="0.25">
      <c r="A3563" s="5"/>
      <c r="B3563" s="5"/>
      <c r="C3563" s="5"/>
    </row>
    <row r="3564" spans="1:3" x14ac:dyDescent="0.25">
      <c r="A3564" s="5"/>
      <c r="B3564" s="5"/>
      <c r="C3564" s="5"/>
    </row>
    <row r="3565" spans="1:3" x14ac:dyDescent="0.25">
      <c r="A3565" s="5"/>
      <c r="B3565" s="5"/>
      <c r="C3565" s="5"/>
    </row>
    <row r="3566" spans="1:3" x14ac:dyDescent="0.25">
      <c r="A3566" s="5"/>
      <c r="B3566" s="5"/>
      <c r="C3566" s="5"/>
    </row>
    <row r="3567" spans="1:3" x14ac:dyDescent="0.25">
      <c r="A3567" s="5"/>
      <c r="B3567" s="5"/>
      <c r="C3567" s="5"/>
    </row>
    <row r="3568" spans="1:3" x14ac:dyDescent="0.25">
      <c r="A3568" s="5"/>
      <c r="B3568" s="5"/>
      <c r="C3568" s="5"/>
    </row>
    <row r="3569" spans="1:3" x14ac:dyDescent="0.25">
      <c r="A3569" s="5"/>
      <c r="B3569" s="5"/>
      <c r="C3569" s="5"/>
    </row>
    <row r="3570" spans="1:3" x14ac:dyDescent="0.25">
      <c r="A3570" s="5"/>
      <c r="B3570" s="5"/>
      <c r="C3570" s="5"/>
    </row>
    <row r="3571" spans="1:3" x14ac:dyDescent="0.25">
      <c r="A3571" s="5"/>
      <c r="B3571" s="5"/>
      <c r="C3571" s="5"/>
    </row>
    <row r="3572" spans="1:3" x14ac:dyDescent="0.25">
      <c r="A3572" s="5"/>
      <c r="B3572" s="5"/>
      <c r="C3572" s="5"/>
    </row>
    <row r="3573" spans="1:3" x14ac:dyDescent="0.25">
      <c r="A3573" s="5"/>
      <c r="B3573" s="5"/>
      <c r="C3573" s="5"/>
    </row>
    <row r="3574" spans="1:3" x14ac:dyDescent="0.25">
      <c r="A3574" s="5"/>
      <c r="B3574" s="5"/>
      <c r="C3574" s="5"/>
    </row>
    <row r="3575" spans="1:3" x14ac:dyDescent="0.25">
      <c r="A3575" s="5"/>
      <c r="B3575" s="5"/>
      <c r="C3575" s="5"/>
    </row>
    <row r="3576" spans="1:3" x14ac:dyDescent="0.25">
      <c r="A3576" s="5"/>
      <c r="B3576" s="5"/>
      <c r="C3576" s="5"/>
    </row>
    <row r="3577" spans="1:3" x14ac:dyDescent="0.25">
      <c r="A3577" s="5"/>
      <c r="B3577" s="5"/>
      <c r="C3577" s="5"/>
    </row>
    <row r="3578" spans="1:3" x14ac:dyDescent="0.25">
      <c r="A3578" s="5"/>
      <c r="B3578" s="5"/>
      <c r="C3578" s="5"/>
    </row>
    <row r="3579" spans="1:3" x14ac:dyDescent="0.25">
      <c r="A3579" s="5"/>
      <c r="B3579" s="5"/>
      <c r="C3579" s="5"/>
    </row>
    <row r="3580" spans="1:3" x14ac:dyDescent="0.25">
      <c r="A3580" s="5"/>
      <c r="B3580" s="5"/>
      <c r="C3580" s="5"/>
    </row>
    <row r="3581" spans="1:3" x14ac:dyDescent="0.25">
      <c r="A3581" s="5"/>
      <c r="B3581" s="5"/>
      <c r="C3581" s="5"/>
    </row>
    <row r="3582" spans="1:3" x14ac:dyDescent="0.25">
      <c r="A3582" s="5"/>
      <c r="B3582" s="5"/>
      <c r="C3582" s="5"/>
    </row>
    <row r="3583" spans="1:3" x14ac:dyDescent="0.25">
      <c r="A3583" s="5"/>
      <c r="B3583" s="5"/>
      <c r="C3583" s="5"/>
    </row>
    <row r="3584" spans="1:3" x14ac:dyDescent="0.25">
      <c r="A3584" s="5"/>
      <c r="B3584" s="5"/>
      <c r="C3584" s="5"/>
    </row>
    <row r="3585" spans="1:3" x14ac:dyDescent="0.25">
      <c r="A3585" s="5"/>
      <c r="B3585" s="5"/>
      <c r="C3585" s="5"/>
    </row>
    <row r="3586" spans="1:3" x14ac:dyDescent="0.25">
      <c r="A3586" s="5"/>
      <c r="B3586" s="5"/>
      <c r="C3586" s="5"/>
    </row>
    <row r="3587" spans="1:3" x14ac:dyDescent="0.25">
      <c r="A3587" s="5"/>
      <c r="B3587" s="5"/>
      <c r="C3587" s="5"/>
    </row>
    <row r="3588" spans="1:3" x14ac:dyDescent="0.25">
      <c r="A3588" s="5"/>
      <c r="B3588" s="5"/>
      <c r="C3588" s="5"/>
    </row>
    <row r="3589" spans="1:3" x14ac:dyDescent="0.25">
      <c r="A3589" s="5"/>
      <c r="B3589" s="5"/>
      <c r="C3589" s="5"/>
    </row>
    <row r="3590" spans="1:3" x14ac:dyDescent="0.25">
      <c r="A3590" s="5"/>
      <c r="B3590" s="5"/>
      <c r="C3590" s="5"/>
    </row>
    <row r="3591" spans="1:3" x14ac:dyDescent="0.25">
      <c r="A3591" s="5"/>
      <c r="B3591" s="5"/>
      <c r="C3591" s="5"/>
    </row>
    <row r="3592" spans="1:3" x14ac:dyDescent="0.25">
      <c r="A3592" s="5"/>
      <c r="B3592" s="5"/>
      <c r="C3592" s="5"/>
    </row>
    <row r="3593" spans="1:3" x14ac:dyDescent="0.25">
      <c r="A3593" s="5"/>
      <c r="B3593" s="5"/>
      <c r="C3593" s="5"/>
    </row>
    <row r="3594" spans="1:3" x14ac:dyDescent="0.25">
      <c r="A3594" s="5"/>
      <c r="B3594" s="5"/>
      <c r="C3594" s="5"/>
    </row>
    <row r="3595" spans="1:3" x14ac:dyDescent="0.25">
      <c r="A3595" s="5"/>
      <c r="B3595" s="5"/>
      <c r="C3595" s="5"/>
    </row>
    <row r="3596" spans="1:3" x14ac:dyDescent="0.25">
      <c r="A3596" s="5"/>
      <c r="B3596" s="5"/>
      <c r="C3596" s="5"/>
    </row>
    <row r="3597" spans="1:3" x14ac:dyDescent="0.25">
      <c r="A3597" s="5"/>
      <c r="B3597" s="5"/>
      <c r="C3597" s="5"/>
    </row>
    <row r="3598" spans="1:3" x14ac:dyDescent="0.25">
      <c r="A3598" s="5"/>
      <c r="B3598" s="5"/>
      <c r="C3598" s="5"/>
    </row>
    <row r="3599" spans="1:3" x14ac:dyDescent="0.25">
      <c r="A3599" s="5"/>
      <c r="B3599" s="5"/>
      <c r="C3599" s="5"/>
    </row>
    <row r="3600" spans="1:3" x14ac:dyDescent="0.25">
      <c r="A3600" s="5"/>
      <c r="B3600" s="5"/>
      <c r="C3600" s="5"/>
    </row>
    <row r="3601" spans="1:3" x14ac:dyDescent="0.25">
      <c r="A3601" s="5"/>
      <c r="B3601" s="5"/>
      <c r="C3601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6B42-AEB9-4A64-A2E9-25BA9A1260D4}">
  <sheetPr>
    <tabColor theme="3" tint="0.249977111117893"/>
  </sheetPr>
  <dimension ref="A1:G548"/>
  <sheetViews>
    <sheetView workbookViewId="0">
      <selection activeCell="D13" sqref="D13"/>
    </sheetView>
  </sheetViews>
  <sheetFormatPr defaultRowHeight="15" x14ac:dyDescent="0.25"/>
  <cols>
    <col min="1" max="1" width="10.42578125" style="11" bestFit="1" customWidth="1"/>
    <col min="2" max="2" width="13.28515625" style="11" bestFit="1" customWidth="1"/>
    <col min="3" max="3" width="13.7109375" bestFit="1" customWidth="1"/>
  </cols>
  <sheetData>
    <row r="1" spans="1:7" x14ac:dyDescent="0.25">
      <c r="A1" s="10" t="s">
        <v>35</v>
      </c>
      <c r="B1" s="10" t="s">
        <v>45</v>
      </c>
      <c r="C1" s="10" t="s">
        <v>46</v>
      </c>
      <c r="D1" s="10" t="s">
        <v>51</v>
      </c>
      <c r="E1" s="10" t="s">
        <v>52</v>
      </c>
      <c r="F1" s="10" t="s">
        <v>53</v>
      </c>
      <c r="G1" s="10" t="s">
        <v>54</v>
      </c>
    </row>
    <row r="2" spans="1:7" x14ac:dyDescent="0.25">
      <c r="A2" s="21">
        <v>44540</v>
      </c>
      <c r="B2" s="5">
        <v>1238.54</v>
      </c>
      <c r="C2" s="5">
        <v>1186</v>
      </c>
      <c r="D2" s="5">
        <f>LN(B2)</f>
        <v>7.1216885455415024</v>
      </c>
      <c r="E2" s="5">
        <f>LN(C2)</f>
        <v>7.0783415795576712</v>
      </c>
      <c r="F2" s="5"/>
      <c r="G2" s="5"/>
    </row>
    <row r="3" spans="1:7" x14ac:dyDescent="0.25">
      <c r="A3" s="21">
        <v>44547</v>
      </c>
      <c r="B3" s="5">
        <v>1216.3</v>
      </c>
      <c r="C3" s="5">
        <v>1151.5</v>
      </c>
      <c r="D3" s="5">
        <f t="shared" ref="D3:E50" si="0">LN(B3)</f>
        <v>7.1035687426243905</v>
      </c>
      <c r="E3" s="5">
        <f t="shared" si="0"/>
        <v>7.0488207192607399</v>
      </c>
      <c r="F3" s="5">
        <f t="shared" ref="F3:G50" si="1">D3-D2</f>
        <v>-1.8119802917111905E-2</v>
      </c>
      <c r="G3" s="5">
        <f t="shared" si="1"/>
        <v>-2.9520860296931239E-2</v>
      </c>
    </row>
    <row r="4" spans="1:7" x14ac:dyDescent="0.25">
      <c r="A4" s="21">
        <v>44554</v>
      </c>
      <c r="B4" s="5">
        <v>1220.55</v>
      </c>
      <c r="C4" s="5">
        <v>1170.8</v>
      </c>
      <c r="D4" s="5">
        <f t="shared" si="0"/>
        <v>7.1070568558107761</v>
      </c>
      <c r="E4" s="5">
        <f t="shared" si="0"/>
        <v>7.0654425548177304</v>
      </c>
      <c r="F4" s="5">
        <f t="shared" si="1"/>
        <v>3.488113186385533E-3</v>
      </c>
      <c r="G4" s="5">
        <f t="shared" si="1"/>
        <v>1.6621835556990483E-2</v>
      </c>
    </row>
    <row r="5" spans="1:7" x14ac:dyDescent="0.25">
      <c r="A5" s="21">
        <v>44561</v>
      </c>
      <c r="B5" s="5">
        <v>1232.01</v>
      </c>
      <c r="C5" s="5">
        <v>1176.5999999999999</v>
      </c>
      <c r="D5" s="5">
        <f t="shared" si="0"/>
        <v>7.1164022609436399</v>
      </c>
      <c r="E5" s="5">
        <f t="shared" si="0"/>
        <v>7.0703842024303558</v>
      </c>
      <c r="F5" s="5">
        <f t="shared" si="1"/>
        <v>9.3454051328638599E-3</v>
      </c>
      <c r="G5" s="5">
        <f t="shared" si="1"/>
        <v>4.9416476126253883E-3</v>
      </c>
    </row>
    <row r="6" spans="1:7" x14ac:dyDescent="0.25">
      <c r="A6" s="21">
        <v>44568</v>
      </c>
      <c r="B6" s="5">
        <v>1226.0999999999999</v>
      </c>
      <c r="C6" s="5">
        <v>1188.4000000000001</v>
      </c>
      <c r="D6" s="5">
        <f t="shared" si="0"/>
        <v>7.1115936792383412</v>
      </c>
      <c r="E6" s="5">
        <f t="shared" si="0"/>
        <v>7.0803631435884524</v>
      </c>
      <c r="F6" s="5">
        <f t="shared" si="1"/>
        <v>-4.8085817052987423E-3</v>
      </c>
      <c r="G6" s="5">
        <f t="shared" si="1"/>
        <v>9.9789411580966103E-3</v>
      </c>
    </row>
    <row r="7" spans="1:7" x14ac:dyDescent="0.25">
      <c r="A7" s="21">
        <v>44575</v>
      </c>
      <c r="B7" s="5">
        <v>1257.46</v>
      </c>
      <c r="C7" s="5">
        <v>1218.4000000000001</v>
      </c>
      <c r="D7" s="5">
        <f t="shared" si="0"/>
        <v>7.1368490923228434</v>
      </c>
      <c r="E7" s="5">
        <f t="shared" si="0"/>
        <v>7.1052938015809524</v>
      </c>
      <c r="F7" s="5">
        <f t="shared" si="1"/>
        <v>2.5255413084502187E-2</v>
      </c>
      <c r="G7" s="5">
        <f t="shared" si="1"/>
        <v>2.4930657992499938E-2</v>
      </c>
    </row>
    <row r="8" spans="1:7" x14ac:dyDescent="0.25">
      <c r="A8" s="21">
        <v>44582</v>
      </c>
      <c r="B8" s="5">
        <v>1244.31</v>
      </c>
      <c r="C8" s="5">
        <v>1192.0999999999999</v>
      </c>
      <c r="D8" s="5">
        <f t="shared" si="0"/>
        <v>7.126336438396403</v>
      </c>
      <c r="E8" s="5">
        <f t="shared" si="0"/>
        <v>7.0834717367239559</v>
      </c>
      <c r="F8" s="5">
        <f t="shared" si="1"/>
        <v>-1.0512653926440407E-2</v>
      </c>
      <c r="G8" s="5">
        <f t="shared" si="1"/>
        <v>-2.1822064856996448E-2</v>
      </c>
    </row>
    <row r="9" spans="1:7" x14ac:dyDescent="0.25">
      <c r="A9" s="21">
        <v>44589</v>
      </c>
      <c r="B9" s="5">
        <v>1191.1400000000001</v>
      </c>
      <c r="C9" s="5">
        <v>1153.4000000000001</v>
      </c>
      <c r="D9" s="5">
        <f t="shared" si="0"/>
        <v>7.0826661107257998</v>
      </c>
      <c r="E9" s="5">
        <f t="shared" si="0"/>
        <v>7.0504693811813119</v>
      </c>
      <c r="F9" s="5">
        <f t="shared" si="1"/>
        <v>-4.3670327670603193E-2</v>
      </c>
      <c r="G9" s="5">
        <f t="shared" si="1"/>
        <v>-3.3002355542643969E-2</v>
      </c>
    </row>
    <row r="10" spans="1:7" x14ac:dyDescent="0.25">
      <c r="A10" s="21">
        <v>44596</v>
      </c>
      <c r="B10" s="5">
        <v>1221.0999999999999</v>
      </c>
      <c r="C10" s="5">
        <v>1195.5999999999999</v>
      </c>
      <c r="D10" s="5">
        <f t="shared" si="0"/>
        <v>7.1075073708389764</v>
      </c>
      <c r="E10" s="5">
        <f t="shared" si="0"/>
        <v>7.0864034304097832</v>
      </c>
      <c r="F10" s="5">
        <f t="shared" si="1"/>
        <v>2.4841260113176666E-2</v>
      </c>
      <c r="G10" s="5">
        <f t="shared" si="1"/>
        <v>3.593404922847121E-2</v>
      </c>
    </row>
    <row r="11" spans="1:7" x14ac:dyDescent="0.25">
      <c r="A11" s="21">
        <v>44603</v>
      </c>
      <c r="B11" s="5">
        <v>1240.51</v>
      </c>
      <c r="C11" s="5">
        <v>1206.3</v>
      </c>
      <c r="D11" s="5">
        <f t="shared" si="0"/>
        <v>7.123277864364983</v>
      </c>
      <c r="E11" s="5">
        <f t="shared" si="0"/>
        <v>7.0953131025713381</v>
      </c>
      <c r="F11" s="5">
        <f t="shared" si="1"/>
        <v>1.5770493526006568E-2</v>
      </c>
      <c r="G11" s="5">
        <f t="shared" si="1"/>
        <v>8.9096721615549157E-3</v>
      </c>
    </row>
    <row r="12" spans="1:7" x14ac:dyDescent="0.25">
      <c r="A12" s="21">
        <v>44610</v>
      </c>
      <c r="B12" s="5">
        <v>1231.77</v>
      </c>
      <c r="C12" s="5">
        <v>1199.7</v>
      </c>
      <c r="D12" s="5">
        <f t="shared" si="0"/>
        <v>7.1162074383533449</v>
      </c>
      <c r="E12" s="5">
        <f t="shared" si="0"/>
        <v>7.0898268045208823</v>
      </c>
      <c r="F12" s="5">
        <f t="shared" si="1"/>
        <v>-7.0704260116380979E-3</v>
      </c>
      <c r="G12" s="5">
        <f t="shared" si="1"/>
        <v>-5.4862980504557513E-3</v>
      </c>
    </row>
    <row r="13" spans="1:7" x14ac:dyDescent="0.25">
      <c r="A13" s="21">
        <v>44617</v>
      </c>
      <c r="B13" s="5">
        <v>1171.99</v>
      </c>
      <c r="C13" s="5">
        <v>1171.0999999999999</v>
      </c>
      <c r="D13" s="5">
        <f t="shared" si="0"/>
        <v>7.0664584376773485</v>
      </c>
      <c r="E13" s="5">
        <f t="shared" si="0"/>
        <v>7.0656987570480911</v>
      </c>
      <c r="F13" s="5">
        <f t="shared" si="1"/>
        <v>-4.9749000675996413E-2</v>
      </c>
      <c r="G13" s="5">
        <f t="shared" si="1"/>
        <v>-2.4128047472791181E-2</v>
      </c>
    </row>
    <row r="14" spans="1:7" x14ac:dyDescent="0.25">
      <c r="A14" s="21">
        <v>44624</v>
      </c>
      <c r="B14" s="5">
        <v>1144.9100000000001</v>
      </c>
      <c r="C14" s="5">
        <v>1094.8</v>
      </c>
      <c r="D14" s="5">
        <f t="shared" si="0"/>
        <v>7.0430813102789047</v>
      </c>
      <c r="E14" s="5">
        <f t="shared" si="0"/>
        <v>6.9983269771665242</v>
      </c>
      <c r="F14" s="5">
        <f t="shared" si="1"/>
        <v>-2.3377127398443776E-2</v>
      </c>
      <c r="G14" s="5">
        <f t="shared" si="1"/>
        <v>-6.7371779881566951E-2</v>
      </c>
    </row>
    <row r="15" spans="1:7" x14ac:dyDescent="0.25">
      <c r="A15" s="21">
        <v>44631</v>
      </c>
      <c r="B15" s="5">
        <v>1085.6600000000001</v>
      </c>
      <c r="C15" s="5">
        <v>1048.8</v>
      </c>
      <c r="D15" s="5">
        <f t="shared" si="0"/>
        <v>6.9899433759690677</v>
      </c>
      <c r="E15" s="5">
        <f t="shared" si="0"/>
        <v>6.9554019324494902</v>
      </c>
      <c r="F15" s="5">
        <f t="shared" si="1"/>
        <v>-5.3137934309837043E-2</v>
      </c>
      <c r="G15" s="5">
        <f t="shared" si="1"/>
        <v>-4.2925044717033956E-2</v>
      </c>
    </row>
    <row r="16" spans="1:7" x14ac:dyDescent="0.25">
      <c r="A16" s="21">
        <v>44638</v>
      </c>
      <c r="B16" s="5">
        <v>1122.98</v>
      </c>
      <c r="C16" s="5">
        <v>1129.5</v>
      </c>
      <c r="D16" s="5">
        <f t="shared" si="0"/>
        <v>7.0237411451408507</v>
      </c>
      <c r="E16" s="5">
        <f t="shared" si="0"/>
        <v>7.0295303359080581</v>
      </c>
      <c r="F16" s="5">
        <f t="shared" si="1"/>
        <v>3.379776917178301E-2</v>
      </c>
      <c r="G16" s="5">
        <f t="shared" si="1"/>
        <v>7.412840345856786E-2</v>
      </c>
    </row>
    <row r="17" spans="1:7" x14ac:dyDescent="0.25">
      <c r="A17" s="21">
        <v>44645</v>
      </c>
      <c r="B17" s="5">
        <v>1125.01</v>
      </c>
      <c r="C17" s="5">
        <v>1138.8</v>
      </c>
      <c r="D17" s="5">
        <f t="shared" si="0"/>
        <v>7.0255472034879034</v>
      </c>
      <c r="E17" s="5">
        <f t="shared" si="0"/>
        <v>7.0377303554038821</v>
      </c>
      <c r="F17" s="5">
        <f t="shared" si="1"/>
        <v>1.8060583470527192E-3</v>
      </c>
      <c r="G17" s="5">
        <f t="shared" si="1"/>
        <v>8.2000194958240513E-3</v>
      </c>
    </row>
    <row r="18" spans="1:7" x14ac:dyDescent="0.25">
      <c r="A18" s="21">
        <v>44652</v>
      </c>
      <c r="B18" s="5">
        <v>1145.8499999999999</v>
      </c>
      <c r="C18" s="5">
        <v>1161.5999999999999</v>
      </c>
      <c r="D18" s="5">
        <f t="shared" si="0"/>
        <v>7.0439019986554783</v>
      </c>
      <c r="E18" s="5">
        <f t="shared" si="0"/>
        <v>7.0575536440705315</v>
      </c>
      <c r="F18" s="5">
        <f t="shared" si="1"/>
        <v>1.8354795167574878E-2</v>
      </c>
      <c r="G18" s="5">
        <f t="shared" si="1"/>
        <v>1.9823288666649397E-2</v>
      </c>
    </row>
    <row r="19" spans="1:7" x14ac:dyDescent="0.25">
      <c r="A19" s="21">
        <v>44659</v>
      </c>
      <c r="B19" s="5">
        <v>1127.93</v>
      </c>
      <c r="C19" s="5">
        <v>1142.8</v>
      </c>
      <c r="D19" s="5">
        <f t="shared" si="0"/>
        <v>7.0281393733948168</v>
      </c>
      <c r="E19" s="5">
        <f t="shared" si="0"/>
        <v>7.0412366703566178</v>
      </c>
      <c r="F19" s="5">
        <f t="shared" si="1"/>
        <v>-1.5762625260661522E-2</v>
      </c>
      <c r="G19" s="5">
        <f t="shared" si="1"/>
        <v>-1.6316973713913718E-2</v>
      </c>
    </row>
    <row r="20" spans="1:7" x14ac:dyDescent="0.25">
      <c r="A20" s="21">
        <v>44666</v>
      </c>
      <c r="B20" s="5">
        <v>1112.9000000000001</v>
      </c>
      <c r="C20" s="5">
        <v>1124.5</v>
      </c>
      <c r="D20" s="5">
        <f t="shared" si="0"/>
        <v>7.0147244999793799</v>
      </c>
      <c r="E20" s="5">
        <f t="shared" si="0"/>
        <v>7.0250937713993702</v>
      </c>
      <c r="F20" s="5">
        <f t="shared" si="1"/>
        <v>-1.3414873415436901E-2</v>
      </c>
      <c r="G20" s="5">
        <f t="shared" si="1"/>
        <v>-1.6142898957247631E-2</v>
      </c>
    </row>
    <row r="21" spans="1:7" x14ac:dyDescent="0.25">
      <c r="A21" s="21">
        <v>44673</v>
      </c>
      <c r="B21" s="5">
        <v>1075.5999999999999</v>
      </c>
      <c r="C21" s="5">
        <v>1087.5999999999999</v>
      </c>
      <c r="D21" s="5">
        <f t="shared" si="0"/>
        <v>6.9806339243947093</v>
      </c>
      <c r="E21" s="5">
        <f t="shared" si="0"/>
        <v>6.9917287127583156</v>
      </c>
      <c r="F21" s="5">
        <f t="shared" si="1"/>
        <v>-3.4090575584670546E-2</v>
      </c>
      <c r="G21" s="5">
        <f t="shared" si="1"/>
        <v>-3.3365058641054546E-2</v>
      </c>
    </row>
    <row r="22" spans="1:7" x14ac:dyDescent="0.25">
      <c r="A22" s="21">
        <v>44680</v>
      </c>
      <c r="B22" s="5">
        <v>1076.19</v>
      </c>
      <c r="C22" s="5">
        <v>1086.7</v>
      </c>
      <c r="D22" s="5">
        <f t="shared" si="0"/>
        <v>6.9811823050589803</v>
      </c>
      <c r="E22" s="5">
        <f t="shared" si="0"/>
        <v>6.9909008600688063</v>
      </c>
      <c r="F22" s="5">
        <f t="shared" si="1"/>
        <v>5.4838066427098653E-4</v>
      </c>
      <c r="G22" s="5">
        <f t="shared" si="1"/>
        <v>-8.2785268950935631E-4</v>
      </c>
    </row>
    <row r="23" spans="1:7" x14ac:dyDescent="0.25">
      <c r="A23" s="21">
        <v>44687</v>
      </c>
      <c r="B23" s="5">
        <v>1031.5</v>
      </c>
      <c r="C23" s="5">
        <v>1049.9000000000001</v>
      </c>
      <c r="D23" s="5">
        <f t="shared" si="0"/>
        <v>6.9387693325113062</v>
      </c>
      <c r="E23" s="5">
        <f t="shared" si="0"/>
        <v>6.9564502005208952</v>
      </c>
      <c r="F23" s="5">
        <f t="shared" si="1"/>
        <v>-4.2412972547674066E-2</v>
      </c>
      <c r="G23" s="5">
        <f t="shared" si="1"/>
        <v>-3.4450659547911044E-2</v>
      </c>
    </row>
    <row r="24" spans="1:7" x14ac:dyDescent="0.25">
      <c r="A24" s="21">
        <v>44694</v>
      </c>
      <c r="B24" s="5">
        <v>1004.52</v>
      </c>
      <c r="C24" s="5">
        <v>1031.5</v>
      </c>
      <c r="D24" s="5">
        <f t="shared" si="0"/>
        <v>6.9122650944599657</v>
      </c>
      <c r="E24" s="5">
        <f t="shared" si="0"/>
        <v>6.9387693325113062</v>
      </c>
      <c r="F24" s="5">
        <f t="shared" si="1"/>
        <v>-2.6504238051340501E-2</v>
      </c>
      <c r="G24" s="5">
        <f t="shared" si="1"/>
        <v>-1.7680868009589013E-2</v>
      </c>
    </row>
    <row r="25" spans="1:7" x14ac:dyDescent="0.25">
      <c r="A25" s="21">
        <v>44701</v>
      </c>
      <c r="B25" s="5">
        <v>1035.31</v>
      </c>
      <c r="C25" s="5">
        <v>1046</v>
      </c>
      <c r="D25" s="5">
        <f t="shared" si="0"/>
        <v>6.9424561777614473</v>
      </c>
      <c r="E25" s="5">
        <f t="shared" si="0"/>
        <v>6.9527286446248686</v>
      </c>
      <c r="F25" s="5">
        <f t="shared" si="1"/>
        <v>3.0191083301481569E-2</v>
      </c>
      <c r="G25" s="5">
        <f t="shared" si="1"/>
        <v>1.3959312113562383E-2</v>
      </c>
    </row>
    <row r="26" spans="1:7" x14ac:dyDescent="0.25">
      <c r="A26" s="21">
        <v>44708</v>
      </c>
      <c r="B26" s="5">
        <v>1043.17</v>
      </c>
      <c r="C26" s="5">
        <v>1062.2</v>
      </c>
      <c r="D26" s="5">
        <f t="shared" si="0"/>
        <v>6.9500194330901675</v>
      </c>
      <c r="E26" s="5">
        <f t="shared" si="0"/>
        <v>6.9680975079882987</v>
      </c>
      <c r="F26" s="5">
        <f t="shared" si="1"/>
        <v>7.5632553287201532E-3</v>
      </c>
      <c r="G26" s="5">
        <f t="shared" si="1"/>
        <v>1.536886336343013E-2</v>
      </c>
    </row>
    <row r="27" spans="1:7" x14ac:dyDescent="0.25">
      <c r="A27" s="21">
        <v>44715</v>
      </c>
      <c r="B27" s="5">
        <v>1060.74</v>
      </c>
      <c r="C27" s="5">
        <v>1074.4000000000001</v>
      </c>
      <c r="D27" s="5">
        <f t="shared" si="0"/>
        <v>6.9667220567459864</v>
      </c>
      <c r="E27" s="5">
        <f t="shared" si="0"/>
        <v>6.979517645209028</v>
      </c>
      <c r="F27" s="5">
        <f t="shared" si="1"/>
        <v>1.6702623655818982E-2</v>
      </c>
      <c r="G27" s="5">
        <f t="shared" si="1"/>
        <v>1.142013722072921E-2</v>
      </c>
    </row>
    <row r="28" spans="1:7" x14ac:dyDescent="0.25">
      <c r="A28" s="21">
        <v>44722</v>
      </c>
      <c r="B28" s="5">
        <v>1054.6400000000001</v>
      </c>
      <c r="C28" s="5">
        <v>1068</v>
      </c>
      <c r="D28" s="5">
        <f t="shared" si="0"/>
        <v>6.9609547554497144</v>
      </c>
      <c r="E28" s="5">
        <f t="shared" si="0"/>
        <v>6.9735430195201404</v>
      </c>
      <c r="F28" s="5">
        <f t="shared" si="1"/>
        <v>-5.7673012962720094E-3</v>
      </c>
      <c r="G28" s="5">
        <f t="shared" si="1"/>
        <v>-5.9746256888875138E-3</v>
      </c>
    </row>
    <row r="29" spans="1:7" x14ac:dyDescent="0.25">
      <c r="A29" s="21">
        <v>44729</v>
      </c>
      <c r="B29" s="5">
        <v>1004.63</v>
      </c>
      <c r="C29" s="5">
        <v>1035.0999999999999</v>
      </c>
      <c r="D29" s="5">
        <f t="shared" si="0"/>
        <v>6.9123745935019585</v>
      </c>
      <c r="E29" s="5">
        <f t="shared" si="0"/>
        <v>6.942253319389704</v>
      </c>
      <c r="F29" s="5">
        <f t="shared" si="1"/>
        <v>-4.858016194775594E-2</v>
      </c>
      <c r="G29" s="5">
        <f t="shared" si="1"/>
        <v>-3.1289700130436415E-2</v>
      </c>
    </row>
    <row r="30" spans="1:7" x14ac:dyDescent="0.25">
      <c r="A30" s="21">
        <v>44736</v>
      </c>
      <c r="B30" s="5">
        <v>1011.18</v>
      </c>
      <c r="C30" s="5">
        <v>1049.0999999999999</v>
      </c>
      <c r="D30" s="5">
        <f t="shared" si="0"/>
        <v>6.918873244715984</v>
      </c>
      <c r="E30" s="5">
        <f t="shared" si="0"/>
        <v>6.9556879327374395</v>
      </c>
      <c r="F30" s="5">
        <f t="shared" si="1"/>
        <v>6.498651214025486E-3</v>
      </c>
      <c r="G30" s="5">
        <f t="shared" si="1"/>
        <v>1.3434613347735436E-2</v>
      </c>
    </row>
    <row r="31" spans="1:7" x14ac:dyDescent="0.25">
      <c r="A31" s="21">
        <v>44743</v>
      </c>
      <c r="B31" s="5">
        <v>992.84</v>
      </c>
      <c r="C31" s="5">
        <v>1014.4</v>
      </c>
      <c r="D31" s="5">
        <f t="shared" si="0"/>
        <v>6.9005695231674116</v>
      </c>
      <c r="E31" s="5">
        <f t="shared" si="0"/>
        <v>6.9220525836829614</v>
      </c>
      <c r="F31" s="5">
        <f t="shared" si="1"/>
        <v>-1.8303721548572405E-2</v>
      </c>
      <c r="G31" s="5">
        <f t="shared" si="1"/>
        <v>-3.363534905447807E-2</v>
      </c>
    </row>
    <row r="32" spans="1:7" x14ac:dyDescent="0.25">
      <c r="A32" s="21">
        <v>44750</v>
      </c>
      <c r="B32" s="5">
        <v>999.57</v>
      </c>
      <c r="C32" s="5">
        <v>1028.4000000000001</v>
      </c>
      <c r="D32" s="5">
        <f t="shared" si="0"/>
        <v>6.9073251865056262</v>
      </c>
      <c r="E32" s="5">
        <f t="shared" si="0"/>
        <v>6.9357594753917349</v>
      </c>
      <c r="F32" s="5">
        <f t="shared" si="1"/>
        <v>6.7556633382146458E-3</v>
      </c>
      <c r="G32" s="5">
        <f t="shared" si="1"/>
        <v>1.3706891708773483E-2</v>
      </c>
    </row>
    <row r="33" spans="1:7" x14ac:dyDescent="0.25">
      <c r="A33" s="21">
        <v>44757</v>
      </c>
      <c r="B33" s="5">
        <v>961.85</v>
      </c>
      <c r="C33" s="5">
        <v>987.9</v>
      </c>
      <c r="D33" s="5">
        <f t="shared" si="0"/>
        <v>6.8688585133521904</v>
      </c>
      <c r="E33" s="5">
        <f t="shared" si="0"/>
        <v>6.8955814780504285</v>
      </c>
      <c r="F33" s="5">
        <f t="shared" si="1"/>
        <v>-3.8466673153435771E-2</v>
      </c>
      <c r="G33" s="5">
        <f t="shared" si="1"/>
        <v>-4.0177997341306337E-2</v>
      </c>
    </row>
    <row r="34" spans="1:7" x14ac:dyDescent="0.25">
      <c r="A34" s="21">
        <v>44764</v>
      </c>
      <c r="B34" s="5">
        <v>990.37</v>
      </c>
      <c r="C34" s="5">
        <v>1000</v>
      </c>
      <c r="D34" s="5">
        <f t="shared" si="0"/>
        <v>6.8980786106799572</v>
      </c>
      <c r="E34" s="5">
        <f t="shared" si="0"/>
        <v>6.9077552789821368</v>
      </c>
      <c r="F34" s="5">
        <f t="shared" si="1"/>
        <v>2.9220097327766759E-2</v>
      </c>
      <c r="G34" s="5">
        <f t="shared" si="1"/>
        <v>1.2173800931708278E-2</v>
      </c>
    </row>
    <row r="35" spans="1:7" x14ac:dyDescent="0.25">
      <c r="A35" s="21">
        <v>44771</v>
      </c>
      <c r="B35" s="5">
        <v>993.78</v>
      </c>
      <c r="C35" s="5">
        <v>1009.6</v>
      </c>
      <c r="D35" s="5">
        <f t="shared" si="0"/>
        <v>6.9015158541921178</v>
      </c>
      <c r="E35" s="5">
        <f t="shared" si="0"/>
        <v>6.9173094917869484</v>
      </c>
      <c r="F35" s="5">
        <f t="shared" si="1"/>
        <v>3.4372435121605704E-3</v>
      </c>
      <c r="G35" s="5">
        <f t="shared" si="1"/>
        <v>9.5542128048116126E-3</v>
      </c>
    </row>
    <row r="36" spans="1:7" x14ac:dyDescent="0.25">
      <c r="A36" s="21">
        <v>44778</v>
      </c>
      <c r="B36" s="5">
        <v>1002.87</v>
      </c>
      <c r="C36" s="5">
        <v>1022.4</v>
      </c>
      <c r="D36" s="5">
        <f t="shared" si="0"/>
        <v>6.9106211683951821</v>
      </c>
      <c r="E36" s="5">
        <f t="shared" si="0"/>
        <v>6.9299080836232703</v>
      </c>
      <c r="F36" s="5">
        <f t="shared" si="1"/>
        <v>9.1053142030643741E-3</v>
      </c>
      <c r="G36" s="5">
        <f t="shared" si="1"/>
        <v>1.2598591836321837E-2</v>
      </c>
    </row>
    <row r="37" spans="1:7" x14ac:dyDescent="0.25">
      <c r="A37" s="21">
        <v>44785</v>
      </c>
      <c r="B37" s="5">
        <v>1016.83</v>
      </c>
      <c r="C37" s="5">
        <v>1049.9000000000001</v>
      </c>
      <c r="D37" s="5">
        <f t="shared" si="0"/>
        <v>6.924445223767302</v>
      </c>
      <c r="E37" s="5">
        <f t="shared" si="0"/>
        <v>6.9564502005208952</v>
      </c>
      <c r="F37" s="5">
        <f t="shared" si="1"/>
        <v>1.3824055372119837E-2</v>
      </c>
      <c r="G37" s="5">
        <f t="shared" si="1"/>
        <v>2.6542116897624979E-2</v>
      </c>
    </row>
    <row r="38" spans="1:7" x14ac:dyDescent="0.25">
      <c r="A38" s="21">
        <v>44792</v>
      </c>
      <c r="B38" s="5">
        <v>1001.46</v>
      </c>
      <c r="C38" s="5">
        <v>1020.9</v>
      </c>
      <c r="D38" s="5">
        <f t="shared" si="0"/>
        <v>6.9092142142183812</v>
      </c>
      <c r="E38" s="5">
        <f t="shared" si="0"/>
        <v>6.9284398701749694</v>
      </c>
      <c r="F38" s="5">
        <f t="shared" si="1"/>
        <v>-1.523100954892076E-2</v>
      </c>
      <c r="G38" s="5">
        <f t="shared" si="1"/>
        <v>-2.8010330345925816E-2</v>
      </c>
    </row>
    <row r="39" spans="1:7" x14ac:dyDescent="0.25">
      <c r="A39" s="21">
        <v>44799</v>
      </c>
      <c r="B39" s="5">
        <v>1006.5</v>
      </c>
      <c r="C39" s="5">
        <v>1027.4000000000001</v>
      </c>
      <c r="D39" s="5">
        <f t="shared" si="0"/>
        <v>6.9142342450798457</v>
      </c>
      <c r="E39" s="5">
        <f t="shared" si="0"/>
        <v>6.9347866180331676</v>
      </c>
      <c r="F39" s="5">
        <f t="shared" si="1"/>
        <v>5.0200308614645195E-3</v>
      </c>
      <c r="G39" s="5">
        <f t="shared" si="1"/>
        <v>6.3467478581982206E-3</v>
      </c>
    </row>
    <row r="40" spans="1:7" x14ac:dyDescent="0.25">
      <c r="A40" s="21">
        <v>44806</v>
      </c>
      <c r="B40" s="5">
        <v>972.02</v>
      </c>
      <c r="C40" s="5">
        <v>997.1</v>
      </c>
      <c r="D40" s="5">
        <f t="shared" si="0"/>
        <v>6.8793763803804406</v>
      </c>
      <c r="E40" s="5">
        <f t="shared" si="0"/>
        <v>6.9048510658347473</v>
      </c>
      <c r="F40" s="5">
        <f t="shared" si="1"/>
        <v>-3.4857864699405106E-2</v>
      </c>
      <c r="G40" s="5">
        <f t="shared" si="1"/>
        <v>-2.9935552198420368E-2</v>
      </c>
    </row>
    <row r="41" spans="1:7" x14ac:dyDescent="0.25">
      <c r="A41" s="21">
        <v>44813</v>
      </c>
      <c r="B41" s="5">
        <v>970.29</v>
      </c>
      <c r="C41" s="5">
        <v>1007.4</v>
      </c>
      <c r="D41" s="5">
        <f t="shared" si="0"/>
        <v>6.8775949958872458</v>
      </c>
      <c r="E41" s="5">
        <f t="shared" si="0"/>
        <v>6.9151280333115501</v>
      </c>
      <c r="F41" s="5">
        <f t="shared" si="1"/>
        <v>-1.7813844931948708E-3</v>
      </c>
      <c r="G41" s="5">
        <f t="shared" si="1"/>
        <v>1.0276967476802845E-2</v>
      </c>
    </row>
    <row r="42" spans="1:7" x14ac:dyDescent="0.25">
      <c r="A42" s="21">
        <v>44820</v>
      </c>
      <c r="B42" s="5">
        <v>944.12</v>
      </c>
      <c r="C42" s="5">
        <v>985.7</v>
      </c>
      <c r="D42" s="5">
        <f t="shared" si="0"/>
        <v>6.8502532767106787</v>
      </c>
      <c r="E42" s="5">
        <f t="shared" si="0"/>
        <v>6.8933520486713933</v>
      </c>
      <c r="F42" s="5">
        <f t="shared" si="1"/>
        <v>-2.7341719176567025E-2</v>
      </c>
      <c r="G42" s="5">
        <f t="shared" si="1"/>
        <v>-2.1775984640156842E-2</v>
      </c>
    </row>
    <row r="43" spans="1:7" x14ac:dyDescent="0.25">
      <c r="A43" s="21">
        <v>44827</v>
      </c>
      <c r="B43" s="5">
        <v>905.84</v>
      </c>
      <c r="C43" s="5">
        <v>953</v>
      </c>
      <c r="D43" s="5">
        <f t="shared" si="0"/>
        <v>6.8088626900057845</v>
      </c>
      <c r="E43" s="5">
        <f t="shared" si="0"/>
        <v>6.8596149036542018</v>
      </c>
      <c r="F43" s="5">
        <f t="shared" si="1"/>
        <v>-4.1390586704894261E-2</v>
      </c>
      <c r="G43" s="5">
        <f t="shared" si="1"/>
        <v>-3.3737145017191494E-2</v>
      </c>
    </row>
    <row r="44" spans="1:7" x14ac:dyDescent="0.25">
      <c r="A44" s="21">
        <v>44834</v>
      </c>
      <c r="B44" s="5">
        <v>875.79</v>
      </c>
      <c r="C44" s="5">
        <v>920.9</v>
      </c>
      <c r="D44" s="5">
        <f t="shared" si="0"/>
        <v>6.7751263361701168</v>
      </c>
      <c r="E44" s="5">
        <f t="shared" si="0"/>
        <v>6.8253514527273209</v>
      </c>
      <c r="F44" s="5">
        <f t="shared" si="1"/>
        <v>-3.3736353835667643E-2</v>
      </c>
      <c r="G44" s="5">
        <f t="shared" si="1"/>
        <v>-3.4263450926880878E-2</v>
      </c>
    </row>
    <row r="45" spans="1:7" x14ac:dyDescent="0.25">
      <c r="A45" s="21">
        <v>44841</v>
      </c>
      <c r="B45" s="5">
        <v>897.74</v>
      </c>
      <c r="C45" s="5">
        <v>944</v>
      </c>
      <c r="D45" s="5">
        <f t="shared" si="0"/>
        <v>6.7998804940856461</v>
      </c>
      <c r="E45" s="5">
        <f t="shared" si="0"/>
        <v>6.8501261661455004</v>
      </c>
      <c r="F45" s="5">
        <f t="shared" si="1"/>
        <v>2.4754157915529262E-2</v>
      </c>
      <c r="G45" s="5">
        <f t="shared" si="1"/>
        <v>2.4774713418179495E-2</v>
      </c>
    </row>
    <row r="46" spans="1:7" x14ac:dyDescent="0.25">
      <c r="A46" s="21">
        <v>44848</v>
      </c>
      <c r="B46" s="5">
        <v>863.33</v>
      </c>
      <c r="C46" s="5">
        <v>910.9</v>
      </c>
      <c r="D46" s="5">
        <f t="shared" si="0"/>
        <v>6.760797005014159</v>
      </c>
      <c r="E46" s="5">
        <f t="shared" si="0"/>
        <v>6.8144331217507643</v>
      </c>
      <c r="F46" s="5">
        <f t="shared" si="1"/>
        <v>-3.9083489071487065E-2</v>
      </c>
      <c r="G46" s="5">
        <f t="shared" si="1"/>
        <v>-3.5693044394736084E-2</v>
      </c>
    </row>
    <row r="47" spans="1:7" x14ac:dyDescent="0.25">
      <c r="A47" s="21">
        <v>44855</v>
      </c>
      <c r="B47" s="5">
        <v>865.04</v>
      </c>
      <c r="C47" s="5">
        <v>940.8</v>
      </c>
      <c r="D47" s="5">
        <f t="shared" si="0"/>
        <v>6.7627757486372815</v>
      </c>
      <c r="E47" s="5">
        <f t="shared" si="0"/>
        <v>6.8467305771443625</v>
      </c>
      <c r="F47" s="5">
        <f t="shared" si="1"/>
        <v>1.9787436231224476E-3</v>
      </c>
      <c r="G47" s="5">
        <f t="shared" si="1"/>
        <v>3.2297455393598185E-2</v>
      </c>
    </row>
    <row r="48" spans="1:7" x14ac:dyDescent="0.25">
      <c r="A48" s="21">
        <v>44862</v>
      </c>
      <c r="B48" s="5">
        <v>845.58</v>
      </c>
      <c r="C48" s="5">
        <v>910</v>
      </c>
      <c r="D48" s="5">
        <f t="shared" si="0"/>
        <v>6.7400227824314749</v>
      </c>
      <c r="E48" s="5">
        <f t="shared" si="0"/>
        <v>6.8134445995108956</v>
      </c>
      <c r="F48" s="5">
        <f t="shared" si="1"/>
        <v>-2.275296620580658E-2</v>
      </c>
      <c r="G48" s="5">
        <f t="shared" si="1"/>
        <v>-3.3285977633466857E-2</v>
      </c>
    </row>
    <row r="49" spans="1:7" x14ac:dyDescent="0.25">
      <c r="A49" s="21">
        <v>44869</v>
      </c>
      <c r="B49" s="5">
        <v>884.98</v>
      </c>
      <c r="C49" s="5">
        <v>968.5</v>
      </c>
      <c r="D49" s="5">
        <f t="shared" si="0"/>
        <v>6.7855650458825147</v>
      </c>
      <c r="E49" s="5">
        <f t="shared" si="0"/>
        <v>6.875748482847051</v>
      </c>
      <c r="F49" s="5">
        <f t="shared" si="1"/>
        <v>4.5542263451039844E-2</v>
      </c>
      <c r="G49" s="5">
        <f t="shared" si="1"/>
        <v>6.230388333615533E-2</v>
      </c>
    </row>
    <row r="50" spans="1:7" x14ac:dyDescent="0.25">
      <c r="A50" s="21">
        <v>44876</v>
      </c>
      <c r="B50" s="5">
        <v>935.73</v>
      </c>
      <c r="C50" s="5">
        <v>1005</v>
      </c>
      <c r="D50" s="5">
        <f t="shared" si="0"/>
        <v>6.8413269733260984</v>
      </c>
      <c r="E50" s="5">
        <f t="shared" si="0"/>
        <v>6.9127428204931762</v>
      </c>
      <c r="F50" s="5">
        <f t="shared" si="1"/>
        <v>5.5761927443583659E-2</v>
      </c>
      <c r="G50" s="5">
        <f t="shared" si="1"/>
        <v>3.6994337646125253E-2</v>
      </c>
    </row>
    <row r="51" spans="1:7" x14ac:dyDescent="0.25">
      <c r="A51" s="21">
        <v>44883</v>
      </c>
      <c r="B51" s="5">
        <v>943.01</v>
      </c>
      <c r="C51" s="5">
        <v>1002.3</v>
      </c>
      <c r="D51" s="5">
        <f t="shared" ref="D51:E114" si="2">LN(B51)</f>
        <v>6.8490768870311012</v>
      </c>
      <c r="E51" s="5">
        <f t="shared" si="2"/>
        <v>6.9100526380308205</v>
      </c>
      <c r="F51" s="5">
        <f t="shared" ref="F51:G114" si="3">D51-D50</f>
        <v>7.7499137050027755E-3</v>
      </c>
      <c r="G51" s="5">
        <f t="shared" si="3"/>
        <v>-2.6901824623557502E-3</v>
      </c>
    </row>
    <row r="52" spans="1:7" x14ac:dyDescent="0.25">
      <c r="A52" s="21">
        <v>44890</v>
      </c>
      <c r="B52" s="5">
        <v>941.01</v>
      </c>
      <c r="C52" s="5">
        <v>992.4</v>
      </c>
      <c r="D52" s="5">
        <f t="shared" si="2"/>
        <v>6.8469537665214748</v>
      </c>
      <c r="E52" s="5">
        <f t="shared" si="2"/>
        <v>6.9001262518176461</v>
      </c>
      <c r="F52" s="5">
        <f t="shared" si="3"/>
        <v>-2.123120509626375E-3</v>
      </c>
      <c r="G52" s="5">
        <f t="shared" si="3"/>
        <v>-9.9263862131744318E-3</v>
      </c>
    </row>
    <row r="53" spans="1:7" x14ac:dyDescent="0.25">
      <c r="A53" s="21">
        <v>44897</v>
      </c>
      <c r="B53" s="5">
        <v>973.85</v>
      </c>
      <c r="C53" s="5">
        <v>1033.4000000000001</v>
      </c>
      <c r="D53" s="5">
        <f t="shared" si="2"/>
        <v>6.8812572876759086</v>
      </c>
      <c r="E53" s="5">
        <f t="shared" si="2"/>
        <v>6.9406096158530843</v>
      </c>
      <c r="F53" s="5">
        <f t="shared" si="3"/>
        <v>3.4303521154433803E-2</v>
      </c>
      <c r="G53" s="5">
        <f t="shared" si="3"/>
        <v>4.0483364035438285E-2</v>
      </c>
    </row>
    <row r="54" spans="1:7" x14ac:dyDescent="0.25">
      <c r="A54" s="21">
        <v>44904</v>
      </c>
      <c r="B54" s="5">
        <v>978.28</v>
      </c>
      <c r="C54" s="5">
        <v>1021.2</v>
      </c>
      <c r="D54" s="5">
        <f t="shared" si="2"/>
        <v>6.8857959276277096</v>
      </c>
      <c r="E54" s="5">
        <f t="shared" si="2"/>
        <v>6.9287336853673285</v>
      </c>
      <c r="F54" s="5">
        <f t="shared" si="3"/>
        <v>4.5386399518010379E-3</v>
      </c>
      <c r="G54" s="5">
        <f t="shared" si="3"/>
        <v>-1.1875930485755859E-2</v>
      </c>
    </row>
    <row r="55" spans="1:7" x14ac:dyDescent="0.25">
      <c r="A55" s="21">
        <v>44911</v>
      </c>
      <c r="B55" s="5">
        <v>957.3</v>
      </c>
      <c r="C55" s="5">
        <v>1001.5</v>
      </c>
      <c r="D55" s="5">
        <f t="shared" si="2"/>
        <v>6.8641168219523072</v>
      </c>
      <c r="E55" s="5">
        <f t="shared" si="2"/>
        <v>6.9092541551058728</v>
      </c>
      <c r="F55" s="5">
        <f t="shared" si="3"/>
        <v>-2.1679105675402432E-2</v>
      </c>
      <c r="G55" s="5">
        <f t="shared" si="3"/>
        <v>-1.9479530261455658E-2</v>
      </c>
    </row>
    <row r="56" spans="1:7" x14ac:dyDescent="0.25">
      <c r="A56" s="21">
        <v>44918</v>
      </c>
      <c r="B56" s="5">
        <v>954.78</v>
      </c>
      <c r="C56" s="5">
        <v>1004.4</v>
      </c>
      <c r="D56" s="5">
        <f t="shared" si="2"/>
        <v>6.8614809474501479</v>
      </c>
      <c r="E56" s="5">
        <f t="shared" si="2"/>
        <v>6.9121456272834303</v>
      </c>
      <c r="F56" s="5">
        <f t="shared" si="3"/>
        <v>-2.6358745021592966E-3</v>
      </c>
      <c r="G56" s="5">
        <f t="shared" si="3"/>
        <v>2.8914721775574748E-3</v>
      </c>
    </row>
    <row r="57" spans="1:7" x14ac:dyDescent="0.25">
      <c r="A57" s="21">
        <v>44925</v>
      </c>
      <c r="B57" s="5">
        <v>956.38</v>
      </c>
      <c r="C57" s="5">
        <v>1009.9</v>
      </c>
      <c r="D57" s="5">
        <f t="shared" si="2"/>
        <v>6.8631553236131113</v>
      </c>
      <c r="E57" s="5">
        <f t="shared" si="2"/>
        <v>6.9176065950325114</v>
      </c>
      <c r="F57" s="5">
        <f t="shared" si="3"/>
        <v>1.674376162963398E-3</v>
      </c>
      <c r="G57" s="5">
        <f t="shared" si="3"/>
        <v>5.4609677490811137E-3</v>
      </c>
    </row>
    <row r="58" spans="1:7" x14ac:dyDescent="0.25">
      <c r="A58" s="21">
        <v>44932</v>
      </c>
      <c r="B58" s="5">
        <v>988.68</v>
      </c>
      <c r="C58" s="5">
        <v>1057.9000000000001</v>
      </c>
      <c r="D58" s="5">
        <f t="shared" si="2"/>
        <v>6.8963707201154989</v>
      </c>
      <c r="E58" s="5">
        <f t="shared" si="2"/>
        <v>6.9640410899927288</v>
      </c>
      <c r="F58" s="5">
        <f t="shared" si="3"/>
        <v>3.3215396502387584E-2</v>
      </c>
      <c r="G58" s="5">
        <f t="shared" si="3"/>
        <v>4.6434494960217343E-2</v>
      </c>
    </row>
    <row r="59" spans="1:7" x14ac:dyDescent="0.25">
      <c r="A59" s="21">
        <v>44939</v>
      </c>
      <c r="B59" s="5">
        <v>1029.8399999999999</v>
      </c>
      <c r="C59" s="5">
        <v>1085.4000000000001</v>
      </c>
      <c r="D59" s="5">
        <f t="shared" si="2"/>
        <v>6.9371587293513786</v>
      </c>
      <c r="E59" s="5">
        <f t="shared" si="2"/>
        <v>6.9897038616293043</v>
      </c>
      <c r="F59" s="5">
        <f t="shared" si="3"/>
        <v>4.0788009235879663E-2</v>
      </c>
      <c r="G59" s="5">
        <f t="shared" si="3"/>
        <v>2.5662771636575599E-2</v>
      </c>
    </row>
    <row r="60" spans="1:7" x14ac:dyDescent="0.25">
      <c r="A60" s="21">
        <v>44946</v>
      </c>
      <c r="B60" s="5">
        <v>1036.24</v>
      </c>
      <c r="C60" s="5">
        <v>1096</v>
      </c>
      <c r="D60" s="5">
        <f t="shared" si="2"/>
        <v>6.9433540562220006</v>
      </c>
      <c r="E60" s="5">
        <f t="shared" si="2"/>
        <v>6.9994224675079613</v>
      </c>
      <c r="F60" s="5">
        <f t="shared" si="3"/>
        <v>6.1953268706220754E-3</v>
      </c>
      <c r="G60" s="5">
        <f t="shared" si="3"/>
        <v>9.7186058786569163E-3</v>
      </c>
    </row>
    <row r="61" spans="1:7" x14ac:dyDescent="0.25">
      <c r="A61" s="21">
        <v>44953</v>
      </c>
      <c r="B61" s="5">
        <v>1051.19</v>
      </c>
      <c r="C61" s="5">
        <v>1113.0999999999999</v>
      </c>
      <c r="D61" s="5">
        <f t="shared" si="2"/>
        <v>6.9576781347475025</v>
      </c>
      <c r="E61" s="5">
        <f t="shared" si="2"/>
        <v>7.0149041944991799</v>
      </c>
      <c r="F61" s="5">
        <f t="shared" si="3"/>
        <v>1.4324078525501882E-2</v>
      </c>
      <c r="G61" s="5">
        <f t="shared" si="3"/>
        <v>1.5481726991218636E-2</v>
      </c>
    </row>
    <row r="62" spans="1:7" x14ac:dyDescent="0.25">
      <c r="A62" s="21">
        <v>44960</v>
      </c>
      <c r="B62" s="5">
        <v>1038.71</v>
      </c>
      <c r="C62" s="5">
        <v>1076.8</v>
      </c>
      <c r="D62" s="5">
        <f t="shared" si="2"/>
        <v>6.9457348376063113</v>
      </c>
      <c r="E62" s="5">
        <f t="shared" si="2"/>
        <v>6.9817489588904635</v>
      </c>
      <c r="F62" s="5">
        <f t="shared" si="3"/>
        <v>-1.1943297141191245E-2</v>
      </c>
      <c r="G62" s="5">
        <f t="shared" si="3"/>
        <v>-3.315523560871636E-2</v>
      </c>
    </row>
    <row r="63" spans="1:7" x14ac:dyDescent="0.25">
      <c r="A63" s="21">
        <v>44967</v>
      </c>
      <c r="B63" s="5">
        <v>1013.67</v>
      </c>
      <c r="C63" s="5">
        <v>1067.0999999999999</v>
      </c>
      <c r="D63" s="5">
        <f t="shared" si="2"/>
        <v>6.9213326873958243</v>
      </c>
      <c r="E63" s="5">
        <f t="shared" si="2"/>
        <v>6.9726999676225194</v>
      </c>
      <c r="F63" s="5">
        <f t="shared" si="3"/>
        <v>-2.4402150210486973E-2</v>
      </c>
      <c r="G63" s="5">
        <f t="shared" si="3"/>
        <v>-9.0489912679441176E-3</v>
      </c>
    </row>
    <row r="64" spans="1:7" x14ac:dyDescent="0.25">
      <c r="A64" s="21">
        <v>44974</v>
      </c>
      <c r="B64" s="5">
        <v>999.42</v>
      </c>
      <c r="C64" s="5">
        <v>1059.7</v>
      </c>
      <c r="D64" s="5">
        <f t="shared" si="2"/>
        <v>6.9071751107170716</v>
      </c>
      <c r="E64" s="5">
        <f t="shared" si="2"/>
        <v>6.9657411281807899</v>
      </c>
      <c r="F64" s="5">
        <f t="shared" si="3"/>
        <v>-1.4157576678752726E-2</v>
      </c>
      <c r="G64" s="5">
        <f t="shared" si="3"/>
        <v>-6.9588394417294808E-3</v>
      </c>
    </row>
    <row r="65" spans="1:7" x14ac:dyDescent="0.25">
      <c r="A65" s="21">
        <v>44981</v>
      </c>
      <c r="B65" s="5">
        <v>971.87</v>
      </c>
      <c r="C65" s="5">
        <v>1023.3</v>
      </c>
      <c r="D65" s="5">
        <f t="shared" si="2"/>
        <v>6.8792220506598314</v>
      </c>
      <c r="E65" s="5">
        <f t="shared" si="2"/>
        <v>6.9307879780927095</v>
      </c>
      <c r="F65" s="5">
        <f t="shared" si="3"/>
        <v>-2.7953060057240187E-2</v>
      </c>
      <c r="G65" s="5">
        <f t="shared" si="3"/>
        <v>-3.495315008808042E-2</v>
      </c>
    </row>
    <row r="66" spans="1:7" x14ac:dyDescent="0.25">
      <c r="A66" s="21">
        <v>44988</v>
      </c>
      <c r="B66" s="5">
        <v>988.03</v>
      </c>
      <c r="C66" s="5">
        <v>1063.3</v>
      </c>
      <c r="D66" s="5">
        <f t="shared" si="2"/>
        <v>6.8957130616593494</v>
      </c>
      <c r="E66" s="5">
        <f t="shared" si="2"/>
        <v>6.9691325586570407</v>
      </c>
      <c r="F66" s="5">
        <f t="shared" si="3"/>
        <v>1.6491010999517997E-2</v>
      </c>
      <c r="G66" s="5">
        <f t="shared" si="3"/>
        <v>3.834458056433121E-2</v>
      </c>
    </row>
    <row r="67" spans="1:7" x14ac:dyDescent="0.25">
      <c r="A67" s="21">
        <v>44995</v>
      </c>
      <c r="B67" s="5">
        <v>955.28</v>
      </c>
      <c r="C67" s="5">
        <v>1020.1</v>
      </c>
      <c r="D67" s="5">
        <f t="shared" si="2"/>
        <v>6.8620044912251288</v>
      </c>
      <c r="E67" s="5">
        <f t="shared" si="2"/>
        <v>6.9276559406884735</v>
      </c>
      <c r="F67" s="5">
        <f t="shared" si="3"/>
        <v>-3.3708570434220597E-2</v>
      </c>
      <c r="G67" s="5">
        <f t="shared" si="3"/>
        <v>-4.1476617968567275E-2</v>
      </c>
    </row>
    <row r="68" spans="1:7" x14ac:dyDescent="0.25">
      <c r="A68" s="21">
        <v>45002</v>
      </c>
      <c r="B68" s="5">
        <v>951.56</v>
      </c>
      <c r="C68" s="5">
        <v>982.2</v>
      </c>
      <c r="D68" s="5">
        <f t="shared" si="2"/>
        <v>6.8581027430770654</v>
      </c>
      <c r="E68" s="5">
        <f t="shared" si="2"/>
        <v>6.8897949536051444</v>
      </c>
      <c r="F68" s="5">
        <f t="shared" si="3"/>
        <v>-3.9017481480634331E-3</v>
      </c>
      <c r="G68" s="5">
        <f t="shared" si="3"/>
        <v>-3.7860987083329078E-2</v>
      </c>
    </row>
    <row r="69" spans="1:7" x14ac:dyDescent="0.25">
      <c r="A69" s="21">
        <v>45009</v>
      </c>
      <c r="B69" s="5">
        <v>972.17</v>
      </c>
      <c r="C69" s="5">
        <v>1003.1</v>
      </c>
      <c r="D69" s="5">
        <f t="shared" si="2"/>
        <v>6.8795306862870627</v>
      </c>
      <c r="E69" s="5">
        <f t="shared" si="2"/>
        <v>6.9108504838894396</v>
      </c>
      <c r="F69" s="5">
        <f t="shared" si="3"/>
        <v>2.1427943209997302E-2</v>
      </c>
      <c r="G69" s="5">
        <f t="shared" si="3"/>
        <v>2.1055530284295187E-2</v>
      </c>
    </row>
    <row r="70" spans="1:7" x14ac:dyDescent="0.25">
      <c r="A70" s="21">
        <v>45016</v>
      </c>
      <c r="B70" s="5">
        <v>990.28</v>
      </c>
      <c r="C70" s="5">
        <v>1032.9000000000001</v>
      </c>
      <c r="D70" s="5">
        <f t="shared" si="2"/>
        <v>6.8979877314230844</v>
      </c>
      <c r="E70" s="5">
        <f t="shared" si="2"/>
        <v>6.9401256590125877</v>
      </c>
      <c r="F70" s="5">
        <f t="shared" si="3"/>
        <v>1.8457045136021755E-2</v>
      </c>
      <c r="G70" s="5">
        <f t="shared" si="3"/>
        <v>2.9275175123148145E-2</v>
      </c>
    </row>
    <row r="71" spans="1:7" x14ac:dyDescent="0.25">
      <c r="A71" s="21">
        <v>45023</v>
      </c>
      <c r="B71" s="5">
        <v>987.07</v>
      </c>
      <c r="C71" s="5">
        <v>1019.8</v>
      </c>
      <c r="D71" s="5">
        <f t="shared" si="2"/>
        <v>6.8947409589044524</v>
      </c>
      <c r="E71" s="5">
        <f t="shared" si="2"/>
        <v>6.9273618086210549</v>
      </c>
      <c r="F71" s="5">
        <f t="shared" si="3"/>
        <v>-3.2467725186320351E-3</v>
      </c>
      <c r="G71" s="5">
        <f t="shared" si="3"/>
        <v>-1.2763850391532827E-2</v>
      </c>
    </row>
    <row r="72" spans="1:7" x14ac:dyDescent="0.25">
      <c r="A72" s="21">
        <v>45030</v>
      </c>
      <c r="B72" s="5">
        <v>1000.49</v>
      </c>
      <c r="C72" s="5">
        <v>1037.4000000000001</v>
      </c>
      <c r="D72" s="5">
        <f t="shared" si="2"/>
        <v>6.9082451589713392</v>
      </c>
      <c r="E72" s="5">
        <f t="shared" si="2"/>
        <v>6.9444728619172995</v>
      </c>
      <c r="F72" s="5">
        <f t="shared" si="3"/>
        <v>1.3504200066886796E-2</v>
      </c>
      <c r="G72" s="5">
        <f t="shared" si="3"/>
        <v>1.7111053296244627E-2</v>
      </c>
    </row>
    <row r="73" spans="1:7" x14ac:dyDescent="0.25">
      <c r="A73" s="21">
        <v>45037</v>
      </c>
      <c r="B73" s="5">
        <v>980.74</v>
      </c>
      <c r="C73" s="5">
        <v>1020.4</v>
      </c>
      <c r="D73" s="5">
        <f t="shared" si="2"/>
        <v>6.8883073887593209</v>
      </c>
      <c r="E73" s="5">
        <f t="shared" si="2"/>
        <v>6.9279499862676559</v>
      </c>
      <c r="F73" s="5">
        <f t="shared" si="3"/>
        <v>-1.9937770212018258E-2</v>
      </c>
      <c r="G73" s="5">
        <f t="shared" si="3"/>
        <v>-1.6522875649643609E-2</v>
      </c>
    </row>
    <row r="74" spans="1:7" x14ac:dyDescent="0.25">
      <c r="A74" s="21">
        <v>45044</v>
      </c>
      <c r="B74" s="5">
        <v>977.05</v>
      </c>
      <c r="C74" s="5">
        <v>1019.5</v>
      </c>
      <c r="D74" s="5">
        <f t="shared" si="2"/>
        <v>6.8845378278059526</v>
      </c>
      <c r="E74" s="5">
        <f t="shared" si="2"/>
        <v>6.9270675900145102</v>
      </c>
      <c r="F74" s="5">
        <f t="shared" si="3"/>
        <v>-3.7695609533683339E-3</v>
      </c>
      <c r="G74" s="5">
        <f t="shared" si="3"/>
        <v>-8.823962531456786E-4</v>
      </c>
    </row>
    <row r="75" spans="1:7" x14ac:dyDescent="0.25">
      <c r="A75" s="21">
        <v>45051</v>
      </c>
      <c r="B75" s="5">
        <v>981.66</v>
      </c>
      <c r="C75" s="5">
        <v>1019</v>
      </c>
      <c r="D75" s="5">
        <f t="shared" si="2"/>
        <v>6.8892450162230405</v>
      </c>
      <c r="E75" s="5">
        <f t="shared" si="2"/>
        <v>6.926577033222725</v>
      </c>
      <c r="F75" s="5">
        <f t="shared" si="3"/>
        <v>4.7071884170879486E-3</v>
      </c>
      <c r="G75" s="5">
        <f t="shared" si="3"/>
        <v>-4.9055679178522382E-4</v>
      </c>
    </row>
    <row r="76" spans="1:7" x14ac:dyDescent="0.25">
      <c r="A76" s="21">
        <v>45058</v>
      </c>
      <c r="B76" s="5">
        <v>973</v>
      </c>
      <c r="C76" s="5">
        <v>995.9</v>
      </c>
      <c r="D76" s="5">
        <f t="shared" si="2"/>
        <v>6.8803840821860049</v>
      </c>
      <c r="E76" s="5">
        <f t="shared" si="2"/>
        <v>6.9036468509375934</v>
      </c>
      <c r="F76" s="5">
        <f t="shared" si="3"/>
        <v>-8.8609340370355838E-3</v>
      </c>
      <c r="G76" s="5">
        <f t="shared" si="3"/>
        <v>-2.2930182285131551E-2</v>
      </c>
    </row>
    <row r="77" spans="1:7" x14ac:dyDescent="0.25">
      <c r="A77" s="21">
        <v>45065</v>
      </c>
      <c r="B77" s="5">
        <v>977.24</v>
      </c>
      <c r="C77" s="5">
        <v>1016.4</v>
      </c>
      <c r="D77" s="5">
        <f t="shared" si="2"/>
        <v>6.8847322718245971</v>
      </c>
      <c r="E77" s="5">
        <f t="shared" si="2"/>
        <v>6.9240222514460088</v>
      </c>
      <c r="F77" s="5">
        <f t="shared" si="3"/>
        <v>4.3481896385921814E-3</v>
      </c>
      <c r="G77" s="5">
        <f t="shared" si="3"/>
        <v>2.0375400508415353E-2</v>
      </c>
    </row>
    <row r="78" spans="1:7" x14ac:dyDescent="0.25">
      <c r="A78" s="21">
        <v>45072</v>
      </c>
      <c r="B78" s="5">
        <v>972.86</v>
      </c>
      <c r="C78" s="5">
        <v>1026.9000000000001</v>
      </c>
      <c r="D78" s="5">
        <f t="shared" si="2"/>
        <v>6.8802401869414949</v>
      </c>
      <c r="E78" s="5">
        <f t="shared" si="2"/>
        <v>6.934299834204249</v>
      </c>
      <c r="F78" s="5">
        <f t="shared" si="3"/>
        <v>-4.4920848831022653E-3</v>
      </c>
      <c r="G78" s="5">
        <f t="shared" si="3"/>
        <v>1.02775827582402E-2</v>
      </c>
    </row>
    <row r="79" spans="1:7" x14ac:dyDescent="0.25">
      <c r="A79" s="21">
        <v>45079</v>
      </c>
      <c r="B79" s="5">
        <v>984.36</v>
      </c>
      <c r="C79" s="5">
        <v>1035.2</v>
      </c>
      <c r="D79" s="5">
        <f t="shared" si="2"/>
        <v>6.8919916838026589</v>
      </c>
      <c r="E79" s="5">
        <f t="shared" si="2"/>
        <v>6.9423499237466357</v>
      </c>
      <c r="F79" s="5">
        <f t="shared" si="3"/>
        <v>1.1751496861164057E-2</v>
      </c>
      <c r="G79" s="5">
        <f t="shared" si="3"/>
        <v>8.0500895423867291E-3</v>
      </c>
    </row>
    <row r="80" spans="1:7" x14ac:dyDescent="0.25">
      <c r="A80" s="21">
        <v>45086</v>
      </c>
      <c r="B80" s="5">
        <v>1002.33</v>
      </c>
      <c r="C80" s="5">
        <v>1054.5</v>
      </c>
      <c r="D80" s="5">
        <f t="shared" si="2"/>
        <v>6.9100825687412284</v>
      </c>
      <c r="E80" s="5">
        <f t="shared" si="2"/>
        <v>6.9608219999188297</v>
      </c>
      <c r="F80" s="5">
        <f t="shared" si="3"/>
        <v>1.8090884938569474E-2</v>
      </c>
      <c r="G80" s="5">
        <f t="shared" si="3"/>
        <v>1.847207617219393E-2</v>
      </c>
    </row>
    <row r="81" spans="1:7" x14ac:dyDescent="0.25">
      <c r="A81" s="21">
        <v>45093</v>
      </c>
      <c r="B81" s="5">
        <v>1030.03</v>
      </c>
      <c r="C81" s="5">
        <v>1083.9000000000001</v>
      </c>
      <c r="D81" s="5">
        <f t="shared" si="2"/>
        <v>6.9373432070131136</v>
      </c>
      <c r="E81" s="5">
        <f t="shared" si="2"/>
        <v>6.9883209268217046</v>
      </c>
      <c r="F81" s="5">
        <f t="shared" si="3"/>
        <v>2.7260638271885185E-2</v>
      </c>
      <c r="G81" s="5">
        <f t="shared" si="3"/>
        <v>2.7498926902874921E-2</v>
      </c>
    </row>
    <row r="82" spans="1:7" x14ac:dyDescent="0.25">
      <c r="A82" s="21">
        <v>45100</v>
      </c>
      <c r="B82" s="5">
        <v>991.91</v>
      </c>
      <c r="C82" s="5">
        <v>1039.0999999999999</v>
      </c>
      <c r="D82" s="5">
        <f t="shared" si="2"/>
        <v>6.8996323773625861</v>
      </c>
      <c r="E82" s="5">
        <f t="shared" si="2"/>
        <v>6.9461102328586009</v>
      </c>
      <c r="F82" s="5">
        <f t="shared" si="3"/>
        <v>-3.7710829650527522E-2</v>
      </c>
      <c r="G82" s="5">
        <f t="shared" si="3"/>
        <v>-4.2210693963103729E-2</v>
      </c>
    </row>
    <row r="83" spans="1:7" x14ac:dyDescent="0.25">
      <c r="A83" s="21">
        <v>45107</v>
      </c>
      <c r="B83" s="5">
        <v>989.48</v>
      </c>
      <c r="C83" s="5">
        <v>1054.9000000000001</v>
      </c>
      <c r="D83" s="5">
        <f t="shared" si="2"/>
        <v>6.8971795526099529</v>
      </c>
      <c r="E83" s="5">
        <f t="shared" si="2"/>
        <v>6.9612012546877633</v>
      </c>
      <c r="F83" s="5">
        <f t="shared" si="3"/>
        <v>-2.4528247526331981E-3</v>
      </c>
      <c r="G83" s="5">
        <f t="shared" si="3"/>
        <v>1.5091021829162443E-2</v>
      </c>
    </row>
    <row r="84" spans="1:7" x14ac:dyDescent="0.25">
      <c r="A84" s="21">
        <v>45114</v>
      </c>
      <c r="B84" s="5">
        <v>980.66</v>
      </c>
      <c r="C84" s="5">
        <v>1050.4000000000001</v>
      </c>
      <c r="D84" s="5">
        <f t="shared" si="2"/>
        <v>6.8882258143736328</v>
      </c>
      <c r="E84" s="5">
        <f t="shared" si="2"/>
        <v>6.9569263229885863</v>
      </c>
      <c r="F84" s="5">
        <f t="shared" si="3"/>
        <v>-8.9537382363200635E-3</v>
      </c>
      <c r="G84" s="5">
        <f t="shared" si="3"/>
        <v>-4.2749316991770314E-3</v>
      </c>
    </row>
    <row r="85" spans="1:7" x14ac:dyDescent="0.25">
      <c r="A85" s="21">
        <v>45121</v>
      </c>
      <c r="B85" s="5">
        <v>1028.49</v>
      </c>
      <c r="C85" s="5">
        <v>1083.5</v>
      </c>
      <c r="D85" s="5">
        <f t="shared" si="2"/>
        <v>6.935846986148321</v>
      </c>
      <c r="E85" s="5">
        <f t="shared" si="2"/>
        <v>6.9879518209764138</v>
      </c>
      <c r="F85" s="5">
        <f t="shared" si="3"/>
        <v>4.7621171774688165E-2</v>
      </c>
      <c r="G85" s="5">
        <f t="shared" si="3"/>
        <v>3.1025497987827499E-2</v>
      </c>
    </row>
    <row r="86" spans="1:7" x14ac:dyDescent="0.25">
      <c r="A86" s="21">
        <v>45128</v>
      </c>
      <c r="B86" s="5">
        <v>1014.58</v>
      </c>
      <c r="C86" s="5">
        <v>1067.0999999999999</v>
      </c>
      <c r="D86" s="5">
        <f t="shared" si="2"/>
        <v>6.9222300127364491</v>
      </c>
      <c r="E86" s="5">
        <f t="shared" si="2"/>
        <v>6.9726999676225194</v>
      </c>
      <c r="F86" s="5">
        <f t="shared" si="3"/>
        <v>-1.3616973411871847E-2</v>
      </c>
      <c r="G86" s="5">
        <f t="shared" si="3"/>
        <v>-1.525185335389434E-2</v>
      </c>
    </row>
    <row r="87" spans="1:7" x14ac:dyDescent="0.25">
      <c r="A87" s="21">
        <v>45135</v>
      </c>
      <c r="B87" s="5">
        <v>1043.2</v>
      </c>
      <c r="C87" s="5">
        <v>1112</v>
      </c>
      <c r="D87" s="5">
        <f t="shared" si="2"/>
        <v>6.9500481911723888</v>
      </c>
      <c r="E87" s="5">
        <f t="shared" si="2"/>
        <v>7.0139154748105277</v>
      </c>
      <c r="F87" s="5">
        <f t="shared" si="3"/>
        <v>2.78181784359397E-2</v>
      </c>
      <c r="G87" s="5">
        <f t="shared" si="3"/>
        <v>4.121550718800826E-2</v>
      </c>
    </row>
    <row r="88" spans="1:7" x14ac:dyDescent="0.25">
      <c r="A88" s="21">
        <v>45142</v>
      </c>
      <c r="B88" s="5">
        <v>1018.02</v>
      </c>
      <c r="C88" s="5">
        <v>1072.5</v>
      </c>
      <c r="D88" s="5">
        <f t="shared" si="2"/>
        <v>6.9256148432829034</v>
      </c>
      <c r="E88" s="5">
        <f t="shared" si="2"/>
        <v>6.9777476508021721</v>
      </c>
      <c r="F88" s="5">
        <f t="shared" si="3"/>
        <v>-2.4433347889485368E-2</v>
      </c>
      <c r="G88" s="5">
        <f t="shared" si="3"/>
        <v>-3.6167824008355609E-2</v>
      </c>
    </row>
    <row r="89" spans="1:7" x14ac:dyDescent="0.25">
      <c r="A89" s="21">
        <v>45149</v>
      </c>
      <c r="B89" s="5">
        <v>997.72</v>
      </c>
      <c r="C89" s="5">
        <v>1050.4000000000001</v>
      </c>
      <c r="D89" s="5">
        <f t="shared" si="2"/>
        <v>6.9054726758245852</v>
      </c>
      <c r="E89" s="5">
        <f t="shared" si="2"/>
        <v>6.9569263229885863</v>
      </c>
      <c r="F89" s="5">
        <f t="shared" si="3"/>
        <v>-2.0142167458318205E-2</v>
      </c>
      <c r="G89" s="5">
        <f t="shared" si="3"/>
        <v>-2.082132781358581E-2</v>
      </c>
    </row>
    <row r="90" spans="1:7" x14ac:dyDescent="0.25">
      <c r="A90" s="21">
        <v>45156</v>
      </c>
      <c r="B90" s="5">
        <v>964.44</v>
      </c>
      <c r="C90" s="5">
        <v>1020</v>
      </c>
      <c r="D90" s="5">
        <f t="shared" si="2"/>
        <v>6.8715476220126277</v>
      </c>
      <c r="E90" s="5">
        <f t="shared" si="2"/>
        <v>6.9275579062783166</v>
      </c>
      <c r="F90" s="5">
        <f t="shared" si="3"/>
        <v>-3.392505381195754E-2</v>
      </c>
      <c r="G90" s="5">
        <f t="shared" si="3"/>
        <v>-2.9368416710269685E-2</v>
      </c>
    </row>
    <row r="91" spans="1:7" x14ac:dyDescent="0.25">
      <c r="A91" s="21">
        <v>45163</v>
      </c>
      <c r="B91" s="5">
        <v>971.04</v>
      </c>
      <c r="C91" s="5">
        <v>1035.5</v>
      </c>
      <c r="D91" s="5">
        <f t="shared" si="2"/>
        <v>6.8783676620875447</v>
      </c>
      <c r="E91" s="5">
        <f t="shared" si="2"/>
        <v>6.9426396808356392</v>
      </c>
      <c r="F91" s="5">
        <f t="shared" si="3"/>
        <v>6.8200400749169887E-3</v>
      </c>
      <c r="G91" s="5">
        <f t="shared" si="3"/>
        <v>1.5081774557322625E-2</v>
      </c>
    </row>
    <row r="92" spans="1:7" x14ac:dyDescent="0.25">
      <c r="A92" s="21">
        <v>45170</v>
      </c>
      <c r="B92" s="5">
        <v>985.68</v>
      </c>
      <c r="C92" s="5">
        <v>1049.8</v>
      </c>
      <c r="D92" s="5">
        <f t="shared" si="2"/>
        <v>6.8933317583164131</v>
      </c>
      <c r="E92" s="5">
        <f t="shared" si="2"/>
        <v>6.9563549488181993</v>
      </c>
      <c r="F92" s="5">
        <f t="shared" si="3"/>
        <v>1.4964096228868407E-2</v>
      </c>
      <c r="G92" s="5">
        <f t="shared" si="3"/>
        <v>1.3715267982560064E-2</v>
      </c>
    </row>
    <row r="93" spans="1:7" x14ac:dyDescent="0.25">
      <c r="A93" s="21">
        <v>45177</v>
      </c>
      <c r="B93" s="5">
        <v>973.86</v>
      </c>
      <c r="C93" s="5">
        <v>1028.8</v>
      </c>
      <c r="D93" s="5">
        <f t="shared" si="2"/>
        <v>6.8812675561450343</v>
      </c>
      <c r="E93" s="5">
        <f t="shared" si="2"/>
        <v>6.9361483534833548</v>
      </c>
      <c r="F93" s="5">
        <f t="shared" si="3"/>
        <v>-1.2064202171378824E-2</v>
      </c>
      <c r="G93" s="5">
        <f t="shared" si="3"/>
        <v>-2.0206595334844479E-2</v>
      </c>
    </row>
    <row r="94" spans="1:7" x14ac:dyDescent="0.25">
      <c r="A94" s="21">
        <v>45184</v>
      </c>
      <c r="B94" s="5">
        <v>984.99</v>
      </c>
      <c r="C94" s="5">
        <v>1040.3</v>
      </c>
      <c r="D94" s="5">
        <f t="shared" si="2"/>
        <v>6.8926314888362903</v>
      </c>
      <c r="E94" s="5">
        <f t="shared" si="2"/>
        <v>6.9472644120768496</v>
      </c>
      <c r="F94" s="5">
        <f t="shared" si="3"/>
        <v>1.1363932691256018E-2</v>
      </c>
      <c r="G94" s="5">
        <f t="shared" si="3"/>
        <v>1.1116058593494849E-2</v>
      </c>
    </row>
    <row r="95" spans="1:7" x14ac:dyDescent="0.25">
      <c r="A95" s="21">
        <v>45191</v>
      </c>
      <c r="B95" s="5">
        <v>964.24</v>
      </c>
      <c r="C95" s="5">
        <v>1023.5</v>
      </c>
      <c r="D95" s="5">
        <f t="shared" si="2"/>
        <v>6.871340226280088</v>
      </c>
      <c r="E95" s="5">
        <f t="shared" si="2"/>
        <v>6.9309834051013439</v>
      </c>
      <c r="F95" s="5">
        <f t="shared" si="3"/>
        <v>-2.1291262556202284E-2</v>
      </c>
      <c r="G95" s="5">
        <f t="shared" si="3"/>
        <v>-1.6281006975505719E-2</v>
      </c>
    </row>
    <row r="96" spans="1:7" x14ac:dyDescent="0.25">
      <c r="A96" s="21">
        <v>45198</v>
      </c>
      <c r="B96" s="5">
        <v>952.78</v>
      </c>
      <c r="C96" s="5">
        <v>1006.6</v>
      </c>
      <c r="D96" s="5">
        <f t="shared" si="2"/>
        <v>6.8593840270567172</v>
      </c>
      <c r="E96" s="5">
        <f t="shared" si="2"/>
        <v>6.9143335943422599</v>
      </c>
      <c r="F96" s="5">
        <f t="shared" si="3"/>
        <v>-1.1956199223370767E-2</v>
      </c>
      <c r="G96" s="5">
        <f t="shared" si="3"/>
        <v>-1.6649810759084005E-2</v>
      </c>
    </row>
    <row r="97" spans="1:7" x14ac:dyDescent="0.25">
      <c r="A97" s="21">
        <v>45205</v>
      </c>
      <c r="B97" s="5">
        <v>937.34</v>
      </c>
      <c r="C97" s="5">
        <v>1003.3</v>
      </c>
      <c r="D97" s="5">
        <f t="shared" si="2"/>
        <v>6.8430460766126862</v>
      </c>
      <c r="E97" s="5">
        <f t="shared" si="2"/>
        <v>6.9110498459315668</v>
      </c>
      <c r="F97" s="5">
        <f t="shared" si="3"/>
        <v>-1.633795044403108E-2</v>
      </c>
      <c r="G97" s="5">
        <f t="shared" si="3"/>
        <v>-3.2837484106931214E-3</v>
      </c>
    </row>
    <row r="98" spans="1:7" x14ac:dyDescent="0.25">
      <c r="A98" s="21">
        <v>45212</v>
      </c>
      <c r="B98" s="5">
        <v>951.31</v>
      </c>
      <c r="C98" s="5">
        <v>1002.5</v>
      </c>
      <c r="D98" s="5">
        <f t="shared" si="2"/>
        <v>6.857839982088203</v>
      </c>
      <c r="E98" s="5">
        <f t="shared" si="2"/>
        <v>6.9102521591807244</v>
      </c>
      <c r="F98" s="5">
        <f t="shared" si="3"/>
        <v>1.4793905475516844E-2</v>
      </c>
      <c r="G98" s="5">
        <f t="shared" si="3"/>
        <v>-7.9768675084235241E-4</v>
      </c>
    </row>
    <row r="99" spans="1:7" x14ac:dyDescent="0.25">
      <c r="A99" s="21">
        <v>45219</v>
      </c>
      <c r="B99" s="5">
        <v>925.58</v>
      </c>
      <c r="C99" s="5">
        <v>973.3</v>
      </c>
      <c r="D99" s="5">
        <f t="shared" si="2"/>
        <v>6.8304205680401422</v>
      </c>
      <c r="E99" s="5">
        <f t="shared" si="2"/>
        <v>6.8806923594324481</v>
      </c>
      <c r="F99" s="5">
        <f t="shared" si="3"/>
        <v>-2.7419414048060808E-2</v>
      </c>
      <c r="G99" s="5">
        <f t="shared" si="3"/>
        <v>-2.9559799748276383E-2</v>
      </c>
    </row>
    <row r="100" spans="1:7" x14ac:dyDescent="0.25">
      <c r="A100" s="21">
        <v>45226</v>
      </c>
      <c r="B100" s="5">
        <v>919.78</v>
      </c>
      <c r="C100" s="5">
        <v>964.6</v>
      </c>
      <c r="D100" s="5">
        <f t="shared" si="2"/>
        <v>6.8241345110120619</v>
      </c>
      <c r="E100" s="5">
        <f t="shared" si="2"/>
        <v>6.8717135076348717</v>
      </c>
      <c r="F100" s="5">
        <f t="shared" si="3"/>
        <v>-6.2860570280802719E-3</v>
      </c>
      <c r="G100" s="5">
        <f t="shared" si="3"/>
        <v>-8.9788517975764037E-3</v>
      </c>
    </row>
    <row r="101" spans="1:7" x14ac:dyDescent="0.25">
      <c r="A101" s="21">
        <v>45233</v>
      </c>
      <c r="B101" s="5">
        <v>948.26</v>
      </c>
      <c r="C101" s="5">
        <v>1009.7</v>
      </c>
      <c r="D101" s="5">
        <f t="shared" si="2"/>
        <v>6.8546287262555587</v>
      </c>
      <c r="E101" s="5">
        <f t="shared" si="2"/>
        <v>6.9174085360102753</v>
      </c>
      <c r="F101" s="5">
        <f t="shared" si="3"/>
        <v>3.0494215243496825E-2</v>
      </c>
      <c r="G101" s="5">
        <f t="shared" si="3"/>
        <v>4.5695028375403623E-2</v>
      </c>
    </row>
    <row r="102" spans="1:7" x14ac:dyDescent="0.25">
      <c r="A102" s="21">
        <v>45240</v>
      </c>
      <c r="B102" s="5">
        <v>948.32</v>
      </c>
      <c r="C102" s="5">
        <v>1009.1</v>
      </c>
      <c r="D102" s="5">
        <f t="shared" si="2"/>
        <v>6.8546919980395282</v>
      </c>
      <c r="E102" s="5">
        <f t="shared" si="2"/>
        <v>6.9168141234704832</v>
      </c>
      <c r="F102" s="5">
        <f t="shared" si="3"/>
        <v>6.3271783969476303E-5</v>
      </c>
      <c r="G102" s="5">
        <f t="shared" si="3"/>
        <v>-5.9441253979208852E-4</v>
      </c>
    </row>
    <row r="103" spans="1:7" x14ac:dyDescent="0.25">
      <c r="A103" s="21">
        <v>45247</v>
      </c>
      <c r="B103" s="5">
        <v>976.52</v>
      </c>
      <c r="C103" s="5">
        <v>1031.2</v>
      </c>
      <c r="D103" s="5">
        <f t="shared" si="2"/>
        <v>6.8839952314177983</v>
      </c>
      <c r="E103" s="5">
        <f t="shared" si="2"/>
        <v>6.9384784516249773</v>
      </c>
      <c r="F103" s="5">
        <f t="shared" si="3"/>
        <v>2.9303233378270122E-2</v>
      </c>
      <c r="G103" s="5">
        <f t="shared" si="3"/>
        <v>2.166432815449415E-2</v>
      </c>
    </row>
    <row r="104" spans="1:7" x14ac:dyDescent="0.25">
      <c r="A104" s="21">
        <v>45254</v>
      </c>
      <c r="B104" s="5">
        <v>980.33</v>
      </c>
      <c r="C104" s="5">
        <v>1036.0999999999999</v>
      </c>
      <c r="D104" s="5">
        <f t="shared" si="2"/>
        <v>6.8878892496760926</v>
      </c>
      <c r="E104" s="5">
        <f t="shared" si="2"/>
        <v>6.9432189432577056</v>
      </c>
      <c r="F104" s="5">
        <f t="shared" si="3"/>
        <v>3.8940182582942739E-3</v>
      </c>
      <c r="G104" s="5">
        <f t="shared" si="3"/>
        <v>4.740491632728272E-3</v>
      </c>
    </row>
    <row r="105" spans="1:7" x14ac:dyDescent="0.25">
      <c r="A105" s="21">
        <v>45261</v>
      </c>
      <c r="B105" s="5">
        <v>982.14</v>
      </c>
      <c r="C105" s="5">
        <v>1033.5999999999999</v>
      </c>
      <c r="D105" s="5">
        <f t="shared" si="2"/>
        <v>6.8897338643843185</v>
      </c>
      <c r="E105" s="5">
        <f t="shared" si="2"/>
        <v>6.9408031330283375</v>
      </c>
      <c r="F105" s="5">
        <f t="shared" si="3"/>
        <v>1.8446147082258335E-3</v>
      </c>
      <c r="G105" s="5">
        <f t="shared" si="3"/>
        <v>-2.4158102293680983E-3</v>
      </c>
    </row>
    <row r="106" spans="1:7" x14ac:dyDescent="0.25">
      <c r="A106" s="21">
        <v>45268</v>
      </c>
      <c r="B106" s="5">
        <v>975.01</v>
      </c>
      <c r="C106" s="5">
        <v>1018.5</v>
      </c>
      <c r="D106" s="5">
        <f t="shared" si="2"/>
        <v>6.8824477273555074</v>
      </c>
      <c r="E106" s="5">
        <f t="shared" si="2"/>
        <v>6.9260862356668609</v>
      </c>
      <c r="F106" s="5">
        <f t="shared" si="3"/>
        <v>-7.2861370288110905E-3</v>
      </c>
      <c r="G106" s="5">
        <f t="shared" si="3"/>
        <v>-1.4716897361476633E-2</v>
      </c>
    </row>
    <row r="107" spans="1:7" x14ac:dyDescent="0.25">
      <c r="A107" s="21">
        <v>45275</v>
      </c>
      <c r="B107" s="5">
        <v>1000.89</v>
      </c>
      <c r="C107" s="5">
        <v>1037</v>
      </c>
      <c r="D107" s="5">
        <f t="shared" si="2"/>
        <v>6.9086448831669696</v>
      </c>
      <c r="E107" s="5">
        <f t="shared" si="2"/>
        <v>6.9440872082295275</v>
      </c>
      <c r="F107" s="5">
        <f t="shared" si="3"/>
        <v>2.6197155811462203E-2</v>
      </c>
      <c r="G107" s="5">
        <f t="shared" si="3"/>
        <v>1.8000972562666639E-2</v>
      </c>
    </row>
    <row r="108" spans="1:7" x14ac:dyDescent="0.25">
      <c r="A108" s="21">
        <v>45282</v>
      </c>
      <c r="B108" s="5">
        <v>992.28</v>
      </c>
      <c r="C108" s="5">
        <v>1037</v>
      </c>
      <c r="D108" s="5">
        <f t="shared" si="2"/>
        <v>6.9000053255220752</v>
      </c>
      <c r="E108" s="5">
        <f t="shared" si="2"/>
        <v>6.9440872082295275</v>
      </c>
      <c r="F108" s="5">
        <f t="shared" si="3"/>
        <v>-8.6395576448943245E-3</v>
      </c>
      <c r="G108" s="5">
        <f t="shared" si="3"/>
        <v>0</v>
      </c>
    </row>
    <row r="109" spans="1:7" x14ac:dyDescent="0.25">
      <c r="A109" s="21">
        <v>45289</v>
      </c>
      <c r="B109" s="5">
        <v>1023.74</v>
      </c>
      <c r="C109" s="5">
        <v>1059.8</v>
      </c>
      <c r="D109" s="5">
        <f t="shared" si="2"/>
        <v>6.9312178671098037</v>
      </c>
      <c r="E109" s="5">
        <f t="shared" si="2"/>
        <v>6.9658354900586614</v>
      </c>
      <c r="F109" s="5">
        <f t="shared" si="3"/>
        <v>3.121254158772846E-2</v>
      </c>
      <c r="G109" s="5">
        <f t="shared" si="3"/>
        <v>2.1748281829133909E-2</v>
      </c>
    </row>
    <row r="110" spans="1:7" x14ac:dyDescent="0.25">
      <c r="A110" s="21">
        <v>45296</v>
      </c>
      <c r="B110" s="5">
        <v>1002.08</v>
      </c>
      <c r="C110" s="5">
        <v>1039.4000000000001</v>
      </c>
      <c r="D110" s="5">
        <f t="shared" si="2"/>
        <v>6.9098331187771027</v>
      </c>
      <c r="E110" s="5">
        <f t="shared" si="2"/>
        <v>6.9463989025743418</v>
      </c>
      <c r="F110" s="5">
        <f t="shared" si="3"/>
        <v>-2.1384748332700987E-2</v>
      </c>
      <c r="G110" s="5">
        <f t="shared" si="3"/>
        <v>-1.9436587484319645E-2</v>
      </c>
    </row>
    <row r="111" spans="1:7" x14ac:dyDescent="0.25">
      <c r="A111" s="21">
        <v>45303</v>
      </c>
      <c r="B111" s="5">
        <v>996.3</v>
      </c>
      <c r="C111" s="5">
        <v>1028.5999999999999</v>
      </c>
      <c r="D111" s="5">
        <f t="shared" si="2"/>
        <v>6.9040484170508103</v>
      </c>
      <c r="E111" s="5">
        <f t="shared" si="2"/>
        <v>6.9359539333408158</v>
      </c>
      <c r="F111" s="5">
        <f t="shared" si="3"/>
        <v>-5.7847017262924183E-3</v>
      </c>
      <c r="G111" s="5">
        <f t="shared" si="3"/>
        <v>-1.0444969233526002E-2</v>
      </c>
    </row>
    <row r="112" spans="1:7" x14ac:dyDescent="0.25">
      <c r="A112" s="21">
        <v>45310</v>
      </c>
      <c r="B112" s="5">
        <v>970.91</v>
      </c>
      <c r="C112" s="5">
        <v>1011.2</v>
      </c>
      <c r="D112" s="5">
        <f t="shared" si="2"/>
        <v>6.878233776044965</v>
      </c>
      <c r="E112" s="5">
        <f t="shared" si="2"/>
        <v>6.9188930233925934</v>
      </c>
      <c r="F112" s="5">
        <f t="shared" si="3"/>
        <v>-2.5814641005845296E-2</v>
      </c>
      <c r="G112" s="5">
        <f t="shared" si="3"/>
        <v>-1.7060909948222402E-2</v>
      </c>
    </row>
    <row r="113" spans="1:7" x14ac:dyDescent="0.25">
      <c r="A113" s="21">
        <v>45317</v>
      </c>
      <c r="B113" s="5">
        <v>985.1</v>
      </c>
      <c r="C113" s="5">
        <v>1023.6</v>
      </c>
      <c r="D113" s="5">
        <f t="shared" si="2"/>
        <v>6.8927431588616335</v>
      </c>
      <c r="E113" s="5">
        <f t="shared" si="2"/>
        <v>6.9310811042856342</v>
      </c>
      <c r="F113" s="5">
        <f t="shared" si="3"/>
        <v>1.450938281666847E-2</v>
      </c>
      <c r="G113" s="5">
        <f t="shared" si="3"/>
        <v>1.2188080893040798E-2</v>
      </c>
    </row>
    <row r="114" spans="1:7" x14ac:dyDescent="0.25">
      <c r="A114" s="21">
        <v>45324</v>
      </c>
      <c r="B114" s="5">
        <v>988.21</v>
      </c>
      <c r="C114" s="5">
        <v>1017.8</v>
      </c>
      <c r="D114" s="5">
        <f t="shared" si="2"/>
        <v>6.8958952257694754</v>
      </c>
      <c r="E114" s="5">
        <f t="shared" si="2"/>
        <v>6.9253987141547322</v>
      </c>
      <c r="F114" s="5">
        <f t="shared" si="3"/>
        <v>3.1520669078419772E-3</v>
      </c>
      <c r="G114" s="5">
        <f t="shared" si="3"/>
        <v>-5.6823901309019931E-3</v>
      </c>
    </row>
    <row r="115" spans="1:7" x14ac:dyDescent="0.25">
      <c r="A115" s="21">
        <v>45331</v>
      </c>
      <c r="B115" s="5">
        <v>995.53</v>
      </c>
      <c r="C115" s="5">
        <v>1042.5999999999999</v>
      </c>
      <c r="D115" s="5">
        <f t="shared" ref="D115:E178" si="4">LN(B115)</f>
        <v>6.9032752586604289</v>
      </c>
      <c r="E115" s="5">
        <f t="shared" si="4"/>
        <v>6.9494728723340051</v>
      </c>
      <c r="F115" s="5">
        <f t="shared" ref="F115:G178" si="5">D115-D114</f>
        <v>7.3800328909534585E-3</v>
      </c>
      <c r="G115" s="5">
        <f t="shared" si="5"/>
        <v>2.4074158179272942E-2</v>
      </c>
    </row>
    <row r="116" spans="1:7" x14ac:dyDescent="0.25">
      <c r="A116" s="21">
        <v>45338</v>
      </c>
      <c r="B116" s="5">
        <v>1016.23</v>
      </c>
      <c r="C116" s="5">
        <v>1059.5999999999999</v>
      </c>
      <c r="D116" s="5">
        <f t="shared" si="4"/>
        <v>6.9238549804715612</v>
      </c>
      <c r="E116" s="5">
        <f t="shared" si="4"/>
        <v>6.9656467573979146</v>
      </c>
      <c r="F116" s="5">
        <f t="shared" si="5"/>
        <v>2.0579721811132323E-2</v>
      </c>
      <c r="G116" s="5">
        <f t="shared" si="5"/>
        <v>1.6173885063909488E-2</v>
      </c>
    </row>
    <row r="117" spans="1:7" x14ac:dyDescent="0.25">
      <c r="A117" s="21">
        <v>45345</v>
      </c>
      <c r="B117" s="5">
        <v>1028.31</v>
      </c>
      <c r="C117" s="5">
        <v>1073</v>
      </c>
      <c r="D117" s="5">
        <f t="shared" si="4"/>
        <v>6.9356719569763454</v>
      </c>
      <c r="E117" s="5">
        <f t="shared" si="4"/>
        <v>6.9782137426306985</v>
      </c>
      <c r="F117" s="5">
        <f t="shared" si="5"/>
        <v>1.1816976504784193E-2</v>
      </c>
      <c r="G117" s="5">
        <f t="shared" si="5"/>
        <v>1.2566985232783878E-2</v>
      </c>
    </row>
    <row r="118" spans="1:7" x14ac:dyDescent="0.25">
      <c r="A118" s="21">
        <v>45352</v>
      </c>
      <c r="B118" s="5">
        <v>1024.68</v>
      </c>
      <c r="C118" s="5">
        <v>1067.8</v>
      </c>
      <c r="D118" s="5">
        <f t="shared" si="4"/>
        <v>6.9321356477075149</v>
      </c>
      <c r="E118" s="5">
        <f t="shared" si="4"/>
        <v>6.9733557360660861</v>
      </c>
      <c r="F118" s="5">
        <f t="shared" si="5"/>
        <v>-3.5363092688305287E-3</v>
      </c>
      <c r="G118" s="5">
        <f t="shared" si="5"/>
        <v>-4.8580065646124382E-3</v>
      </c>
    </row>
    <row r="119" spans="1:7" x14ac:dyDescent="0.25">
      <c r="A119" s="21">
        <v>45359</v>
      </c>
      <c r="B119" s="5">
        <v>1037.0899999999999</v>
      </c>
      <c r="C119" s="5">
        <v>1076</v>
      </c>
      <c r="D119" s="5">
        <f t="shared" si="4"/>
        <v>6.9441739932774826</v>
      </c>
      <c r="E119" s="5">
        <f t="shared" si="4"/>
        <v>6.9810057407217299</v>
      </c>
      <c r="F119" s="5">
        <f t="shared" si="5"/>
        <v>1.2038345569967746E-2</v>
      </c>
      <c r="G119" s="5">
        <f t="shared" si="5"/>
        <v>7.6500046556438051E-3</v>
      </c>
    </row>
    <row r="120" spans="1:7" x14ac:dyDescent="0.25">
      <c r="A120" s="21">
        <v>45366</v>
      </c>
      <c r="B120" s="5">
        <v>1034.74</v>
      </c>
      <c r="C120" s="5">
        <v>1078.9000000000001</v>
      </c>
      <c r="D120" s="5">
        <f t="shared" si="4"/>
        <v>6.9419054664120541</v>
      </c>
      <c r="E120" s="5">
        <f t="shared" si="4"/>
        <v>6.9836972825572943</v>
      </c>
      <c r="F120" s="5">
        <f t="shared" si="5"/>
        <v>-2.2685268654285551E-3</v>
      </c>
      <c r="G120" s="5">
        <f t="shared" si="5"/>
        <v>2.691541835564415E-3</v>
      </c>
    </row>
    <row r="121" spans="1:7" x14ac:dyDescent="0.25">
      <c r="A121" s="21">
        <v>45373</v>
      </c>
      <c r="B121" s="5">
        <v>1039.32</v>
      </c>
      <c r="C121" s="5">
        <v>1077</v>
      </c>
      <c r="D121" s="5">
        <f t="shared" si="4"/>
        <v>6.9463219321309539</v>
      </c>
      <c r="E121" s="5">
        <f t="shared" si="4"/>
        <v>6.9819346771563886</v>
      </c>
      <c r="F121" s="5">
        <f t="shared" si="5"/>
        <v>4.4164657188998646E-3</v>
      </c>
      <c r="G121" s="5">
        <f t="shared" si="5"/>
        <v>-1.7626054009056702E-3</v>
      </c>
    </row>
    <row r="122" spans="1:7" x14ac:dyDescent="0.25">
      <c r="A122" s="21">
        <v>45380</v>
      </c>
      <c r="B122" s="5">
        <v>1043.2</v>
      </c>
      <c r="C122" s="5">
        <v>1083.0999999999999</v>
      </c>
      <c r="D122" s="5">
        <f t="shared" si="4"/>
        <v>6.9500481911723888</v>
      </c>
      <c r="E122" s="5">
        <f t="shared" si="4"/>
        <v>6.9875825788416916</v>
      </c>
      <c r="F122" s="5">
        <f t="shared" si="5"/>
        <v>3.7262590414348651E-3</v>
      </c>
      <c r="G122" s="5">
        <f t="shared" si="5"/>
        <v>5.6479016853030473E-3</v>
      </c>
    </row>
    <row r="123" spans="1:7" x14ac:dyDescent="0.25">
      <c r="A123" s="21">
        <v>45387</v>
      </c>
      <c r="B123" s="5">
        <v>1045.71</v>
      </c>
      <c r="C123" s="5">
        <v>1089.7</v>
      </c>
      <c r="D123" s="5">
        <f t="shared" si="4"/>
        <v>6.9524513595309898</v>
      </c>
      <c r="E123" s="5">
        <f t="shared" si="4"/>
        <v>6.9936577079828401</v>
      </c>
      <c r="F123" s="5">
        <f t="shared" si="5"/>
        <v>2.4031683586009933E-3</v>
      </c>
      <c r="G123" s="5">
        <f t="shared" si="5"/>
        <v>6.0751291411484942E-3</v>
      </c>
    </row>
    <row r="124" spans="1:7" x14ac:dyDescent="0.25">
      <c r="A124" s="21">
        <v>45394</v>
      </c>
      <c r="B124" s="5">
        <v>1041.7</v>
      </c>
      <c r="C124" s="5">
        <v>1073</v>
      </c>
      <c r="D124" s="5">
        <f t="shared" si="4"/>
        <v>6.948609272990403</v>
      </c>
      <c r="E124" s="5">
        <f t="shared" si="4"/>
        <v>6.9782137426306985</v>
      </c>
      <c r="F124" s="5">
        <f t="shared" si="5"/>
        <v>-3.8420865405868199E-3</v>
      </c>
      <c r="G124" s="5">
        <f t="shared" si="5"/>
        <v>-1.5443965352141653E-2</v>
      </c>
    </row>
    <row r="125" spans="1:7" x14ac:dyDescent="0.25">
      <c r="A125" s="21">
        <v>45401</v>
      </c>
      <c r="B125" s="5">
        <v>1004.17</v>
      </c>
      <c r="C125" s="5">
        <v>1050.0999999999999</v>
      </c>
      <c r="D125" s="5">
        <f t="shared" si="4"/>
        <v>6.911916608627366</v>
      </c>
      <c r="E125" s="5">
        <f t="shared" si="4"/>
        <v>6.956640676711948</v>
      </c>
      <c r="F125" s="5">
        <f t="shared" si="5"/>
        <v>-3.6692664363036975E-2</v>
      </c>
      <c r="G125" s="5">
        <f t="shared" si="5"/>
        <v>-2.1573065918750522E-2</v>
      </c>
    </row>
    <row r="126" spans="1:7" x14ac:dyDescent="0.25">
      <c r="A126" s="21">
        <v>45408</v>
      </c>
      <c r="B126" s="5">
        <v>1041.52</v>
      </c>
      <c r="C126" s="5">
        <v>1089.2</v>
      </c>
      <c r="D126" s="5">
        <f t="shared" si="4"/>
        <v>6.9484364635891414</v>
      </c>
      <c r="E126" s="5">
        <f t="shared" si="4"/>
        <v>6.9931987607996042</v>
      </c>
      <c r="F126" s="5">
        <f t="shared" si="5"/>
        <v>3.6519854961775344E-2</v>
      </c>
      <c r="G126" s="5">
        <f t="shared" si="5"/>
        <v>3.6558084087656262E-2</v>
      </c>
    </row>
    <row r="127" spans="1:7" x14ac:dyDescent="0.25">
      <c r="A127" s="21">
        <v>45415</v>
      </c>
      <c r="B127" s="5">
        <v>1061.45</v>
      </c>
      <c r="C127" s="5">
        <v>1120.3</v>
      </c>
      <c r="D127" s="5">
        <f t="shared" si="4"/>
        <v>6.967391176878011</v>
      </c>
      <c r="E127" s="5">
        <f t="shared" si="4"/>
        <v>7.0213517855646774</v>
      </c>
      <c r="F127" s="5">
        <f t="shared" si="5"/>
        <v>1.8954713288869662E-2</v>
      </c>
      <c r="G127" s="5">
        <f t="shared" si="5"/>
        <v>2.8153024765073198E-2</v>
      </c>
    </row>
    <row r="128" spans="1:7" x14ac:dyDescent="0.25">
      <c r="A128" s="21">
        <v>45422</v>
      </c>
      <c r="B128" s="5">
        <v>1071.6400000000001</v>
      </c>
      <c r="C128" s="5">
        <v>1119.4000000000001</v>
      </c>
      <c r="D128" s="5">
        <f t="shared" si="4"/>
        <v>6.9769454643347606</v>
      </c>
      <c r="E128" s="5">
        <f t="shared" si="4"/>
        <v>7.0205481064572597</v>
      </c>
      <c r="F128" s="5">
        <f t="shared" si="5"/>
        <v>9.5542874567495772E-3</v>
      </c>
      <c r="G128" s="5">
        <f t="shared" si="5"/>
        <v>-8.0367910741774296E-4</v>
      </c>
    </row>
    <row r="129" spans="1:7" x14ac:dyDescent="0.25">
      <c r="A129" s="21">
        <v>45429</v>
      </c>
      <c r="B129" s="5">
        <v>1099.79</v>
      </c>
      <c r="C129" s="5">
        <v>1153.0999999999999</v>
      </c>
      <c r="D129" s="5">
        <f t="shared" si="4"/>
        <v>7.0028745314700931</v>
      </c>
      <c r="E129" s="5">
        <f t="shared" si="4"/>
        <v>7.0502092467770705</v>
      </c>
      <c r="F129" s="5">
        <f t="shared" si="5"/>
        <v>2.5929067135332495E-2</v>
      </c>
      <c r="G129" s="5">
        <f t="shared" si="5"/>
        <v>2.9661140319810819E-2</v>
      </c>
    </row>
    <row r="130" spans="1:7" x14ac:dyDescent="0.25">
      <c r="A130" s="21">
        <v>45436</v>
      </c>
      <c r="B130" s="5">
        <v>1082.98</v>
      </c>
      <c r="C130" s="5">
        <v>1134.5999999999999</v>
      </c>
      <c r="D130" s="5">
        <f t="shared" si="4"/>
        <v>6.9874717796097858</v>
      </c>
      <c r="E130" s="5">
        <f t="shared" si="4"/>
        <v>7.0340354448924671</v>
      </c>
      <c r="F130" s="5">
        <f t="shared" si="5"/>
        <v>-1.5402751860307262E-2</v>
      </c>
      <c r="G130" s="5">
        <f t="shared" si="5"/>
        <v>-1.6173801884603378E-2</v>
      </c>
    </row>
    <row r="131" spans="1:7" x14ac:dyDescent="0.25">
      <c r="A131" s="21">
        <v>45443</v>
      </c>
      <c r="B131" s="5">
        <v>1048.96</v>
      </c>
      <c r="C131" s="5">
        <v>1100.9000000000001</v>
      </c>
      <c r="D131" s="5">
        <f t="shared" si="4"/>
        <v>6.9555544761154104</v>
      </c>
      <c r="E131" s="5">
        <f t="shared" si="4"/>
        <v>7.0038833060763572</v>
      </c>
      <c r="F131" s="5">
        <f t="shared" si="5"/>
        <v>-3.1917303494375382E-2</v>
      </c>
      <c r="G131" s="5">
        <f t="shared" si="5"/>
        <v>-3.0152138816109897E-2</v>
      </c>
    </row>
    <row r="132" spans="1:7" x14ac:dyDescent="0.25">
      <c r="A132" s="21">
        <v>45450</v>
      </c>
      <c r="B132" s="5">
        <v>1073.1400000000001</v>
      </c>
      <c r="C132" s="5">
        <v>1109.0999999999999</v>
      </c>
      <c r="D132" s="5">
        <f t="shared" si="4"/>
        <v>6.9783442094224259</v>
      </c>
      <c r="E132" s="5">
        <f t="shared" si="4"/>
        <v>7.0113041546106958</v>
      </c>
      <c r="F132" s="5">
        <f t="shared" si="5"/>
        <v>2.2789733307015503E-2</v>
      </c>
      <c r="G132" s="5">
        <f t="shared" si="5"/>
        <v>7.4208485343385533E-3</v>
      </c>
    </row>
    <row r="133" spans="1:7" x14ac:dyDescent="0.25">
      <c r="A133" s="21">
        <v>45457</v>
      </c>
      <c r="B133" s="5">
        <v>1076.8900000000001</v>
      </c>
      <c r="C133" s="5">
        <v>1117.0999999999999</v>
      </c>
      <c r="D133" s="5">
        <f t="shared" si="4"/>
        <v>6.9818325363784517</v>
      </c>
      <c r="E133" s="5">
        <f t="shared" si="4"/>
        <v>7.0184913205768025</v>
      </c>
      <c r="F133" s="5">
        <f t="shared" si="5"/>
        <v>3.4883269560257446E-3</v>
      </c>
      <c r="G133" s="5">
        <f t="shared" si="5"/>
        <v>7.18716596610669E-3</v>
      </c>
    </row>
    <row r="134" spans="1:7" x14ac:dyDescent="0.25">
      <c r="A134" s="21">
        <v>45464</v>
      </c>
      <c r="B134" s="5">
        <v>1086.93</v>
      </c>
      <c r="C134" s="5">
        <v>1128.4000000000001</v>
      </c>
      <c r="D134" s="5">
        <f t="shared" si="4"/>
        <v>6.9911124876235036</v>
      </c>
      <c r="E134" s="5">
        <f t="shared" si="4"/>
        <v>7.0285559791278409</v>
      </c>
      <c r="F134" s="5">
        <f t="shared" si="5"/>
        <v>9.2799512450518762E-3</v>
      </c>
      <c r="G134" s="5">
        <f t="shared" si="5"/>
        <v>1.0064658551038441E-2</v>
      </c>
    </row>
    <row r="135" spans="1:7" x14ac:dyDescent="0.25">
      <c r="A135" s="21">
        <v>45471</v>
      </c>
      <c r="B135" s="5">
        <v>1086.25</v>
      </c>
      <c r="C135" s="5">
        <v>1125.5</v>
      </c>
      <c r="D135" s="5">
        <f t="shared" si="4"/>
        <v>6.9904866765796019</v>
      </c>
      <c r="E135" s="5">
        <f t="shared" si="4"/>
        <v>7.025982660346787</v>
      </c>
      <c r="F135" s="5">
        <f t="shared" si="5"/>
        <v>-6.2581104390169173E-4</v>
      </c>
      <c r="G135" s="5">
        <f t="shared" si="5"/>
        <v>-2.5733187810539349E-3</v>
      </c>
    </row>
    <row r="136" spans="1:7" x14ac:dyDescent="0.25">
      <c r="A136" s="21">
        <v>45478</v>
      </c>
      <c r="B136" s="5">
        <v>1104.8800000000001</v>
      </c>
      <c r="C136" s="5">
        <v>1150.8</v>
      </c>
      <c r="D136" s="5">
        <f t="shared" si="4"/>
        <v>7.0074920107696732</v>
      </c>
      <c r="E136" s="5">
        <f t="shared" si="4"/>
        <v>7.0482126316773925</v>
      </c>
      <c r="F136" s="5">
        <f t="shared" si="5"/>
        <v>1.7005334190071331E-2</v>
      </c>
      <c r="G136" s="5">
        <f t="shared" si="5"/>
        <v>2.2229971330605558E-2</v>
      </c>
    </row>
    <row r="137" spans="1:7" x14ac:dyDescent="0.25">
      <c r="A137" s="21">
        <v>45485</v>
      </c>
      <c r="B137" s="5">
        <v>1123.56</v>
      </c>
      <c r="C137" s="5">
        <v>1171</v>
      </c>
      <c r="D137" s="5">
        <f t="shared" si="4"/>
        <v>7.0242574947387979</v>
      </c>
      <c r="E137" s="5">
        <f t="shared" si="4"/>
        <v>7.0656133635977172</v>
      </c>
      <c r="F137" s="5">
        <f t="shared" si="5"/>
        <v>1.6765483969124695E-2</v>
      </c>
      <c r="G137" s="5">
        <f t="shared" si="5"/>
        <v>1.7400731920324652E-2</v>
      </c>
    </row>
    <row r="138" spans="1:7" x14ac:dyDescent="0.25">
      <c r="A138" s="21">
        <v>45492</v>
      </c>
      <c r="B138" s="5">
        <v>1089.6099999999999</v>
      </c>
      <c r="C138" s="5">
        <v>1123.9000000000001</v>
      </c>
      <c r="D138" s="5">
        <f t="shared" si="4"/>
        <v>6.9935751130330157</v>
      </c>
      <c r="E138" s="5">
        <f t="shared" si="4"/>
        <v>7.0245600585242212</v>
      </c>
      <c r="F138" s="5">
        <f t="shared" si="5"/>
        <v>-3.0682381705782191E-2</v>
      </c>
      <c r="G138" s="5">
        <f t="shared" si="5"/>
        <v>-4.1053305073496027E-2</v>
      </c>
    </row>
    <row r="139" spans="1:7" x14ac:dyDescent="0.25">
      <c r="A139" s="21">
        <v>45499</v>
      </c>
      <c r="B139" s="5">
        <v>1072.28</v>
      </c>
      <c r="C139" s="5">
        <v>1113.2</v>
      </c>
      <c r="D139" s="5">
        <f t="shared" si="4"/>
        <v>6.9775425015553756</v>
      </c>
      <c r="E139" s="5">
        <f t="shared" si="4"/>
        <v>7.0149940296517359</v>
      </c>
      <c r="F139" s="5">
        <f t="shared" si="5"/>
        <v>-1.6032611477640124E-2</v>
      </c>
      <c r="G139" s="5">
        <f t="shared" si="5"/>
        <v>-9.5660288724852549E-3</v>
      </c>
    </row>
    <row r="140" spans="1:7" x14ac:dyDescent="0.25">
      <c r="A140" s="21">
        <v>45506</v>
      </c>
      <c r="B140" s="5">
        <v>1061.23</v>
      </c>
      <c r="C140" s="5">
        <v>1084.2</v>
      </c>
      <c r="D140" s="5">
        <f t="shared" si="4"/>
        <v>6.9671838917471502</v>
      </c>
      <c r="E140" s="5">
        <f t="shared" si="4"/>
        <v>6.9885976668262382</v>
      </c>
      <c r="F140" s="5">
        <f t="shared" si="5"/>
        <v>-1.0358609808225339E-2</v>
      </c>
      <c r="G140" s="5">
        <f t="shared" si="5"/>
        <v>-2.6396362825497732E-2</v>
      </c>
    </row>
    <row r="141" spans="1:7" x14ac:dyDescent="0.25">
      <c r="A141" s="21">
        <v>45513</v>
      </c>
      <c r="B141" s="5">
        <v>1063.43</v>
      </c>
      <c r="C141" s="5">
        <v>1094.8</v>
      </c>
      <c r="D141" s="5">
        <f t="shared" si="4"/>
        <v>6.9692548120697086</v>
      </c>
      <c r="E141" s="5">
        <f t="shared" si="4"/>
        <v>6.9983269771665242</v>
      </c>
      <c r="F141" s="5">
        <f t="shared" si="5"/>
        <v>2.0709203225584005E-3</v>
      </c>
      <c r="G141" s="5">
        <f t="shared" si="5"/>
        <v>9.7293103402860126E-3</v>
      </c>
    </row>
    <row r="142" spans="1:7" x14ac:dyDescent="0.25">
      <c r="A142" s="21">
        <v>45520</v>
      </c>
      <c r="B142" s="5">
        <v>1093.6500000000001</v>
      </c>
      <c r="C142" s="5">
        <v>1130.9000000000001</v>
      </c>
      <c r="D142" s="5">
        <f t="shared" si="4"/>
        <v>6.9972760049205487</v>
      </c>
      <c r="E142" s="5">
        <f t="shared" si="4"/>
        <v>7.0307690548772817</v>
      </c>
      <c r="F142" s="5">
        <f t="shared" si="5"/>
        <v>2.8021192850840038E-2</v>
      </c>
      <c r="G142" s="5">
        <f t="shared" si="5"/>
        <v>3.2442077710757466E-2</v>
      </c>
    </row>
    <row r="143" spans="1:7" x14ac:dyDescent="0.25">
      <c r="A143" s="21">
        <v>45527</v>
      </c>
      <c r="B143" s="5">
        <v>1100.68</v>
      </c>
      <c r="C143" s="5">
        <v>1140.7</v>
      </c>
      <c r="D143" s="5">
        <f t="shared" si="4"/>
        <v>7.0036834496089728</v>
      </c>
      <c r="E143" s="5">
        <f t="shared" si="4"/>
        <v>7.0393973880338523</v>
      </c>
      <c r="F143" s="5">
        <f t="shared" si="5"/>
        <v>6.4074446884241354E-3</v>
      </c>
      <c r="G143" s="5">
        <f t="shared" si="5"/>
        <v>8.6283331565706334E-3</v>
      </c>
    </row>
    <row r="144" spans="1:7" x14ac:dyDescent="0.25">
      <c r="A144" s="21">
        <v>45534</v>
      </c>
      <c r="B144" s="5">
        <v>1099.92</v>
      </c>
      <c r="C144" s="5">
        <v>1126.7</v>
      </c>
      <c r="D144" s="5">
        <f t="shared" si="4"/>
        <v>7.0029927288689784</v>
      </c>
      <c r="E144" s="5">
        <f t="shared" si="4"/>
        <v>7.0270482851701201</v>
      </c>
      <c r="F144" s="5">
        <f t="shared" si="5"/>
        <v>-6.9072073999443262E-4</v>
      </c>
      <c r="G144" s="5">
        <f t="shared" si="5"/>
        <v>-1.2349102863732142E-2</v>
      </c>
    </row>
    <row r="145" spans="1:7" x14ac:dyDescent="0.25">
      <c r="A145" s="21">
        <v>45541</v>
      </c>
      <c r="B145" s="5">
        <v>1074.8900000000001</v>
      </c>
      <c r="C145" s="5">
        <v>1082.2</v>
      </c>
      <c r="D145" s="5">
        <f t="shared" si="4"/>
        <v>6.9799736097447482</v>
      </c>
      <c r="E145" s="5">
        <f t="shared" si="4"/>
        <v>6.9867512852086353</v>
      </c>
      <c r="F145" s="5">
        <f t="shared" si="5"/>
        <v>-2.3019119124230158E-2</v>
      </c>
      <c r="G145" s="5">
        <f t="shared" si="5"/>
        <v>-4.0296999961484836E-2</v>
      </c>
    </row>
    <row r="146" spans="1:7" x14ac:dyDescent="0.25">
      <c r="A146" s="21">
        <v>45548</v>
      </c>
      <c r="B146" s="5">
        <v>1082.3</v>
      </c>
      <c r="C146" s="5">
        <v>1107.8</v>
      </c>
      <c r="D146" s="5">
        <f t="shared" si="4"/>
        <v>6.9868436853011007</v>
      </c>
      <c r="E146" s="5">
        <f t="shared" si="4"/>
        <v>7.0101313455990031</v>
      </c>
      <c r="F146" s="5">
        <f t="shared" si="5"/>
        <v>6.8700755563524396E-3</v>
      </c>
      <c r="G146" s="5">
        <f t="shared" si="5"/>
        <v>2.3380060390367774E-2</v>
      </c>
    </row>
    <row r="147" spans="1:7" x14ac:dyDescent="0.25">
      <c r="A147" s="21">
        <v>45555</v>
      </c>
      <c r="B147" s="5">
        <v>1106.44</v>
      </c>
      <c r="C147" s="5">
        <v>1131.7</v>
      </c>
      <c r="D147" s="5">
        <f t="shared" si="4"/>
        <v>7.0089029329869836</v>
      </c>
      <c r="E147" s="5">
        <f t="shared" si="4"/>
        <v>7.031476205971896</v>
      </c>
      <c r="F147" s="5">
        <f t="shared" si="5"/>
        <v>2.2059247685882966E-2</v>
      </c>
      <c r="G147" s="5">
        <f t="shared" si="5"/>
        <v>2.134486037289296E-2</v>
      </c>
    </row>
    <row r="148" spans="1:7" x14ac:dyDescent="0.25">
      <c r="A148" s="21">
        <v>45562</v>
      </c>
      <c r="B148" s="5">
        <v>1174.52</v>
      </c>
      <c r="C148" s="5">
        <v>1205.8</v>
      </c>
      <c r="D148" s="5">
        <f t="shared" si="4"/>
        <v>7.0686148324767597</v>
      </c>
      <c r="E148" s="5">
        <f t="shared" si="4"/>
        <v>7.0948985260553048</v>
      </c>
      <c r="F148" s="5">
        <f t="shared" si="5"/>
        <v>5.9711899489776066E-2</v>
      </c>
      <c r="G148" s="5">
        <f t="shared" si="5"/>
        <v>6.3422320083408756E-2</v>
      </c>
    </row>
    <row r="149" spans="1:7" x14ac:dyDescent="0.25">
      <c r="A149" s="21">
        <v>45569</v>
      </c>
      <c r="B149" s="5">
        <v>1179.3399999999999</v>
      </c>
      <c r="C149" s="5">
        <v>1214.0999999999999</v>
      </c>
      <c r="D149" s="5">
        <f t="shared" si="4"/>
        <v>7.0727102389468923</v>
      </c>
      <c r="E149" s="5">
        <f t="shared" si="4"/>
        <v>7.1017583405499298</v>
      </c>
      <c r="F149" s="5">
        <f t="shared" si="5"/>
        <v>4.0954064701326232E-3</v>
      </c>
      <c r="G149" s="5">
        <f t="shared" si="5"/>
        <v>6.8598144946250272E-3</v>
      </c>
    </row>
    <row r="150" spans="1:7" x14ac:dyDescent="0.25">
      <c r="A150" s="21">
        <v>45576</v>
      </c>
      <c r="B150" s="5">
        <v>1159.56</v>
      </c>
      <c r="C150" s="5">
        <v>1198.2</v>
      </c>
      <c r="D150" s="5">
        <f t="shared" si="4"/>
        <v>7.0557959017992173</v>
      </c>
      <c r="E150" s="5">
        <f t="shared" si="4"/>
        <v>7.0885757096498248</v>
      </c>
      <c r="F150" s="5">
        <f t="shared" si="5"/>
        <v>-1.6914337147674985E-2</v>
      </c>
      <c r="G150" s="5">
        <f t="shared" si="5"/>
        <v>-1.3182630900105075E-2</v>
      </c>
    </row>
    <row r="151" spans="1:7" x14ac:dyDescent="0.25">
      <c r="A151" s="21">
        <v>45583</v>
      </c>
      <c r="B151" s="5">
        <v>1155.1199999999999</v>
      </c>
      <c r="C151" s="5">
        <v>1185</v>
      </c>
      <c r="D151" s="5">
        <f t="shared" si="4"/>
        <v>7.0519595136629638</v>
      </c>
      <c r="E151" s="5">
        <f t="shared" si="4"/>
        <v>7.0774980535692311</v>
      </c>
      <c r="F151" s="5">
        <f t="shared" si="5"/>
        <v>-3.8363881362535324E-3</v>
      </c>
      <c r="G151" s="5">
        <f t="shared" si="5"/>
        <v>-1.1077656080593634E-2</v>
      </c>
    </row>
    <row r="152" spans="1:7" x14ac:dyDescent="0.25">
      <c r="A152" s="21">
        <v>45590</v>
      </c>
      <c r="B152" s="5">
        <v>1134.8800000000001</v>
      </c>
      <c r="C152" s="5">
        <v>1163.3</v>
      </c>
      <c r="D152" s="5">
        <f t="shared" si="4"/>
        <v>7.034282197453777</v>
      </c>
      <c r="E152" s="5">
        <f t="shared" si="4"/>
        <v>7.0590160728227209</v>
      </c>
      <c r="F152" s="5">
        <f t="shared" si="5"/>
        <v>-1.7677316209186777E-2</v>
      </c>
      <c r="G152" s="5">
        <f t="shared" si="5"/>
        <v>-1.8481980746510196E-2</v>
      </c>
    </row>
    <row r="153" spans="1:7" x14ac:dyDescent="0.25">
      <c r="A153" s="21">
        <v>45597</v>
      </c>
      <c r="B153" s="5">
        <v>1122.28</v>
      </c>
      <c r="C153" s="5">
        <v>1147.7</v>
      </c>
      <c r="D153" s="5">
        <f t="shared" si="4"/>
        <v>7.0231176093163317</v>
      </c>
      <c r="E153" s="5">
        <f t="shared" si="4"/>
        <v>7.0455152186866226</v>
      </c>
      <c r="F153" s="5">
        <f t="shared" si="5"/>
        <v>-1.1164588137445364E-2</v>
      </c>
      <c r="G153" s="5">
        <f t="shared" si="5"/>
        <v>-1.3500854136098361E-2</v>
      </c>
    </row>
    <row r="154" spans="1:7" x14ac:dyDescent="0.25">
      <c r="A154" s="21">
        <v>45604</v>
      </c>
      <c r="B154" s="5">
        <v>1135.6500000000001</v>
      </c>
      <c r="C154" s="5">
        <v>1150.5999999999999</v>
      </c>
      <c r="D154" s="5">
        <f t="shared" si="4"/>
        <v>7.0349604532174252</v>
      </c>
      <c r="E154" s="5">
        <f t="shared" si="4"/>
        <v>7.0480388244291934</v>
      </c>
      <c r="F154" s="5">
        <f t="shared" si="5"/>
        <v>1.184284390109358E-2</v>
      </c>
      <c r="G154" s="5">
        <f t="shared" si="5"/>
        <v>2.5236057425708225E-3</v>
      </c>
    </row>
    <row r="155" spans="1:7" x14ac:dyDescent="0.25">
      <c r="A155" s="21">
        <v>45611</v>
      </c>
      <c r="B155" s="5">
        <v>1085</v>
      </c>
      <c r="C155" s="5">
        <v>1105.0999999999999</v>
      </c>
      <c r="D155" s="5">
        <f t="shared" si="4"/>
        <v>6.9893352659745602</v>
      </c>
      <c r="E155" s="5">
        <f t="shared" si="4"/>
        <v>7.0076911075947361</v>
      </c>
      <c r="F155" s="5">
        <f t="shared" si="5"/>
        <v>-4.5625187242865017E-2</v>
      </c>
      <c r="G155" s="5">
        <f t="shared" si="5"/>
        <v>-4.0347716834457259E-2</v>
      </c>
    </row>
    <row r="156" spans="1:7" x14ac:dyDescent="0.25">
      <c r="A156" s="21">
        <v>45618</v>
      </c>
      <c r="B156" s="5">
        <v>1087.27</v>
      </c>
      <c r="C156" s="5">
        <v>1113.4000000000001</v>
      </c>
      <c r="D156" s="5">
        <f t="shared" si="4"/>
        <v>6.991425246341902</v>
      </c>
      <c r="E156" s="5">
        <f t="shared" si="4"/>
        <v>7.0151736757494074</v>
      </c>
      <c r="F156" s="5">
        <f t="shared" si="5"/>
        <v>2.0899803673417594E-3</v>
      </c>
      <c r="G156" s="5">
        <f t="shared" si="5"/>
        <v>7.4825681546712985E-3</v>
      </c>
    </row>
    <row r="157" spans="1:7" x14ac:dyDescent="0.25">
      <c r="A157" s="21">
        <v>45625</v>
      </c>
      <c r="B157" s="5">
        <v>1078.57</v>
      </c>
      <c r="C157" s="5">
        <v>1111.7</v>
      </c>
      <c r="D157" s="5">
        <f t="shared" si="4"/>
        <v>6.9833913686835682</v>
      </c>
      <c r="E157" s="5">
        <f t="shared" si="4"/>
        <v>7.0136456542395695</v>
      </c>
      <c r="F157" s="5">
        <f t="shared" si="5"/>
        <v>-8.0338776583337435E-3</v>
      </c>
      <c r="G157" s="5">
        <f t="shared" si="5"/>
        <v>-1.5280215098378847E-3</v>
      </c>
    </row>
    <row r="158" spans="1:7" x14ac:dyDescent="0.25">
      <c r="A158" s="21">
        <v>45632</v>
      </c>
      <c r="B158" s="5">
        <v>1105.08</v>
      </c>
      <c r="C158" s="5">
        <v>1125.5999999999999</v>
      </c>
      <c r="D158" s="5">
        <f t="shared" si="4"/>
        <v>7.0076730095212758</v>
      </c>
      <c r="E158" s="5">
        <f t="shared" si="4"/>
        <v>7.0260715058001795</v>
      </c>
      <c r="F158" s="5">
        <f t="shared" si="5"/>
        <v>2.4281640837707563E-2</v>
      </c>
      <c r="G158" s="5">
        <f t="shared" si="5"/>
        <v>1.2425851560609935E-2</v>
      </c>
    </row>
    <row r="159" spans="1:7" x14ac:dyDescent="0.25">
      <c r="A159" s="21">
        <v>45639</v>
      </c>
      <c r="B159" s="5">
        <v>1107.01</v>
      </c>
      <c r="C159" s="5">
        <v>1131.0999999999999</v>
      </c>
      <c r="D159" s="5">
        <f t="shared" si="4"/>
        <v>7.0094179660915037</v>
      </c>
      <c r="E159" s="5">
        <f t="shared" si="4"/>
        <v>7.0309458895373353</v>
      </c>
      <c r="F159" s="5">
        <f t="shared" si="5"/>
        <v>1.7449565702278846E-3</v>
      </c>
      <c r="G159" s="5">
        <f t="shared" si="5"/>
        <v>4.874383737155874E-3</v>
      </c>
    </row>
    <row r="160" spans="1:7" x14ac:dyDescent="0.25">
      <c r="A160" s="21">
        <v>45646</v>
      </c>
      <c r="B160" s="5">
        <v>1072.25</v>
      </c>
      <c r="C160" s="5">
        <v>1102.7</v>
      </c>
      <c r="D160" s="5">
        <f t="shared" si="4"/>
        <v>6.97751452339699</v>
      </c>
      <c r="E160" s="5">
        <f t="shared" si="4"/>
        <v>7.0055169967646327</v>
      </c>
      <c r="F160" s="5">
        <f t="shared" si="5"/>
        <v>-3.1903442694513728E-2</v>
      </c>
      <c r="G160" s="5">
        <f t="shared" si="5"/>
        <v>-2.542889277270266E-2</v>
      </c>
    </row>
    <row r="161" spans="1:7" x14ac:dyDescent="0.25">
      <c r="A161" s="21">
        <v>45653</v>
      </c>
      <c r="B161" s="5">
        <v>1082.8699999999999</v>
      </c>
      <c r="C161" s="5">
        <v>1101.5999999999999</v>
      </c>
      <c r="D161" s="5">
        <f t="shared" si="4"/>
        <v>6.9873702028615394</v>
      </c>
      <c r="E161" s="5">
        <f t="shared" si="4"/>
        <v>7.0045189474144447</v>
      </c>
      <c r="F161" s="5">
        <f t="shared" si="5"/>
        <v>9.8556794645494605E-3</v>
      </c>
      <c r="G161" s="5">
        <f t="shared" si="5"/>
        <v>-9.9804935018799057E-4</v>
      </c>
    </row>
    <row r="162" spans="1:7" x14ac:dyDescent="0.25">
      <c r="A162" s="21">
        <v>45660</v>
      </c>
      <c r="B162" s="5">
        <v>1073.21</v>
      </c>
      <c r="C162" s="5">
        <v>1099</v>
      </c>
      <c r="D162" s="5">
        <f t="shared" si="4"/>
        <v>6.9784094364357507</v>
      </c>
      <c r="E162" s="5">
        <f t="shared" si="4"/>
        <v>7.0021559544036212</v>
      </c>
      <c r="F162" s="5">
        <f t="shared" si="5"/>
        <v>-8.960766425788691E-3</v>
      </c>
      <c r="G162" s="5">
        <f t="shared" si="5"/>
        <v>-2.3629930108235442E-3</v>
      </c>
    </row>
    <row r="163" spans="1:7" x14ac:dyDescent="0.25">
      <c r="A163" s="21">
        <v>45667</v>
      </c>
      <c r="B163" s="5">
        <v>1057.0999999999999</v>
      </c>
      <c r="C163" s="5">
        <v>1068.5</v>
      </c>
      <c r="D163" s="5">
        <f t="shared" si="4"/>
        <v>6.9632845887746173</v>
      </c>
      <c r="E163" s="5">
        <f t="shared" si="4"/>
        <v>6.9740110747592023</v>
      </c>
      <c r="F163" s="5">
        <f t="shared" si="5"/>
        <v>-1.5124847661133423E-2</v>
      </c>
      <c r="G163" s="5">
        <f t="shared" si="5"/>
        <v>-2.8144879644418808E-2</v>
      </c>
    </row>
    <row r="164" spans="1:7" x14ac:dyDescent="0.25">
      <c r="A164" s="21">
        <v>45674</v>
      </c>
      <c r="B164" s="5">
        <v>1070.1199999999999</v>
      </c>
      <c r="C164" s="5">
        <v>1093.3</v>
      </c>
      <c r="D164" s="5">
        <f t="shared" si="4"/>
        <v>6.975526070700373</v>
      </c>
      <c r="E164" s="5">
        <f t="shared" si="4"/>
        <v>6.9969559244404387</v>
      </c>
      <c r="F164" s="5">
        <f t="shared" si="5"/>
        <v>1.2241481925755693E-2</v>
      </c>
      <c r="G164" s="5">
        <f t="shared" si="5"/>
        <v>2.2944849681236335E-2</v>
      </c>
    </row>
    <row r="165" spans="1:7" x14ac:dyDescent="0.25">
      <c r="A165" s="21">
        <v>45681</v>
      </c>
      <c r="B165" s="5">
        <v>1090.02</v>
      </c>
      <c r="C165" s="5">
        <v>1113.0999999999999</v>
      </c>
      <c r="D165" s="5">
        <f t="shared" si="4"/>
        <v>6.9939513236787088</v>
      </c>
      <c r="E165" s="5">
        <f t="shared" si="4"/>
        <v>7.0149041944991799</v>
      </c>
      <c r="F165" s="5">
        <f t="shared" si="5"/>
        <v>1.8425252978335749E-2</v>
      </c>
      <c r="G165" s="5">
        <f t="shared" si="5"/>
        <v>1.7948270058741222E-2</v>
      </c>
    </row>
    <row r="166" spans="1:7" x14ac:dyDescent="0.25">
      <c r="A166" s="21">
        <v>45688</v>
      </c>
      <c r="B166" s="5">
        <v>1093.3699999999999</v>
      </c>
      <c r="C166" s="5">
        <v>1106.5</v>
      </c>
      <c r="D166" s="5">
        <f t="shared" si="4"/>
        <v>6.9970199487331071</v>
      </c>
      <c r="E166" s="5">
        <f t="shared" si="4"/>
        <v>7.0089571594911044</v>
      </c>
      <c r="F166" s="5">
        <f t="shared" si="5"/>
        <v>3.0686250543983107E-3</v>
      </c>
      <c r="G166" s="5">
        <f t="shared" si="5"/>
        <v>-5.9470350080754741E-3</v>
      </c>
    </row>
    <row r="167" spans="1:7" x14ac:dyDescent="0.25">
      <c r="A167" s="21">
        <v>45695</v>
      </c>
      <c r="B167" s="5">
        <v>1108.48</v>
      </c>
      <c r="C167" s="5">
        <v>1119.5</v>
      </c>
      <c r="D167" s="5">
        <f t="shared" si="4"/>
        <v>7.0107449864939611</v>
      </c>
      <c r="E167" s="5">
        <f t="shared" si="4"/>
        <v>7.0206374360388093</v>
      </c>
      <c r="F167" s="5">
        <f t="shared" si="5"/>
        <v>1.3725037760853986E-2</v>
      </c>
      <c r="G167" s="5">
        <f t="shared" si="5"/>
        <v>1.1680276547704871E-2</v>
      </c>
    </row>
    <row r="168" spans="1:7" x14ac:dyDescent="0.25">
      <c r="A168" s="21">
        <v>45702</v>
      </c>
      <c r="B168" s="5">
        <v>1125.23</v>
      </c>
      <c r="C168" s="5">
        <v>1147.9000000000001</v>
      </c>
      <c r="D168" s="5">
        <f t="shared" si="4"/>
        <v>7.0257427381870476</v>
      </c>
      <c r="E168" s="5">
        <f t="shared" si="4"/>
        <v>7.045689465071451</v>
      </c>
      <c r="F168" s="5">
        <f t="shared" si="5"/>
        <v>1.4997751693086592E-2</v>
      </c>
      <c r="G168" s="5">
        <f t="shared" si="5"/>
        <v>2.5052029032641698E-2</v>
      </c>
    </row>
    <row r="169" spans="1:7" x14ac:dyDescent="0.25">
      <c r="A169" s="21">
        <v>45709</v>
      </c>
      <c r="B169" s="5">
        <v>1147.3</v>
      </c>
      <c r="C169" s="5">
        <v>1159.7</v>
      </c>
      <c r="D169" s="5">
        <f t="shared" si="4"/>
        <v>7.0451666348050974</v>
      </c>
      <c r="E169" s="5">
        <f t="shared" si="4"/>
        <v>7.0559166299626579</v>
      </c>
      <c r="F169" s="5">
        <f t="shared" si="5"/>
        <v>1.9423896618049774E-2</v>
      </c>
      <c r="G169" s="5">
        <f t="shared" si="5"/>
        <v>1.0227164891206897E-2</v>
      </c>
    </row>
    <row r="170" spans="1:7" x14ac:dyDescent="0.25">
      <c r="A170" s="21">
        <v>45716</v>
      </c>
      <c r="B170" s="5">
        <v>1097.25</v>
      </c>
      <c r="C170" s="5">
        <v>1112.0999999999999</v>
      </c>
      <c r="D170" s="5">
        <f t="shared" si="4"/>
        <v>7.0005623285683436</v>
      </c>
      <c r="E170" s="5">
        <f t="shared" si="4"/>
        <v>7.0140053988247963</v>
      </c>
      <c r="F170" s="5">
        <f t="shared" si="5"/>
        <v>-4.4604306236753821E-2</v>
      </c>
      <c r="G170" s="5">
        <f t="shared" si="5"/>
        <v>-4.1911231137861549E-2</v>
      </c>
    </row>
    <row r="171" spans="1:7" x14ac:dyDescent="0.25">
      <c r="A171" s="21">
        <v>45723</v>
      </c>
      <c r="B171" s="5">
        <v>1128.55</v>
      </c>
      <c r="C171" s="5">
        <v>1142.2</v>
      </c>
      <c r="D171" s="5">
        <f t="shared" si="4"/>
        <v>7.0286889018777652</v>
      </c>
      <c r="E171" s="5">
        <f t="shared" si="4"/>
        <v>7.0407115062307621</v>
      </c>
      <c r="F171" s="5">
        <f t="shared" si="5"/>
        <v>2.8126573309421588E-2</v>
      </c>
      <c r="G171" s="5">
        <f t="shared" si="5"/>
        <v>2.6706107405965795E-2</v>
      </c>
    </row>
    <row r="172" spans="1:7" x14ac:dyDescent="0.25">
      <c r="A172" s="21">
        <v>45730</v>
      </c>
      <c r="B172" s="5">
        <v>1119.6099999999999</v>
      </c>
      <c r="C172" s="5">
        <v>1147.0999999999999</v>
      </c>
      <c r="D172" s="5">
        <f t="shared" si="4"/>
        <v>7.0207356893627537</v>
      </c>
      <c r="E172" s="5">
        <f t="shared" si="4"/>
        <v>7.0449922972872221</v>
      </c>
      <c r="F172" s="5">
        <f t="shared" si="5"/>
        <v>-7.9532125150114652E-3</v>
      </c>
      <c r="G172" s="5">
        <f t="shared" si="5"/>
        <v>4.2807910564599538E-3</v>
      </c>
    </row>
    <row r="173" spans="1:7" x14ac:dyDescent="0.25">
      <c r="A173" s="21">
        <v>45737</v>
      </c>
      <c r="B173" s="5">
        <v>1131.3800000000001</v>
      </c>
      <c r="C173" s="5">
        <v>1147.2</v>
      </c>
      <c r="D173" s="5">
        <f t="shared" si="4"/>
        <v>7.0311934055387404</v>
      </c>
      <c r="E173" s="5">
        <f t="shared" si="4"/>
        <v>7.0450794698453558</v>
      </c>
      <c r="F173" s="5">
        <f t="shared" si="5"/>
        <v>1.0457716175986675E-2</v>
      </c>
      <c r="G173" s="5">
        <f t="shared" si="5"/>
        <v>8.7172558133730149E-5</v>
      </c>
    </row>
    <row r="174" spans="1:7" x14ac:dyDescent="0.25">
      <c r="A174" s="21">
        <v>45744</v>
      </c>
      <c r="B174" s="5">
        <v>1120.72</v>
      </c>
      <c r="C174" s="5">
        <v>1126.7</v>
      </c>
      <c r="D174" s="5">
        <f t="shared" si="4"/>
        <v>7.0217266148878581</v>
      </c>
      <c r="E174" s="5">
        <f t="shared" si="4"/>
        <v>7.0270482851701201</v>
      </c>
      <c r="F174" s="5">
        <f t="shared" si="5"/>
        <v>-9.4667906508822952E-3</v>
      </c>
      <c r="G174" s="5">
        <f t="shared" si="5"/>
        <v>-1.8031184675235679E-2</v>
      </c>
    </row>
    <row r="175" spans="1:7" x14ac:dyDescent="0.25">
      <c r="A175" s="21">
        <v>45751</v>
      </c>
      <c r="B175" s="5">
        <v>1087.5899999999999</v>
      </c>
      <c r="C175" s="5">
        <v>1039.5999999999999</v>
      </c>
      <c r="D175" s="5">
        <f t="shared" si="4"/>
        <v>6.9917195181592229</v>
      </c>
      <c r="E175" s="5">
        <f t="shared" si="4"/>
        <v>6.9465913027673354</v>
      </c>
      <c r="F175" s="5">
        <f t="shared" si="5"/>
        <v>-3.0007096728635219E-2</v>
      </c>
      <c r="G175" s="5">
        <f t="shared" si="5"/>
        <v>-8.045698240278476E-2</v>
      </c>
    </row>
    <row r="176" spans="1:7" x14ac:dyDescent="0.25">
      <c r="A176" s="21">
        <v>45758</v>
      </c>
      <c r="B176" s="5">
        <v>1045.2</v>
      </c>
      <c r="C176" s="5">
        <v>1071.9000000000001</v>
      </c>
      <c r="D176" s="5">
        <f t="shared" si="4"/>
        <v>6.9519635336464578</v>
      </c>
      <c r="E176" s="5">
        <f t="shared" si="4"/>
        <v>6.977188053697474</v>
      </c>
      <c r="F176" s="5">
        <f t="shared" si="5"/>
        <v>-3.9755984512765075E-2</v>
      </c>
      <c r="G176" s="5">
        <f t="shared" si="5"/>
        <v>3.0596750930138583E-2</v>
      </c>
    </row>
    <row r="177" spans="1:7" x14ac:dyDescent="0.25">
      <c r="A177" s="21">
        <v>45765</v>
      </c>
      <c r="B177" s="5">
        <v>1068.5899999999999</v>
      </c>
      <c r="C177" s="5">
        <v>1073.5999999999999</v>
      </c>
      <c r="D177" s="5">
        <f t="shared" si="4"/>
        <v>6.9740953014413289</v>
      </c>
      <c r="E177" s="5">
        <f t="shared" si="4"/>
        <v>6.9787727662174168</v>
      </c>
      <c r="F177" s="5">
        <f t="shared" si="5"/>
        <v>2.2131767794871138E-2</v>
      </c>
      <c r="G177" s="5">
        <f t="shared" si="5"/>
        <v>1.5847125199428547E-3</v>
      </c>
    </row>
    <row r="178" spans="1:7" x14ac:dyDescent="0.25">
      <c r="A178" s="21">
        <v>45772</v>
      </c>
      <c r="B178" s="5">
        <v>1097.0999999999999</v>
      </c>
      <c r="C178" s="5">
        <v>1113.5999999999999</v>
      </c>
      <c r="D178" s="5">
        <f t="shared" si="4"/>
        <v>7.0004256138234453</v>
      </c>
      <c r="E178" s="5">
        <f t="shared" si="4"/>
        <v>7.0153532895801547</v>
      </c>
      <c r="F178" s="5">
        <f t="shared" si="5"/>
        <v>2.6330312382116361E-2</v>
      </c>
      <c r="G178" s="5">
        <f t="shared" si="5"/>
        <v>3.6580523362737871E-2</v>
      </c>
    </row>
    <row r="179" spans="1:7" x14ac:dyDescent="0.25">
      <c r="A179" s="21">
        <v>45779</v>
      </c>
      <c r="B179" s="5">
        <v>1133.27</v>
      </c>
      <c r="C179" s="5">
        <v>1155.5</v>
      </c>
      <c r="D179" s="5">
        <f t="shared" ref="D179:E213" si="6">LN(B179)</f>
        <v>7.0328625380217247</v>
      </c>
      <c r="E179" s="5">
        <f t="shared" si="6"/>
        <v>7.0522884297144355</v>
      </c>
      <c r="F179" s="5">
        <f t="shared" ref="F179:G213" si="7">D179-D178</f>
        <v>3.2436924198279371E-2</v>
      </c>
      <c r="G179" s="5">
        <f t="shared" si="7"/>
        <v>3.6935140134280786E-2</v>
      </c>
    </row>
    <row r="180" spans="1:7" x14ac:dyDescent="0.25">
      <c r="A180" s="21">
        <v>45786</v>
      </c>
      <c r="B180" s="5">
        <v>1138.4000000000001</v>
      </c>
      <c r="C180" s="5">
        <v>1151.4000000000001</v>
      </c>
      <c r="D180" s="5">
        <f t="shared" si="6"/>
        <v>7.0373790467756425</v>
      </c>
      <c r="E180" s="5">
        <f t="shared" si="6"/>
        <v>7.0487338722417094</v>
      </c>
      <c r="F180" s="5">
        <f t="shared" si="7"/>
        <v>4.5165087539178472E-3</v>
      </c>
      <c r="G180" s="5">
        <f t="shared" si="7"/>
        <v>-3.5545574727260387E-3</v>
      </c>
    </row>
    <row r="181" spans="1:7" x14ac:dyDescent="0.25">
      <c r="A181" s="21">
        <v>45793</v>
      </c>
      <c r="B181" s="5">
        <v>1172.3800000000001</v>
      </c>
      <c r="C181" s="5">
        <v>1187.3</v>
      </c>
      <c r="D181" s="5">
        <f t="shared" si="6"/>
        <v>7.0667911496670071</v>
      </c>
      <c r="E181" s="5">
        <f t="shared" si="6"/>
        <v>7.0794371006717469</v>
      </c>
      <c r="F181" s="5">
        <f t="shared" si="7"/>
        <v>2.9412102891364533E-2</v>
      </c>
      <c r="G181" s="5">
        <f t="shared" si="7"/>
        <v>3.0703228430037477E-2</v>
      </c>
    </row>
    <row r="182" spans="1:7" x14ac:dyDescent="0.25">
      <c r="A182" s="21">
        <v>45800</v>
      </c>
      <c r="B182" s="5">
        <v>1170.98</v>
      </c>
      <c r="C182" s="5">
        <v>1185.2</v>
      </c>
      <c r="D182" s="5">
        <f t="shared" si="6"/>
        <v>7.065596284032563</v>
      </c>
      <c r="E182" s="5">
        <f t="shared" si="6"/>
        <v>7.07766681569941</v>
      </c>
      <c r="F182" s="5">
        <f t="shared" si="7"/>
        <v>-1.1948656344440423E-3</v>
      </c>
      <c r="G182" s="5">
        <f t="shared" si="7"/>
        <v>-1.7702849723368885E-3</v>
      </c>
    </row>
    <row r="183" spans="1:7" x14ac:dyDescent="0.25">
      <c r="A183" s="21">
        <v>45807</v>
      </c>
      <c r="B183" s="5">
        <v>1157.3399999999999</v>
      </c>
      <c r="C183" s="5">
        <v>1166.7</v>
      </c>
      <c r="D183" s="5">
        <f t="shared" si="6"/>
        <v>7.053879547464204</v>
      </c>
      <c r="E183" s="5">
        <f t="shared" si="6"/>
        <v>7.0619345298298111</v>
      </c>
      <c r="F183" s="5">
        <f t="shared" si="7"/>
        <v>-1.1716736568359032E-2</v>
      </c>
      <c r="G183" s="5">
        <f t="shared" si="7"/>
        <v>-1.5732285869598961E-2</v>
      </c>
    </row>
    <row r="184" spans="1:7" x14ac:dyDescent="0.25">
      <c r="A184" s="21">
        <v>45814</v>
      </c>
      <c r="B184" s="5">
        <v>1182.93</v>
      </c>
      <c r="C184" s="5">
        <v>1205</v>
      </c>
      <c r="D184" s="5">
        <f t="shared" si="6"/>
        <v>7.0757496906300457</v>
      </c>
      <c r="E184" s="5">
        <f t="shared" si="6"/>
        <v>7.0942348459247553</v>
      </c>
      <c r="F184" s="5">
        <f t="shared" si="7"/>
        <v>2.1870143165841682E-2</v>
      </c>
      <c r="G184" s="5">
        <f t="shared" si="7"/>
        <v>3.2300316094944215E-2</v>
      </c>
    </row>
    <row r="185" spans="1:7" x14ac:dyDescent="0.25">
      <c r="A185" s="21">
        <v>45821</v>
      </c>
      <c r="B185" s="5">
        <v>1190.03</v>
      </c>
      <c r="C185" s="5">
        <v>1209.5</v>
      </c>
      <c r="D185" s="5">
        <f t="shared" si="6"/>
        <v>7.0817337958718403</v>
      </c>
      <c r="E185" s="5">
        <f t="shared" si="6"/>
        <v>7.0979623300500823</v>
      </c>
      <c r="F185" s="5">
        <f t="shared" si="7"/>
        <v>5.9841052417946017E-3</v>
      </c>
      <c r="G185" s="5">
        <f t="shared" si="7"/>
        <v>3.7274841253269742E-3</v>
      </c>
    </row>
    <row r="186" spans="1:7" x14ac:dyDescent="0.25">
      <c r="A186" s="21">
        <v>45828</v>
      </c>
      <c r="B186" s="5">
        <v>1189.8499999999999</v>
      </c>
      <c r="C186" s="5">
        <v>1199.7</v>
      </c>
      <c r="D186" s="5">
        <f t="shared" si="6"/>
        <v>7.0815825277403848</v>
      </c>
      <c r="E186" s="5">
        <f t="shared" si="6"/>
        <v>7.0898268045208823</v>
      </c>
      <c r="F186" s="5">
        <f t="shared" si="7"/>
        <v>-1.5126813145549534E-4</v>
      </c>
      <c r="G186" s="5">
        <f t="shared" si="7"/>
        <v>-8.1355255291999384E-3</v>
      </c>
    </row>
    <row r="187" spans="1:7" x14ac:dyDescent="0.25">
      <c r="A187" s="21">
        <v>45835</v>
      </c>
      <c r="B187" s="5">
        <v>1228.53</v>
      </c>
      <c r="C187" s="5">
        <v>1245.2</v>
      </c>
      <c r="D187" s="5">
        <f t="shared" si="6"/>
        <v>7.1135736116874897</v>
      </c>
      <c r="E187" s="5">
        <f t="shared" si="6"/>
        <v>7.1270514385674533</v>
      </c>
      <c r="F187" s="5">
        <f t="shared" si="7"/>
        <v>3.1991083947104926E-2</v>
      </c>
      <c r="G187" s="5">
        <f t="shared" si="7"/>
        <v>3.7224634046570948E-2</v>
      </c>
    </row>
    <row r="188" spans="1:7" x14ac:dyDescent="0.25">
      <c r="A188" s="21">
        <v>45842</v>
      </c>
      <c r="B188" s="5">
        <v>1231.6300000000001</v>
      </c>
      <c r="C188" s="5">
        <v>1249.5</v>
      </c>
      <c r="D188" s="5">
        <f t="shared" si="6"/>
        <v>7.1160937743116541</v>
      </c>
      <c r="E188" s="5">
        <f t="shared" si="6"/>
        <v>7.1304987502750068</v>
      </c>
      <c r="F188" s="5">
        <f t="shared" si="7"/>
        <v>2.5201626241644348E-3</v>
      </c>
      <c r="G188" s="5">
        <f t="shared" si="7"/>
        <v>3.4473117075535242E-3</v>
      </c>
    </row>
    <row r="189" spans="1:7" x14ac:dyDescent="0.25">
      <c r="A189" s="21">
        <v>45849</v>
      </c>
      <c r="B189" s="5">
        <v>1229.1300000000001</v>
      </c>
      <c r="C189" s="5">
        <v>1247.0999999999999</v>
      </c>
      <c r="D189" s="5">
        <f t="shared" si="6"/>
        <v>7.1140618810265526</v>
      </c>
      <c r="E189" s="5">
        <f t="shared" si="6"/>
        <v>7.1285761349267016</v>
      </c>
      <c r="F189" s="5">
        <f t="shared" si="7"/>
        <v>-2.0318932851015603E-3</v>
      </c>
      <c r="G189" s="5">
        <f t="shared" si="7"/>
        <v>-1.9226153483051789E-3</v>
      </c>
    </row>
    <row r="190" spans="1:7" x14ac:dyDescent="0.25">
      <c r="A190" s="21">
        <v>45856</v>
      </c>
      <c r="B190" s="5">
        <v>1249.3800000000001</v>
      </c>
      <c r="C190" s="5">
        <v>1268.5</v>
      </c>
      <c r="D190" s="5">
        <f t="shared" si="6"/>
        <v>7.130402707247657</v>
      </c>
      <c r="E190" s="5">
        <f t="shared" si="6"/>
        <v>7.1455903790393362</v>
      </c>
      <c r="F190" s="5">
        <f t="shared" si="7"/>
        <v>1.6340826221104443E-2</v>
      </c>
      <c r="G190" s="5">
        <f t="shared" si="7"/>
        <v>1.7014244112634636E-2</v>
      </c>
    </row>
    <row r="191" spans="1:7" x14ac:dyDescent="0.25">
      <c r="A191" s="21">
        <v>45863</v>
      </c>
      <c r="B191" s="5">
        <v>1257.78</v>
      </c>
      <c r="C191" s="5">
        <v>1278.8</v>
      </c>
      <c r="D191" s="5">
        <f t="shared" si="6"/>
        <v>7.1371035412038459</v>
      </c>
      <c r="E191" s="5">
        <f t="shared" si="6"/>
        <v>7.1536774171856861</v>
      </c>
      <c r="F191" s="5">
        <f t="shared" si="7"/>
        <v>6.700833956188923E-3</v>
      </c>
      <c r="G191" s="5">
        <f t="shared" si="7"/>
        <v>8.087038146349812E-3</v>
      </c>
    </row>
    <row r="192" spans="1:7" x14ac:dyDescent="0.25">
      <c r="A192" s="21">
        <v>45870</v>
      </c>
      <c r="B192" s="5">
        <v>1226.18</v>
      </c>
      <c r="C192" s="5">
        <v>1242.7</v>
      </c>
      <c r="D192" s="5">
        <f t="shared" si="6"/>
        <v>7.1116589246426409</v>
      </c>
      <c r="E192" s="5">
        <f t="shared" si="6"/>
        <v>7.1250417108119493</v>
      </c>
      <c r="F192" s="5">
        <f t="shared" si="7"/>
        <v>-2.5444616561205002E-2</v>
      </c>
      <c r="G192" s="5">
        <f t="shared" si="7"/>
        <v>-2.8635706373736802E-2</v>
      </c>
    </row>
    <row r="193" spans="1:7" x14ac:dyDescent="0.25">
      <c r="A193" s="21">
        <v>45877</v>
      </c>
      <c r="B193" s="5">
        <v>1253.79</v>
      </c>
      <c r="C193" s="5">
        <v>1273.2</v>
      </c>
      <c r="D193" s="5">
        <f t="shared" si="6"/>
        <v>7.1339262430543533</v>
      </c>
      <c r="E193" s="5">
        <f t="shared" si="6"/>
        <v>7.1492886954079378</v>
      </c>
      <c r="F193" s="5">
        <f t="shared" si="7"/>
        <v>2.2267318411712367E-2</v>
      </c>
      <c r="G193" s="5">
        <f t="shared" si="7"/>
        <v>2.4246984595988508E-2</v>
      </c>
    </row>
    <row r="194" spans="1:7" x14ac:dyDescent="0.25">
      <c r="A194" s="21">
        <v>45884</v>
      </c>
      <c r="B194" s="5">
        <v>1272.43</v>
      </c>
      <c r="C194" s="5">
        <v>1285.0999999999999</v>
      </c>
      <c r="D194" s="5">
        <f t="shared" si="6"/>
        <v>7.1486837370883993</v>
      </c>
      <c r="E194" s="5">
        <f t="shared" si="6"/>
        <v>7.1585918153130956</v>
      </c>
      <c r="F194" s="5">
        <f t="shared" si="7"/>
        <v>1.4757494034046026E-2</v>
      </c>
      <c r="G194" s="5">
        <f t="shared" si="7"/>
        <v>9.3031199051578639E-3</v>
      </c>
    </row>
    <row r="195" spans="1:7" x14ac:dyDescent="0.25">
      <c r="A195" s="21">
        <v>45891</v>
      </c>
      <c r="B195" s="5">
        <v>1266.55</v>
      </c>
      <c r="C195" s="5">
        <v>1302.2</v>
      </c>
      <c r="D195" s="5">
        <f t="shared" si="6"/>
        <v>7.1440519475412589</v>
      </c>
      <c r="E195" s="5">
        <f t="shared" si="6"/>
        <v>7.1718104208027613</v>
      </c>
      <c r="F195" s="5">
        <f t="shared" si="7"/>
        <v>-4.6317895471403858E-3</v>
      </c>
      <c r="G195" s="5">
        <f t="shared" si="7"/>
        <v>1.3218605489665691E-2</v>
      </c>
    </row>
    <row r="196" spans="1:7" x14ac:dyDescent="0.25">
      <c r="A196" s="21">
        <v>45898</v>
      </c>
      <c r="B196" s="5">
        <v>1258.44</v>
      </c>
      <c r="C196" s="5">
        <v>1280</v>
      </c>
      <c r="D196" s="5">
        <f t="shared" si="6"/>
        <v>7.137628137634314</v>
      </c>
      <c r="E196" s="5">
        <f t="shared" si="6"/>
        <v>7.1546153569136628</v>
      </c>
      <c r="F196" s="5">
        <f t="shared" si="7"/>
        <v>-6.4238099069449106E-3</v>
      </c>
      <c r="G196" s="5">
        <f t="shared" si="7"/>
        <v>-1.7195063889098527E-2</v>
      </c>
    </row>
    <row r="197" spans="1:7" x14ac:dyDescent="0.25">
      <c r="A197" s="21">
        <v>45905</v>
      </c>
      <c r="B197" s="5">
        <v>1276.05</v>
      </c>
      <c r="C197" s="5">
        <v>1295.3</v>
      </c>
      <c r="D197" s="5">
        <f t="shared" si="6"/>
        <v>7.1515246480900032</v>
      </c>
      <c r="E197" s="5">
        <f t="shared" si="6"/>
        <v>7.1664976075362103</v>
      </c>
      <c r="F197" s="5">
        <f t="shared" si="7"/>
        <v>1.3896510455689182E-2</v>
      </c>
      <c r="G197" s="5">
        <f t="shared" si="7"/>
        <v>1.1882250622547552E-2</v>
      </c>
    </row>
    <row r="198" spans="1:7" x14ac:dyDescent="0.25">
      <c r="A198" s="21">
        <v>45912</v>
      </c>
      <c r="B198" s="5">
        <v>1325.73</v>
      </c>
      <c r="C198" s="5">
        <v>1341.8</v>
      </c>
      <c r="D198" s="5">
        <f t="shared" si="6"/>
        <v>7.1897185301029571</v>
      </c>
      <c r="E198" s="5">
        <f t="shared" si="6"/>
        <v>7.2017672751287876</v>
      </c>
      <c r="F198" s="5">
        <f t="shared" si="7"/>
        <v>3.8193882012953928E-2</v>
      </c>
      <c r="G198" s="5">
        <f t="shared" si="7"/>
        <v>3.5269667592577214E-2</v>
      </c>
    </row>
    <row r="199" spans="1:7" x14ac:dyDescent="0.25">
      <c r="A199" s="21">
        <v>45919</v>
      </c>
      <c r="B199" s="5">
        <v>1340.91</v>
      </c>
      <c r="C199" s="5">
        <v>1359.7</v>
      </c>
      <c r="D199" s="5">
        <f t="shared" si="6"/>
        <v>7.2011037669354669</v>
      </c>
      <c r="E199" s="5">
        <f t="shared" si="6"/>
        <v>7.2150193661616404</v>
      </c>
      <c r="F199" s="5">
        <f t="shared" si="7"/>
        <v>1.1385236832509804E-2</v>
      </c>
      <c r="G199" s="5">
        <f t="shared" si="7"/>
        <v>1.3252091032852853E-2</v>
      </c>
    </row>
    <row r="200" spans="1:7" x14ac:dyDescent="0.25">
      <c r="A200" s="21">
        <v>45926</v>
      </c>
      <c r="B200" s="5">
        <v>1325.58</v>
      </c>
      <c r="C200" s="5">
        <v>1350</v>
      </c>
      <c r="D200" s="5">
        <f t="shared" si="6"/>
        <v>7.1896053784909917</v>
      </c>
      <c r="E200" s="5">
        <f t="shared" si="6"/>
        <v>7.2078598714324755</v>
      </c>
      <c r="F200" s="5">
        <f t="shared" si="7"/>
        <v>-1.149838844447526E-2</v>
      </c>
      <c r="G200" s="5">
        <f t="shared" si="7"/>
        <v>-7.1594947291648836E-3</v>
      </c>
    </row>
    <row r="201" spans="1:7" x14ac:dyDescent="0.25">
      <c r="A201" s="21">
        <v>45933</v>
      </c>
      <c r="B201" s="5">
        <v>1373.89</v>
      </c>
      <c r="C201" s="5">
        <v>1386.2</v>
      </c>
      <c r="D201" s="5">
        <f t="shared" si="6"/>
        <v>7.2254014113533014</v>
      </c>
      <c r="E201" s="5">
        <f t="shared" si="6"/>
        <v>7.2343214694838842</v>
      </c>
      <c r="F201" s="5">
        <f t="shared" si="7"/>
        <v>3.5796032862309701E-2</v>
      </c>
      <c r="G201" s="5">
        <f t="shared" si="7"/>
        <v>2.6461598051408686E-2</v>
      </c>
    </row>
    <row r="202" spans="1:7" x14ac:dyDescent="0.25">
      <c r="A202" s="21">
        <v>45940</v>
      </c>
      <c r="B202" s="5">
        <v>1365.67</v>
      </c>
      <c r="C202" s="5">
        <v>1327.6</v>
      </c>
      <c r="D202" s="5">
        <f t="shared" si="6"/>
        <v>7.2194004296861314</v>
      </c>
      <c r="E202" s="5">
        <f t="shared" si="6"/>
        <v>7.1911280798458197</v>
      </c>
      <c r="F202" s="5">
        <f t="shared" si="7"/>
        <v>-6.0009816671700023E-3</v>
      </c>
      <c r="G202" s="5">
        <f t="shared" si="7"/>
        <v>-4.3193389638064517E-2</v>
      </c>
    </row>
    <row r="203" spans="1:7" x14ac:dyDescent="0.25">
      <c r="A203" s="21">
        <v>45947</v>
      </c>
      <c r="B203" s="5">
        <v>1361.6</v>
      </c>
      <c r="C203" s="5">
        <v>1386.1</v>
      </c>
      <c r="D203" s="5">
        <f t="shared" si="6"/>
        <v>7.2164157578191093</v>
      </c>
      <c r="E203" s="5">
        <f t="shared" si="6"/>
        <v>7.2342493272193069</v>
      </c>
      <c r="F203" s="5">
        <f t="shared" si="7"/>
        <v>-2.9846718670221151E-3</v>
      </c>
      <c r="G203" s="5">
        <f t="shared" si="7"/>
        <v>4.3121247373487215E-2</v>
      </c>
    </row>
    <row r="204" spans="1:7" x14ac:dyDescent="0.25">
      <c r="A204" s="21">
        <v>45954</v>
      </c>
      <c r="B204" s="5">
        <v>1389.39</v>
      </c>
      <c r="C204" s="5">
        <v>1409.9</v>
      </c>
      <c r="D204" s="5">
        <f t="shared" si="6"/>
        <v>7.2366200808815044</v>
      </c>
      <c r="E204" s="5">
        <f t="shared" si="6"/>
        <v>7.2512740588713154</v>
      </c>
      <c r="F204" s="5">
        <f t="shared" si="7"/>
        <v>2.0204323062395169E-2</v>
      </c>
      <c r="G204" s="5">
        <f t="shared" si="7"/>
        <v>1.7024731652008462E-2</v>
      </c>
    </row>
    <row r="205" spans="1:7" x14ac:dyDescent="0.25">
      <c r="A205" s="21">
        <v>45961</v>
      </c>
      <c r="B205" s="5">
        <v>1401.55</v>
      </c>
      <c r="C205" s="5">
        <v>1413.9</v>
      </c>
      <c r="D205" s="5">
        <f t="shared" si="6"/>
        <v>7.2453340460298303</v>
      </c>
      <c r="E205" s="5">
        <f t="shared" si="6"/>
        <v>7.2541071225977953</v>
      </c>
      <c r="F205" s="5">
        <f t="shared" si="7"/>
        <v>8.7139651483258973E-3</v>
      </c>
      <c r="G205" s="5">
        <f t="shared" si="7"/>
        <v>2.8330637264799563E-3</v>
      </c>
    </row>
    <row r="206" spans="1:7" x14ac:dyDescent="0.25">
      <c r="A206" s="21">
        <v>45968</v>
      </c>
      <c r="B206" s="5">
        <v>1381.63</v>
      </c>
      <c r="C206" s="5">
        <v>1392.5</v>
      </c>
      <c r="D206" s="5">
        <f t="shared" si="6"/>
        <v>7.231019240551559</v>
      </c>
      <c r="E206" s="5">
        <f t="shared" si="6"/>
        <v>7.2388559718014394</v>
      </c>
      <c r="F206" s="5">
        <f t="shared" si="7"/>
        <v>-1.4314805478271353E-2</v>
      </c>
      <c r="G206" s="5">
        <f t="shared" si="7"/>
        <v>-1.5251150796355972E-2</v>
      </c>
    </row>
    <row r="207" spans="1:7" x14ac:dyDescent="0.25">
      <c r="A207" s="21">
        <v>45975</v>
      </c>
      <c r="B207" s="5">
        <v>1385.61</v>
      </c>
      <c r="C207" s="5">
        <v>1402.3</v>
      </c>
      <c r="D207" s="5">
        <f t="shared" si="6"/>
        <v>7.2338957548721972</v>
      </c>
      <c r="E207" s="5">
        <f t="shared" si="6"/>
        <v>7.2458690247326052</v>
      </c>
      <c r="F207" s="5">
        <f t="shared" si="7"/>
        <v>2.8765143206381794E-3</v>
      </c>
      <c r="G207" s="5">
        <f t="shared" si="7"/>
        <v>7.0130529311658307E-3</v>
      </c>
    </row>
    <row r="208" spans="1:7" x14ac:dyDescent="0.25">
      <c r="A208" s="21">
        <v>45982</v>
      </c>
      <c r="B208" s="5">
        <v>1333.96</v>
      </c>
      <c r="C208" s="5">
        <v>1354</v>
      </c>
      <c r="D208" s="5">
        <f t="shared" si="6"/>
        <v>7.1959072410185136</v>
      </c>
      <c r="E208" s="5">
        <f t="shared" si="6"/>
        <v>7.2108184534722204</v>
      </c>
      <c r="F208" s="5">
        <f t="shared" si="7"/>
        <v>-3.7988513853683514E-2</v>
      </c>
      <c r="G208" s="5">
        <f t="shared" si="7"/>
        <v>-3.50505712603848E-2</v>
      </c>
    </row>
    <row r="209" spans="1:7" x14ac:dyDescent="0.25">
      <c r="A209" s="21">
        <v>45989</v>
      </c>
      <c r="B209" s="5">
        <v>1366.92</v>
      </c>
      <c r="C209" s="5">
        <v>1388.6</v>
      </c>
      <c r="D209" s="5">
        <f t="shared" si="6"/>
        <v>7.220315312699821</v>
      </c>
      <c r="E209" s="5">
        <f t="shared" si="6"/>
        <v>7.2360513243191731</v>
      </c>
      <c r="F209" s="5">
        <f t="shared" si="7"/>
        <v>2.440807168130732E-2</v>
      </c>
      <c r="G209" s="5">
        <f t="shared" si="7"/>
        <v>2.5232870846952693E-2</v>
      </c>
    </row>
    <row r="210" spans="1:7" x14ac:dyDescent="0.25">
      <c r="A210" s="21">
        <v>45996</v>
      </c>
      <c r="B210" s="5">
        <v>1385.48</v>
      </c>
      <c r="C210" s="5">
        <v>1396.8</v>
      </c>
      <c r="D210" s="5">
        <f t="shared" si="6"/>
        <v>7.2338019289769031</v>
      </c>
      <c r="E210" s="5">
        <f t="shared" si="6"/>
        <v>7.2419391850853376</v>
      </c>
      <c r="F210" s="5">
        <f t="shared" si="7"/>
        <v>1.3486616277082142E-2</v>
      </c>
      <c r="G210" s="5">
        <f t="shared" si="7"/>
        <v>5.8878607661645432E-3</v>
      </c>
    </row>
    <row r="211" spans="1:7" x14ac:dyDescent="0.25">
      <c r="A211" s="21">
        <v>46003</v>
      </c>
      <c r="B211" s="5">
        <v>1389.99</v>
      </c>
      <c r="C211" s="5">
        <v>1383.6</v>
      </c>
      <c r="D211" s="5">
        <f t="shared" si="6"/>
        <v>7.237051831854254</v>
      </c>
      <c r="E211" s="5">
        <f t="shared" si="6"/>
        <v>7.2324440770630138</v>
      </c>
      <c r="F211" s="5">
        <f t="shared" si="7"/>
        <v>3.2499028773509409E-3</v>
      </c>
      <c r="G211" s="5">
        <f t="shared" si="7"/>
        <v>-9.4951080223237838E-3</v>
      </c>
    </row>
    <row r="212" spans="1:7" x14ac:dyDescent="0.25">
      <c r="A212" s="21">
        <v>46010</v>
      </c>
      <c r="B212" s="5">
        <v>1368.48</v>
      </c>
      <c r="C212" s="5">
        <v>1388.7</v>
      </c>
      <c r="D212" s="5">
        <f t="shared" si="6"/>
        <v>7.2214559138324717</v>
      </c>
      <c r="E212" s="5">
        <f t="shared" si="6"/>
        <v>7.2361233367053348</v>
      </c>
      <c r="F212" s="5">
        <f t="shared" si="7"/>
        <v>-1.5595918021782396E-2</v>
      </c>
      <c r="G212" s="5">
        <f t="shared" si="7"/>
        <v>3.6792596423209645E-3</v>
      </c>
    </row>
    <row r="213" spans="1:7" x14ac:dyDescent="0.25">
      <c r="A213" s="21">
        <v>46017</v>
      </c>
      <c r="B213" s="5">
        <v>1397.4</v>
      </c>
      <c r="C213" s="5">
        <v>1415.3</v>
      </c>
      <c r="D213" s="5">
        <f t="shared" si="6"/>
        <v>7.2423686461183507</v>
      </c>
      <c r="E213" s="5">
        <f t="shared" si="6"/>
        <v>7.2550968017397928</v>
      </c>
      <c r="F213" s="5">
        <f t="shared" si="7"/>
        <v>2.0912732285879088E-2</v>
      </c>
      <c r="G213" s="5">
        <f t="shared" si="7"/>
        <v>1.8973465034457959E-2</v>
      </c>
    </row>
    <row r="214" spans="1:7" x14ac:dyDescent="0.25">
      <c r="A214" s="16"/>
      <c r="C214" s="11"/>
    </row>
    <row r="215" spans="1:7" x14ac:dyDescent="0.25">
      <c r="A215" s="16"/>
      <c r="C215" s="11"/>
    </row>
    <row r="216" spans="1:7" x14ac:dyDescent="0.25">
      <c r="A216" s="16"/>
      <c r="C216" s="11"/>
    </row>
    <row r="217" spans="1:7" x14ac:dyDescent="0.25">
      <c r="A217" s="16"/>
      <c r="C217" s="11"/>
    </row>
    <row r="218" spans="1:7" x14ac:dyDescent="0.25">
      <c r="A218" s="16"/>
      <c r="C218" s="11"/>
    </row>
    <row r="219" spans="1:7" x14ac:dyDescent="0.25">
      <c r="A219" s="16"/>
      <c r="C219" s="11"/>
    </row>
    <row r="220" spans="1:7" x14ac:dyDescent="0.25">
      <c r="A220" s="16"/>
      <c r="C220" s="11"/>
    </row>
    <row r="221" spans="1:7" x14ac:dyDescent="0.25">
      <c r="A221" s="16"/>
      <c r="C221" s="11"/>
    </row>
    <row r="222" spans="1:7" x14ac:dyDescent="0.25">
      <c r="A222" s="16"/>
      <c r="C222" s="11"/>
    </row>
    <row r="223" spans="1:7" x14ac:dyDescent="0.25">
      <c r="A223" s="16"/>
      <c r="C223" s="11"/>
    </row>
    <row r="224" spans="1:7" x14ac:dyDescent="0.25">
      <c r="A224" s="16"/>
      <c r="C224" s="11"/>
    </row>
    <row r="225" spans="1:3" x14ac:dyDescent="0.25">
      <c r="A225" s="16"/>
      <c r="C225" s="11"/>
    </row>
    <row r="226" spans="1:3" x14ac:dyDescent="0.25">
      <c r="A226" s="16"/>
      <c r="C226" s="11"/>
    </row>
    <row r="227" spans="1:3" x14ac:dyDescent="0.25">
      <c r="A227" s="16"/>
      <c r="C227" s="11"/>
    </row>
    <row r="228" spans="1:3" x14ac:dyDescent="0.25">
      <c r="A228" s="16"/>
      <c r="C228" s="11"/>
    </row>
    <row r="229" spans="1:3" x14ac:dyDescent="0.25">
      <c r="A229" s="16"/>
      <c r="C229" s="11"/>
    </row>
    <row r="230" spans="1:3" x14ac:dyDescent="0.25">
      <c r="A230" s="16"/>
      <c r="C230" s="11"/>
    </row>
    <row r="231" spans="1:3" x14ac:dyDescent="0.25">
      <c r="A231" s="16"/>
      <c r="C231" s="11"/>
    </row>
    <row r="232" spans="1:3" x14ac:dyDescent="0.25">
      <c r="A232" s="16"/>
      <c r="C232" s="11"/>
    </row>
    <row r="233" spans="1:3" x14ac:dyDescent="0.25">
      <c r="A233" s="16"/>
      <c r="C233" s="11"/>
    </row>
    <row r="234" spans="1:3" x14ac:dyDescent="0.25">
      <c r="A234" s="16"/>
      <c r="C234" s="11"/>
    </row>
    <row r="235" spans="1:3" x14ac:dyDescent="0.25">
      <c r="A235" s="16"/>
      <c r="C235" s="11"/>
    </row>
    <row r="236" spans="1:3" x14ac:dyDescent="0.25">
      <c r="A236" s="16"/>
      <c r="C236" s="11"/>
    </row>
    <row r="237" spans="1:3" x14ac:dyDescent="0.25">
      <c r="A237" s="16"/>
      <c r="C237" s="11"/>
    </row>
    <row r="238" spans="1:3" x14ac:dyDescent="0.25">
      <c r="A238" s="16"/>
      <c r="C238" s="11"/>
    </row>
    <row r="239" spans="1:3" x14ac:dyDescent="0.25">
      <c r="A239" s="16"/>
      <c r="C239" s="11"/>
    </row>
    <row r="240" spans="1:3" x14ac:dyDescent="0.25">
      <c r="A240" s="16"/>
      <c r="C240" s="11"/>
    </row>
    <row r="241" spans="1:3" x14ac:dyDescent="0.25">
      <c r="A241" s="16"/>
      <c r="C241" s="11"/>
    </row>
    <row r="242" spans="1:3" x14ac:dyDescent="0.25">
      <c r="A242" s="16"/>
      <c r="C242" s="11"/>
    </row>
    <row r="243" spans="1:3" x14ac:dyDescent="0.25">
      <c r="A243" s="16"/>
      <c r="C243" s="11"/>
    </row>
    <row r="244" spans="1:3" x14ac:dyDescent="0.25">
      <c r="A244" s="16"/>
      <c r="C244" s="11"/>
    </row>
    <row r="245" spans="1:3" x14ac:dyDescent="0.25">
      <c r="A245" s="16"/>
      <c r="C245" s="11"/>
    </row>
    <row r="246" spans="1:3" x14ac:dyDescent="0.25">
      <c r="A246" s="16"/>
      <c r="C246" s="11"/>
    </row>
    <row r="247" spans="1:3" x14ac:dyDescent="0.25">
      <c r="A247" s="16"/>
      <c r="C247" s="11"/>
    </row>
    <row r="248" spans="1:3" x14ac:dyDescent="0.25">
      <c r="A248" s="16"/>
      <c r="C248" s="11"/>
    </row>
    <row r="249" spans="1:3" x14ac:dyDescent="0.25">
      <c r="A249" s="16"/>
      <c r="C249" s="11"/>
    </row>
    <row r="250" spans="1:3" x14ac:dyDescent="0.25">
      <c r="A250" s="16"/>
      <c r="C250" s="11"/>
    </row>
    <row r="251" spans="1:3" x14ac:dyDescent="0.25">
      <c r="A251" s="16"/>
      <c r="C251" s="11"/>
    </row>
    <row r="252" spans="1:3" x14ac:dyDescent="0.25">
      <c r="A252" s="16"/>
      <c r="C252" s="11"/>
    </row>
    <row r="253" spans="1:3" x14ac:dyDescent="0.25">
      <c r="A253" s="16"/>
      <c r="C253" s="11"/>
    </row>
    <row r="254" spans="1:3" x14ac:dyDescent="0.25">
      <c r="A254" s="16"/>
      <c r="C254" s="11"/>
    </row>
    <row r="255" spans="1:3" x14ac:dyDescent="0.25">
      <c r="A255" s="16"/>
      <c r="C255" s="11"/>
    </row>
    <row r="256" spans="1:3" x14ac:dyDescent="0.25">
      <c r="A256" s="16"/>
      <c r="C256" s="11"/>
    </row>
    <row r="257" spans="1:3" x14ac:dyDescent="0.25">
      <c r="A257" s="16"/>
      <c r="C257" s="11"/>
    </row>
    <row r="258" spans="1:3" x14ac:dyDescent="0.25">
      <c r="A258" s="16"/>
      <c r="C258" s="11"/>
    </row>
    <row r="259" spans="1:3" x14ac:dyDescent="0.25">
      <c r="A259" s="16"/>
      <c r="C259" s="11"/>
    </row>
    <row r="260" spans="1:3" x14ac:dyDescent="0.25">
      <c r="A260" s="16"/>
      <c r="C260" s="11"/>
    </row>
    <row r="261" spans="1:3" x14ac:dyDescent="0.25">
      <c r="A261" s="16"/>
      <c r="C261" s="11"/>
    </row>
    <row r="262" spans="1:3" x14ac:dyDescent="0.25">
      <c r="A262" s="16"/>
      <c r="C262" s="11"/>
    </row>
    <row r="263" spans="1:3" x14ac:dyDescent="0.25">
      <c r="A263" s="16"/>
      <c r="C263" s="11"/>
    </row>
    <row r="264" spans="1:3" x14ac:dyDescent="0.25">
      <c r="A264" s="16"/>
      <c r="C264" s="11"/>
    </row>
    <row r="265" spans="1:3" x14ac:dyDescent="0.25">
      <c r="A265" s="16"/>
      <c r="C265" s="11"/>
    </row>
    <row r="266" spans="1:3" x14ac:dyDescent="0.25">
      <c r="A266" s="16"/>
      <c r="C266" s="11"/>
    </row>
    <row r="267" spans="1:3" x14ac:dyDescent="0.25">
      <c r="A267" s="16"/>
      <c r="C267" s="11"/>
    </row>
    <row r="268" spans="1:3" x14ac:dyDescent="0.25">
      <c r="A268" s="16"/>
      <c r="C268" s="11"/>
    </row>
    <row r="269" spans="1:3" x14ac:dyDescent="0.25">
      <c r="A269" s="16"/>
      <c r="C269" s="11"/>
    </row>
    <row r="270" spans="1:3" x14ac:dyDescent="0.25">
      <c r="A270" s="16"/>
      <c r="C270" s="11"/>
    </row>
    <row r="271" spans="1:3" x14ac:dyDescent="0.25">
      <c r="A271" s="16"/>
      <c r="C271" s="11"/>
    </row>
    <row r="272" spans="1:3" x14ac:dyDescent="0.25">
      <c r="A272" s="16"/>
      <c r="C272" s="11"/>
    </row>
    <row r="273" spans="1:3" x14ac:dyDescent="0.25">
      <c r="A273" s="16"/>
      <c r="C273" s="11"/>
    </row>
    <row r="274" spans="1:3" x14ac:dyDescent="0.25">
      <c r="A274" s="16"/>
      <c r="C274" s="11"/>
    </row>
    <row r="275" spans="1:3" x14ac:dyDescent="0.25">
      <c r="A275" s="16"/>
      <c r="C275" s="11"/>
    </row>
    <row r="276" spans="1:3" x14ac:dyDescent="0.25">
      <c r="A276" s="16"/>
      <c r="C276" s="11"/>
    </row>
    <row r="277" spans="1:3" x14ac:dyDescent="0.25">
      <c r="A277" s="16"/>
      <c r="C277" s="11"/>
    </row>
    <row r="278" spans="1:3" x14ac:dyDescent="0.25">
      <c r="A278" s="16"/>
      <c r="C278" s="11"/>
    </row>
    <row r="279" spans="1:3" x14ac:dyDescent="0.25">
      <c r="A279" s="16"/>
      <c r="C279" s="11"/>
    </row>
    <row r="280" spans="1:3" x14ac:dyDescent="0.25">
      <c r="A280" s="16"/>
      <c r="C280" s="11"/>
    </row>
    <row r="281" spans="1:3" x14ac:dyDescent="0.25">
      <c r="A281" s="16"/>
      <c r="C281" s="11"/>
    </row>
    <row r="282" spans="1:3" x14ac:dyDescent="0.25">
      <c r="A282" s="16"/>
      <c r="C282" s="11"/>
    </row>
    <row r="283" spans="1:3" x14ac:dyDescent="0.25">
      <c r="A283" s="16"/>
      <c r="C283" s="11"/>
    </row>
    <row r="284" spans="1:3" x14ac:dyDescent="0.25">
      <c r="A284" s="16"/>
      <c r="C284" s="11"/>
    </row>
    <row r="285" spans="1:3" x14ac:dyDescent="0.25">
      <c r="A285" s="16"/>
      <c r="C285" s="11"/>
    </row>
    <row r="286" spans="1:3" x14ac:dyDescent="0.25">
      <c r="A286" s="16"/>
      <c r="C286" s="11"/>
    </row>
    <row r="287" spans="1:3" x14ac:dyDescent="0.25">
      <c r="A287" s="16"/>
      <c r="C287" s="11"/>
    </row>
    <row r="288" spans="1:3" x14ac:dyDescent="0.25">
      <c r="A288" s="16"/>
      <c r="C288" s="11"/>
    </row>
    <row r="289" spans="1:3" x14ac:dyDescent="0.25">
      <c r="A289" s="16"/>
      <c r="C289" s="11"/>
    </row>
    <row r="290" spans="1:3" x14ac:dyDescent="0.25">
      <c r="A290" s="16"/>
      <c r="C290" s="11"/>
    </row>
    <row r="291" spans="1:3" x14ac:dyDescent="0.25">
      <c r="A291" s="16"/>
      <c r="C291" s="11"/>
    </row>
    <row r="292" spans="1:3" x14ac:dyDescent="0.25">
      <c r="A292" s="16"/>
      <c r="C292" s="11"/>
    </row>
    <row r="293" spans="1:3" x14ac:dyDescent="0.25">
      <c r="A293" s="16"/>
      <c r="C293" s="11"/>
    </row>
    <row r="294" spans="1:3" x14ac:dyDescent="0.25">
      <c r="A294" s="16"/>
      <c r="C294" s="11"/>
    </row>
    <row r="295" spans="1:3" x14ac:dyDescent="0.25">
      <c r="A295" s="16"/>
      <c r="C295" s="11"/>
    </row>
    <row r="296" spans="1:3" x14ac:dyDescent="0.25">
      <c r="A296" s="16"/>
      <c r="C296" s="11"/>
    </row>
    <row r="297" spans="1:3" x14ac:dyDescent="0.25">
      <c r="A297" s="16"/>
      <c r="C297" s="11"/>
    </row>
    <row r="298" spans="1:3" x14ac:dyDescent="0.25">
      <c r="A298" s="16"/>
      <c r="C298" s="11"/>
    </row>
    <row r="299" spans="1:3" x14ac:dyDescent="0.25">
      <c r="A299" s="16"/>
      <c r="C299" s="11"/>
    </row>
    <row r="300" spans="1:3" x14ac:dyDescent="0.25">
      <c r="A300" s="16"/>
      <c r="C300" s="11"/>
    </row>
    <row r="301" spans="1:3" x14ac:dyDescent="0.25">
      <c r="A301" s="16"/>
      <c r="C301" s="11"/>
    </row>
    <row r="302" spans="1:3" x14ac:dyDescent="0.25">
      <c r="A302" s="16"/>
      <c r="C302" s="11"/>
    </row>
    <row r="303" spans="1:3" x14ac:dyDescent="0.25">
      <c r="A303" s="16"/>
      <c r="C303" s="11"/>
    </row>
    <row r="304" spans="1:3" x14ac:dyDescent="0.25">
      <c r="A304" s="16"/>
      <c r="C304" s="11"/>
    </row>
    <row r="305" spans="1:3" x14ac:dyDescent="0.25">
      <c r="A305" s="16"/>
      <c r="C305" s="11"/>
    </row>
    <row r="306" spans="1:3" x14ac:dyDescent="0.25">
      <c r="A306" s="16"/>
      <c r="C306" s="11"/>
    </row>
    <row r="307" spans="1:3" x14ac:dyDescent="0.25">
      <c r="A307" s="16"/>
      <c r="C307" s="11"/>
    </row>
    <row r="308" spans="1:3" x14ac:dyDescent="0.25">
      <c r="A308" s="16"/>
      <c r="C308" s="11"/>
    </row>
    <row r="309" spans="1:3" x14ac:dyDescent="0.25">
      <c r="A309" s="16"/>
      <c r="C309" s="11"/>
    </row>
    <row r="310" spans="1:3" x14ac:dyDescent="0.25">
      <c r="A310" s="16"/>
      <c r="C310" s="11"/>
    </row>
    <row r="311" spans="1:3" x14ac:dyDescent="0.25">
      <c r="A311" s="16"/>
      <c r="C311" s="11"/>
    </row>
    <row r="312" spans="1:3" x14ac:dyDescent="0.25">
      <c r="A312" s="16"/>
      <c r="C312" s="11"/>
    </row>
    <row r="313" spans="1:3" x14ac:dyDescent="0.25">
      <c r="A313" s="16"/>
      <c r="C313" s="11"/>
    </row>
    <row r="314" spans="1:3" x14ac:dyDescent="0.25">
      <c r="A314" s="16"/>
      <c r="C314" s="11"/>
    </row>
    <row r="315" spans="1:3" x14ac:dyDescent="0.25">
      <c r="A315" s="16"/>
      <c r="C315" s="11"/>
    </row>
    <row r="316" spans="1:3" x14ac:dyDescent="0.25">
      <c r="A316" s="16"/>
      <c r="C316" s="11"/>
    </row>
    <row r="317" spans="1:3" x14ac:dyDescent="0.25">
      <c r="A317" s="16"/>
      <c r="C317" s="11"/>
    </row>
    <row r="318" spans="1:3" x14ac:dyDescent="0.25">
      <c r="A318" s="16"/>
      <c r="C318" s="11"/>
    </row>
    <row r="319" spans="1:3" x14ac:dyDescent="0.25">
      <c r="A319" s="16"/>
      <c r="C319" s="11"/>
    </row>
    <row r="320" spans="1:3" x14ac:dyDescent="0.25">
      <c r="A320" s="16"/>
      <c r="C320" s="11"/>
    </row>
    <row r="321" spans="1:3" x14ac:dyDescent="0.25">
      <c r="A321" s="16"/>
      <c r="C321" s="11"/>
    </row>
    <row r="322" spans="1:3" x14ac:dyDescent="0.25">
      <c r="A322" s="16"/>
      <c r="C322" s="11"/>
    </row>
    <row r="323" spans="1:3" x14ac:dyDescent="0.25">
      <c r="A323" s="16"/>
      <c r="C323" s="11"/>
    </row>
    <row r="324" spans="1:3" x14ac:dyDescent="0.25">
      <c r="A324" s="16"/>
      <c r="C324" s="11"/>
    </row>
    <row r="325" spans="1:3" x14ac:dyDescent="0.25">
      <c r="A325" s="16"/>
      <c r="C325" s="11"/>
    </row>
    <row r="326" spans="1:3" x14ac:dyDescent="0.25">
      <c r="A326" s="16"/>
      <c r="C326" s="11"/>
    </row>
    <row r="327" spans="1:3" x14ac:dyDescent="0.25">
      <c r="A327" s="16"/>
      <c r="C327" s="11"/>
    </row>
    <row r="328" spans="1:3" x14ac:dyDescent="0.25">
      <c r="A328" s="16"/>
      <c r="C328" s="11"/>
    </row>
    <row r="329" spans="1:3" x14ac:dyDescent="0.25">
      <c r="A329" s="16"/>
      <c r="C329" s="11"/>
    </row>
    <row r="330" spans="1:3" x14ac:dyDescent="0.25">
      <c r="A330" s="16"/>
      <c r="C330" s="11"/>
    </row>
    <row r="331" spans="1:3" x14ac:dyDescent="0.25">
      <c r="A331" s="16"/>
      <c r="C331" s="11"/>
    </row>
    <row r="332" spans="1:3" x14ac:dyDescent="0.25">
      <c r="A332" s="16"/>
      <c r="C332" s="11"/>
    </row>
    <row r="333" spans="1:3" x14ac:dyDescent="0.25">
      <c r="A333" s="16"/>
      <c r="C333" s="11"/>
    </row>
    <row r="334" spans="1:3" x14ac:dyDescent="0.25">
      <c r="A334" s="16"/>
      <c r="C334" s="11"/>
    </row>
    <row r="335" spans="1:3" x14ac:dyDescent="0.25">
      <c r="A335" s="16"/>
      <c r="C335" s="11"/>
    </row>
    <row r="336" spans="1:3" x14ac:dyDescent="0.25">
      <c r="A336" s="16"/>
      <c r="C336" s="11"/>
    </row>
    <row r="337" spans="1:3" x14ac:dyDescent="0.25">
      <c r="A337" s="16"/>
      <c r="C337" s="11"/>
    </row>
    <row r="338" spans="1:3" x14ac:dyDescent="0.25">
      <c r="A338" s="16"/>
      <c r="C338" s="11"/>
    </row>
    <row r="339" spans="1:3" x14ac:dyDescent="0.25">
      <c r="A339" s="16"/>
      <c r="C339" s="11"/>
    </row>
    <row r="340" spans="1:3" x14ac:dyDescent="0.25">
      <c r="A340" s="16"/>
      <c r="C340" s="11"/>
    </row>
    <row r="341" spans="1:3" x14ac:dyDescent="0.25">
      <c r="A341" s="16"/>
      <c r="C341" s="11"/>
    </row>
    <row r="342" spans="1:3" x14ac:dyDescent="0.25">
      <c r="A342" s="16"/>
      <c r="C342" s="11"/>
    </row>
    <row r="343" spans="1:3" x14ac:dyDescent="0.25">
      <c r="A343" s="16"/>
      <c r="C343" s="11"/>
    </row>
    <row r="344" spans="1:3" x14ac:dyDescent="0.25">
      <c r="A344" s="16"/>
      <c r="C344" s="11"/>
    </row>
    <row r="345" spans="1:3" x14ac:dyDescent="0.25">
      <c r="A345" s="16"/>
      <c r="C345" s="11"/>
    </row>
    <row r="346" spans="1:3" x14ac:dyDescent="0.25">
      <c r="A346" s="16"/>
      <c r="C346" s="11"/>
    </row>
    <row r="347" spans="1:3" x14ac:dyDescent="0.25">
      <c r="A347" s="16"/>
      <c r="C347" s="11"/>
    </row>
    <row r="348" spans="1:3" x14ac:dyDescent="0.25">
      <c r="A348" s="16"/>
      <c r="C348" s="11"/>
    </row>
    <row r="349" spans="1:3" x14ac:dyDescent="0.25">
      <c r="A349" s="16"/>
      <c r="C349" s="11"/>
    </row>
    <row r="350" spans="1:3" x14ac:dyDescent="0.25">
      <c r="A350" s="16"/>
      <c r="C350" s="11"/>
    </row>
    <row r="351" spans="1:3" x14ac:dyDescent="0.25">
      <c r="A351" s="16"/>
      <c r="C351" s="11"/>
    </row>
    <row r="352" spans="1:3" x14ac:dyDescent="0.25">
      <c r="A352" s="16"/>
      <c r="C352" s="11"/>
    </row>
    <row r="353" spans="1:3" x14ac:dyDescent="0.25">
      <c r="A353" s="16"/>
      <c r="C353" s="11"/>
    </row>
    <row r="354" spans="1:3" x14ac:dyDescent="0.25">
      <c r="A354" s="16"/>
      <c r="C354" s="11"/>
    </row>
    <row r="355" spans="1:3" x14ac:dyDescent="0.25">
      <c r="A355" s="16"/>
      <c r="C355" s="11"/>
    </row>
    <row r="356" spans="1:3" x14ac:dyDescent="0.25">
      <c r="A356" s="16"/>
      <c r="C356" s="11"/>
    </row>
    <row r="357" spans="1:3" x14ac:dyDescent="0.25">
      <c r="A357" s="16"/>
      <c r="C357" s="11"/>
    </row>
    <row r="358" spans="1:3" x14ac:dyDescent="0.25">
      <c r="A358" s="16"/>
      <c r="C358" s="11"/>
    </row>
    <row r="359" spans="1:3" x14ac:dyDescent="0.25">
      <c r="A359" s="16"/>
      <c r="C359" s="11"/>
    </row>
    <row r="360" spans="1:3" x14ac:dyDescent="0.25">
      <c r="A360" s="16"/>
      <c r="C360" s="11"/>
    </row>
    <row r="361" spans="1:3" x14ac:dyDescent="0.25">
      <c r="A361" s="16"/>
      <c r="C361" s="11"/>
    </row>
    <row r="362" spans="1:3" x14ac:dyDescent="0.25">
      <c r="A362" s="16"/>
      <c r="C362" s="11"/>
    </row>
    <row r="363" spans="1:3" x14ac:dyDescent="0.25">
      <c r="A363" s="16"/>
      <c r="C363" s="11"/>
    </row>
    <row r="364" spans="1:3" x14ac:dyDescent="0.25">
      <c r="A364" s="16"/>
      <c r="C364" s="11"/>
    </row>
    <row r="365" spans="1:3" x14ac:dyDescent="0.25">
      <c r="A365" s="16"/>
      <c r="C365" s="11"/>
    </row>
    <row r="366" spans="1:3" x14ac:dyDescent="0.25">
      <c r="A366" s="16"/>
      <c r="C366" s="11"/>
    </row>
    <row r="367" spans="1:3" x14ac:dyDescent="0.25">
      <c r="A367" s="16"/>
      <c r="C367" s="11"/>
    </row>
    <row r="368" spans="1:3" x14ac:dyDescent="0.25">
      <c r="A368" s="16"/>
      <c r="C368" s="11"/>
    </row>
    <row r="369" spans="1:3" x14ac:dyDescent="0.25">
      <c r="A369" s="16"/>
      <c r="C369" s="11"/>
    </row>
    <row r="370" spans="1:3" x14ac:dyDescent="0.25">
      <c r="A370" s="16"/>
      <c r="C370" s="11"/>
    </row>
    <row r="371" spans="1:3" x14ac:dyDescent="0.25">
      <c r="A371" s="16"/>
      <c r="C371" s="11"/>
    </row>
    <row r="372" spans="1:3" x14ac:dyDescent="0.25">
      <c r="A372" s="16"/>
      <c r="C372" s="11"/>
    </row>
    <row r="373" spans="1:3" x14ac:dyDescent="0.25">
      <c r="A373" s="16"/>
      <c r="C373" s="11"/>
    </row>
    <row r="374" spans="1:3" x14ac:dyDescent="0.25">
      <c r="A374" s="16"/>
      <c r="C374" s="11"/>
    </row>
    <row r="375" spans="1:3" x14ac:dyDescent="0.25">
      <c r="A375" s="16"/>
      <c r="C375" s="11"/>
    </row>
    <row r="376" spans="1:3" x14ac:dyDescent="0.25">
      <c r="A376" s="16"/>
      <c r="C376" s="11"/>
    </row>
    <row r="377" spans="1:3" x14ac:dyDescent="0.25">
      <c r="A377" s="16"/>
      <c r="C377" s="11"/>
    </row>
    <row r="378" spans="1:3" x14ac:dyDescent="0.25">
      <c r="A378" s="16"/>
      <c r="C378" s="11"/>
    </row>
    <row r="379" spans="1:3" x14ac:dyDescent="0.25">
      <c r="A379" s="16"/>
      <c r="C379" s="11"/>
    </row>
    <row r="380" spans="1:3" x14ac:dyDescent="0.25">
      <c r="A380" s="16"/>
      <c r="C380" s="11"/>
    </row>
    <row r="381" spans="1:3" x14ac:dyDescent="0.25">
      <c r="A381" s="16"/>
      <c r="C381" s="11"/>
    </row>
    <row r="382" spans="1:3" x14ac:dyDescent="0.25">
      <c r="A382" s="16"/>
      <c r="C382" s="11"/>
    </row>
    <row r="383" spans="1:3" x14ac:dyDescent="0.25">
      <c r="A383" s="16"/>
      <c r="C383" s="11"/>
    </row>
    <row r="384" spans="1:3" x14ac:dyDescent="0.25">
      <c r="A384" s="16"/>
      <c r="C384" s="11"/>
    </row>
    <row r="385" spans="1:3" x14ac:dyDescent="0.25">
      <c r="A385" s="16"/>
      <c r="C385" s="11"/>
    </row>
    <row r="386" spans="1:3" x14ac:dyDescent="0.25">
      <c r="A386" s="16"/>
      <c r="C386" s="11"/>
    </row>
    <row r="387" spans="1:3" x14ac:dyDescent="0.25">
      <c r="A387" s="16"/>
      <c r="C387" s="11"/>
    </row>
    <row r="388" spans="1:3" x14ac:dyDescent="0.25">
      <c r="A388" s="16"/>
      <c r="C388" s="11"/>
    </row>
    <row r="389" spans="1:3" x14ac:dyDescent="0.25">
      <c r="A389" s="16"/>
      <c r="C389" s="11"/>
    </row>
    <row r="390" spans="1:3" x14ac:dyDescent="0.25">
      <c r="A390" s="16"/>
      <c r="C390" s="11"/>
    </row>
    <row r="391" spans="1:3" x14ac:dyDescent="0.25">
      <c r="A391" s="16"/>
      <c r="C391" s="11"/>
    </row>
    <row r="392" spans="1:3" x14ac:dyDescent="0.25">
      <c r="A392" s="16"/>
      <c r="C392" s="11"/>
    </row>
    <row r="393" spans="1:3" x14ac:dyDescent="0.25">
      <c r="A393" s="16"/>
      <c r="C393" s="11"/>
    </row>
    <row r="394" spans="1:3" x14ac:dyDescent="0.25">
      <c r="A394" s="16"/>
      <c r="C394" s="11"/>
    </row>
    <row r="395" spans="1:3" x14ac:dyDescent="0.25">
      <c r="A395" s="16"/>
      <c r="C395" s="11"/>
    </row>
    <row r="396" spans="1:3" x14ac:dyDescent="0.25">
      <c r="A396" s="16"/>
      <c r="C396" s="11"/>
    </row>
    <row r="397" spans="1:3" x14ac:dyDescent="0.25">
      <c r="A397" s="16"/>
      <c r="C397" s="11"/>
    </row>
    <row r="398" spans="1:3" x14ac:dyDescent="0.25">
      <c r="A398" s="16"/>
      <c r="C398" s="11"/>
    </row>
    <row r="399" spans="1:3" x14ac:dyDescent="0.25">
      <c r="A399" s="16"/>
      <c r="C399" s="11"/>
    </row>
    <row r="400" spans="1:3" x14ac:dyDescent="0.25">
      <c r="A400" s="16"/>
      <c r="C400" s="11"/>
    </row>
    <row r="401" spans="1:3" x14ac:dyDescent="0.25">
      <c r="A401" s="16"/>
      <c r="C401" s="11"/>
    </row>
    <row r="402" spans="1:3" x14ac:dyDescent="0.25">
      <c r="A402" s="16"/>
      <c r="C402" s="11"/>
    </row>
    <row r="403" spans="1:3" x14ac:dyDescent="0.25">
      <c r="A403" s="16"/>
      <c r="C403" s="11"/>
    </row>
    <row r="404" spans="1:3" x14ac:dyDescent="0.25">
      <c r="A404" s="16"/>
      <c r="C404" s="11"/>
    </row>
    <row r="405" spans="1:3" x14ac:dyDescent="0.25">
      <c r="A405" s="16"/>
      <c r="C405" s="11"/>
    </row>
    <row r="406" spans="1:3" x14ac:dyDescent="0.25">
      <c r="A406" s="16"/>
      <c r="C406" s="11"/>
    </row>
    <row r="407" spans="1:3" x14ac:dyDescent="0.25">
      <c r="A407" s="16"/>
      <c r="C407" s="11"/>
    </row>
    <row r="408" spans="1:3" x14ac:dyDescent="0.25">
      <c r="A408" s="16"/>
      <c r="C408" s="11"/>
    </row>
    <row r="409" spans="1:3" x14ac:dyDescent="0.25">
      <c r="A409" s="16"/>
      <c r="C409" s="11"/>
    </row>
    <row r="410" spans="1:3" x14ac:dyDescent="0.25">
      <c r="A410" s="16"/>
      <c r="C410" s="11"/>
    </row>
    <row r="411" spans="1:3" x14ac:dyDescent="0.25">
      <c r="A411" s="16"/>
      <c r="C411" s="11"/>
    </row>
    <row r="412" spans="1:3" x14ac:dyDescent="0.25">
      <c r="A412" s="16"/>
      <c r="C412" s="11"/>
    </row>
    <row r="413" spans="1:3" x14ac:dyDescent="0.25">
      <c r="A413" s="16"/>
      <c r="C413" s="11"/>
    </row>
    <row r="414" spans="1:3" x14ac:dyDescent="0.25">
      <c r="A414" s="16"/>
      <c r="C414" s="11"/>
    </row>
    <row r="415" spans="1:3" x14ac:dyDescent="0.25">
      <c r="A415" s="16"/>
      <c r="C415" s="11"/>
    </row>
    <row r="416" spans="1:3" x14ac:dyDescent="0.25">
      <c r="A416" s="16"/>
      <c r="C416" s="11"/>
    </row>
    <row r="417" spans="1:3" x14ac:dyDescent="0.25">
      <c r="A417" s="16"/>
      <c r="C417" s="11"/>
    </row>
    <row r="418" spans="1:3" x14ac:dyDescent="0.25">
      <c r="A418" s="16"/>
      <c r="C418" s="11"/>
    </row>
    <row r="419" spans="1:3" x14ac:dyDescent="0.25">
      <c r="A419" s="16"/>
      <c r="C419" s="11"/>
    </row>
    <row r="420" spans="1:3" x14ac:dyDescent="0.25">
      <c r="A420" s="16"/>
      <c r="C420" s="11"/>
    </row>
    <row r="421" spans="1:3" x14ac:dyDescent="0.25">
      <c r="A421" s="16"/>
      <c r="C421" s="11"/>
    </row>
    <row r="422" spans="1:3" x14ac:dyDescent="0.25">
      <c r="A422" s="16"/>
      <c r="C422" s="11"/>
    </row>
    <row r="423" spans="1:3" x14ac:dyDescent="0.25">
      <c r="A423" s="16"/>
      <c r="C423" s="11"/>
    </row>
    <row r="424" spans="1:3" x14ac:dyDescent="0.25">
      <c r="A424" s="16"/>
      <c r="C424" s="11"/>
    </row>
    <row r="425" spans="1:3" x14ac:dyDescent="0.25">
      <c r="A425" s="16"/>
      <c r="C425" s="11"/>
    </row>
    <row r="426" spans="1:3" x14ac:dyDescent="0.25">
      <c r="A426" s="16"/>
      <c r="C426" s="11"/>
    </row>
    <row r="427" spans="1:3" x14ac:dyDescent="0.25">
      <c r="A427" s="16"/>
      <c r="C427" s="11"/>
    </row>
    <row r="428" spans="1:3" x14ac:dyDescent="0.25">
      <c r="A428" s="16"/>
      <c r="C428" s="11"/>
    </row>
    <row r="429" spans="1:3" x14ac:dyDescent="0.25">
      <c r="A429" s="16"/>
      <c r="C429" s="11"/>
    </row>
    <row r="430" spans="1:3" x14ac:dyDescent="0.25">
      <c r="A430" s="16"/>
      <c r="C430" s="11"/>
    </row>
    <row r="431" spans="1:3" x14ac:dyDescent="0.25">
      <c r="A431" s="16"/>
      <c r="C431" s="11"/>
    </row>
    <row r="432" spans="1:3" x14ac:dyDescent="0.25">
      <c r="A432" s="16"/>
      <c r="C432" s="11"/>
    </row>
    <row r="433" spans="1:3" x14ac:dyDescent="0.25">
      <c r="A433" s="16"/>
      <c r="C433" s="11"/>
    </row>
    <row r="434" spans="1:3" x14ac:dyDescent="0.25">
      <c r="A434" s="16"/>
      <c r="C434" s="11"/>
    </row>
    <row r="435" spans="1:3" x14ac:dyDescent="0.25">
      <c r="A435" s="16"/>
      <c r="C435" s="11"/>
    </row>
    <row r="436" spans="1:3" x14ac:dyDescent="0.25">
      <c r="A436" s="16"/>
      <c r="C436" s="11"/>
    </row>
    <row r="437" spans="1:3" x14ac:dyDescent="0.25">
      <c r="A437" s="16"/>
      <c r="C437" s="11"/>
    </row>
    <row r="438" spans="1:3" x14ac:dyDescent="0.25">
      <c r="A438" s="16"/>
      <c r="C438" s="11"/>
    </row>
    <row r="439" spans="1:3" x14ac:dyDescent="0.25">
      <c r="A439" s="16"/>
      <c r="C439" s="11"/>
    </row>
    <row r="440" spans="1:3" x14ac:dyDescent="0.25">
      <c r="A440" s="16"/>
      <c r="C440" s="11"/>
    </row>
    <row r="441" spans="1:3" x14ac:dyDescent="0.25">
      <c r="A441" s="16"/>
      <c r="C441" s="11"/>
    </row>
    <row r="442" spans="1:3" x14ac:dyDescent="0.25">
      <c r="A442" s="16"/>
      <c r="C442" s="11"/>
    </row>
    <row r="443" spans="1:3" x14ac:dyDescent="0.25">
      <c r="A443" s="16"/>
      <c r="C443" s="11"/>
    </row>
    <row r="444" spans="1:3" x14ac:dyDescent="0.25">
      <c r="A444" s="16"/>
      <c r="C444" s="11"/>
    </row>
    <row r="445" spans="1:3" x14ac:dyDescent="0.25">
      <c r="A445" s="16"/>
      <c r="C445" s="11"/>
    </row>
    <row r="446" spans="1:3" x14ac:dyDescent="0.25">
      <c r="A446" s="16"/>
      <c r="C446" s="11"/>
    </row>
    <row r="447" spans="1:3" x14ac:dyDescent="0.25">
      <c r="A447" s="16"/>
      <c r="C447" s="11"/>
    </row>
    <row r="448" spans="1:3" x14ac:dyDescent="0.25">
      <c r="A448" s="16"/>
      <c r="C448" s="11"/>
    </row>
    <row r="449" spans="1:3" x14ac:dyDescent="0.25">
      <c r="A449" s="16"/>
      <c r="C449" s="11"/>
    </row>
    <row r="450" spans="1:3" x14ac:dyDescent="0.25">
      <c r="A450" s="16"/>
      <c r="C450" s="11"/>
    </row>
    <row r="451" spans="1:3" x14ac:dyDescent="0.25">
      <c r="A451" s="16"/>
      <c r="C451" s="11"/>
    </row>
    <row r="452" spans="1:3" x14ac:dyDescent="0.25">
      <c r="A452" s="16"/>
      <c r="C452" s="11"/>
    </row>
    <row r="453" spans="1:3" x14ac:dyDescent="0.25">
      <c r="A453" s="16"/>
      <c r="C453" s="11"/>
    </row>
    <row r="454" spans="1:3" x14ac:dyDescent="0.25">
      <c r="A454" s="16"/>
      <c r="C454" s="11"/>
    </row>
    <row r="455" spans="1:3" x14ac:dyDescent="0.25">
      <c r="A455" s="16"/>
      <c r="C455" s="11"/>
    </row>
    <row r="456" spans="1:3" x14ac:dyDescent="0.25">
      <c r="A456" s="16"/>
      <c r="C456" s="11"/>
    </row>
    <row r="457" spans="1:3" x14ac:dyDescent="0.25">
      <c r="A457" s="16"/>
      <c r="C457" s="11"/>
    </row>
    <row r="458" spans="1:3" x14ac:dyDescent="0.25">
      <c r="A458" s="16"/>
      <c r="C458" s="11"/>
    </row>
    <row r="459" spans="1:3" x14ac:dyDescent="0.25">
      <c r="A459" s="16"/>
      <c r="C459" s="11"/>
    </row>
    <row r="460" spans="1:3" x14ac:dyDescent="0.25">
      <c r="A460" s="16"/>
      <c r="C460" s="11"/>
    </row>
    <row r="461" spans="1:3" x14ac:dyDescent="0.25">
      <c r="A461" s="16"/>
      <c r="C461" s="11"/>
    </row>
    <row r="462" spans="1:3" x14ac:dyDescent="0.25">
      <c r="A462" s="16"/>
      <c r="C462" s="11"/>
    </row>
    <row r="463" spans="1:3" x14ac:dyDescent="0.25">
      <c r="A463" s="16"/>
      <c r="C463" s="11"/>
    </row>
    <row r="464" spans="1:3" x14ac:dyDescent="0.25">
      <c r="A464" s="16"/>
      <c r="C464" s="11"/>
    </row>
    <row r="465" spans="1:3" x14ac:dyDescent="0.25">
      <c r="A465" s="16"/>
      <c r="C465" s="11"/>
    </row>
    <row r="466" spans="1:3" x14ac:dyDescent="0.25">
      <c r="A466" s="16"/>
      <c r="C466" s="11"/>
    </row>
    <row r="467" spans="1:3" x14ac:dyDescent="0.25">
      <c r="A467" s="16"/>
      <c r="C467" s="11"/>
    </row>
    <row r="468" spans="1:3" x14ac:dyDescent="0.25">
      <c r="A468" s="16"/>
      <c r="C468" s="11"/>
    </row>
    <row r="469" spans="1:3" x14ac:dyDescent="0.25">
      <c r="A469" s="16"/>
      <c r="C469" s="11"/>
    </row>
    <row r="470" spans="1:3" x14ac:dyDescent="0.25">
      <c r="A470" s="16"/>
      <c r="C470" s="11"/>
    </row>
    <row r="471" spans="1:3" x14ac:dyDescent="0.25">
      <c r="A471" s="16"/>
      <c r="C471" s="11"/>
    </row>
    <row r="472" spans="1:3" x14ac:dyDescent="0.25">
      <c r="A472" s="16"/>
      <c r="C472" s="11"/>
    </row>
    <row r="473" spans="1:3" x14ac:dyDescent="0.25">
      <c r="A473" s="16"/>
      <c r="C473" s="11"/>
    </row>
    <row r="474" spans="1:3" x14ac:dyDescent="0.25">
      <c r="A474" s="16"/>
      <c r="C474" s="11"/>
    </row>
    <row r="475" spans="1:3" x14ac:dyDescent="0.25">
      <c r="A475" s="16"/>
      <c r="C475" s="11"/>
    </row>
    <row r="476" spans="1:3" x14ac:dyDescent="0.25">
      <c r="A476" s="16"/>
      <c r="C476" s="11"/>
    </row>
    <row r="477" spans="1:3" x14ac:dyDescent="0.25">
      <c r="A477" s="16"/>
      <c r="C477" s="11"/>
    </row>
    <row r="478" spans="1:3" x14ac:dyDescent="0.25">
      <c r="A478" s="16"/>
      <c r="C478" s="11"/>
    </row>
    <row r="479" spans="1:3" x14ac:dyDescent="0.25">
      <c r="A479" s="16"/>
      <c r="C479" s="11"/>
    </row>
    <row r="480" spans="1:3" x14ac:dyDescent="0.25">
      <c r="A480" s="16"/>
      <c r="C480" s="11"/>
    </row>
    <row r="481" spans="1:3" x14ac:dyDescent="0.25">
      <c r="A481" s="16"/>
      <c r="C481" s="11"/>
    </row>
    <row r="482" spans="1:3" x14ac:dyDescent="0.25">
      <c r="A482" s="16"/>
      <c r="C482" s="11"/>
    </row>
    <row r="483" spans="1:3" x14ac:dyDescent="0.25">
      <c r="A483" s="16"/>
      <c r="C483" s="11"/>
    </row>
    <row r="484" spans="1:3" x14ac:dyDescent="0.25">
      <c r="A484" s="16"/>
      <c r="C484" s="11"/>
    </row>
    <row r="485" spans="1:3" x14ac:dyDescent="0.25">
      <c r="A485" s="16"/>
      <c r="C485" s="11"/>
    </row>
    <row r="486" spans="1:3" x14ac:dyDescent="0.25">
      <c r="A486" s="16"/>
      <c r="C486" s="11"/>
    </row>
    <row r="487" spans="1:3" x14ac:dyDescent="0.25">
      <c r="A487" s="16"/>
      <c r="C487" s="11"/>
    </row>
    <row r="488" spans="1:3" x14ac:dyDescent="0.25">
      <c r="A488" s="16"/>
      <c r="C488" s="11"/>
    </row>
    <row r="489" spans="1:3" x14ac:dyDescent="0.25">
      <c r="A489" s="16"/>
      <c r="C489" s="11"/>
    </row>
    <row r="490" spans="1:3" x14ac:dyDescent="0.25">
      <c r="A490" s="16"/>
      <c r="C490" s="11"/>
    </row>
    <row r="491" spans="1:3" x14ac:dyDescent="0.25">
      <c r="A491" s="16"/>
      <c r="C491" s="11"/>
    </row>
    <row r="492" spans="1:3" x14ac:dyDescent="0.25">
      <c r="A492" s="16"/>
      <c r="C492" s="11"/>
    </row>
    <row r="493" spans="1:3" x14ac:dyDescent="0.25">
      <c r="A493" s="16"/>
      <c r="C493" s="11"/>
    </row>
    <row r="494" spans="1:3" x14ac:dyDescent="0.25">
      <c r="A494" s="16"/>
      <c r="C494" s="11"/>
    </row>
    <row r="495" spans="1:3" x14ac:dyDescent="0.25">
      <c r="A495" s="16"/>
      <c r="C495" s="11"/>
    </row>
    <row r="496" spans="1:3" x14ac:dyDescent="0.25">
      <c r="A496" s="16"/>
      <c r="C496" s="11"/>
    </row>
    <row r="497" spans="1:3" x14ac:dyDescent="0.25">
      <c r="A497" s="16"/>
      <c r="C497" s="11"/>
    </row>
    <row r="498" spans="1:3" x14ac:dyDescent="0.25">
      <c r="A498" s="16"/>
      <c r="C498" s="11"/>
    </row>
    <row r="499" spans="1:3" x14ac:dyDescent="0.25">
      <c r="A499" s="16"/>
      <c r="C499" s="11"/>
    </row>
    <row r="500" spans="1:3" x14ac:dyDescent="0.25">
      <c r="A500" s="16"/>
      <c r="C500" s="11"/>
    </row>
    <row r="501" spans="1:3" x14ac:dyDescent="0.25">
      <c r="A501" s="16"/>
      <c r="C501" s="11"/>
    </row>
    <row r="502" spans="1:3" x14ac:dyDescent="0.25">
      <c r="A502" s="16"/>
      <c r="C502" s="11"/>
    </row>
    <row r="503" spans="1:3" x14ac:dyDescent="0.25">
      <c r="A503" s="16"/>
      <c r="C503" s="11"/>
    </row>
    <row r="504" spans="1:3" x14ac:dyDescent="0.25">
      <c r="A504" s="16"/>
      <c r="C504" s="11"/>
    </row>
    <row r="505" spans="1:3" x14ac:dyDescent="0.25">
      <c r="A505" s="16"/>
      <c r="C505" s="11"/>
    </row>
    <row r="506" spans="1:3" x14ac:dyDescent="0.25">
      <c r="A506" s="16"/>
      <c r="C506" s="11"/>
    </row>
    <row r="507" spans="1:3" x14ac:dyDescent="0.25">
      <c r="A507" s="16"/>
      <c r="C507" s="11"/>
    </row>
    <row r="508" spans="1:3" x14ac:dyDescent="0.25">
      <c r="A508" s="16"/>
      <c r="C508" s="11"/>
    </row>
    <row r="509" spans="1:3" x14ac:dyDescent="0.25">
      <c r="A509" s="16"/>
      <c r="C509" s="11"/>
    </row>
    <row r="510" spans="1:3" x14ac:dyDescent="0.25">
      <c r="A510" s="16"/>
      <c r="C510" s="11"/>
    </row>
    <row r="511" spans="1:3" x14ac:dyDescent="0.25">
      <c r="A511" s="16"/>
      <c r="C511" s="11"/>
    </row>
    <row r="512" spans="1:3" x14ac:dyDescent="0.25">
      <c r="A512" s="16"/>
      <c r="C512" s="11"/>
    </row>
    <row r="513" spans="1:3" x14ac:dyDescent="0.25">
      <c r="A513" s="16"/>
      <c r="C513" s="11"/>
    </row>
    <row r="514" spans="1:3" x14ac:dyDescent="0.25">
      <c r="A514" s="16"/>
      <c r="C514" s="11"/>
    </row>
    <row r="515" spans="1:3" x14ac:dyDescent="0.25">
      <c r="A515" s="16"/>
      <c r="C515" s="11"/>
    </row>
    <row r="516" spans="1:3" x14ac:dyDescent="0.25">
      <c r="A516" s="16"/>
      <c r="C516" s="11"/>
    </row>
    <row r="517" spans="1:3" x14ac:dyDescent="0.25">
      <c r="A517" s="16"/>
      <c r="C517" s="11"/>
    </row>
    <row r="518" spans="1:3" x14ac:dyDescent="0.25">
      <c r="A518" s="16"/>
      <c r="C518" s="11"/>
    </row>
    <row r="519" spans="1:3" x14ac:dyDescent="0.25">
      <c r="A519" s="16"/>
      <c r="C519" s="11"/>
    </row>
    <row r="520" spans="1:3" x14ac:dyDescent="0.25">
      <c r="A520" s="16"/>
      <c r="C520" s="11"/>
    </row>
    <row r="521" spans="1:3" x14ac:dyDescent="0.25">
      <c r="A521" s="16"/>
      <c r="C521" s="11"/>
    </row>
    <row r="522" spans="1:3" x14ac:dyDescent="0.25">
      <c r="A522" s="16"/>
      <c r="C522" s="11"/>
    </row>
    <row r="523" spans="1:3" x14ac:dyDescent="0.25">
      <c r="A523" s="16"/>
      <c r="C523" s="11"/>
    </row>
    <row r="524" spans="1:3" x14ac:dyDescent="0.25">
      <c r="A524" s="16"/>
      <c r="C524" s="11"/>
    </row>
    <row r="525" spans="1:3" x14ac:dyDescent="0.25">
      <c r="A525" s="16"/>
      <c r="C525" s="11"/>
    </row>
    <row r="526" spans="1:3" x14ac:dyDescent="0.25">
      <c r="A526" s="16"/>
      <c r="C526" s="11"/>
    </row>
    <row r="527" spans="1:3" x14ac:dyDescent="0.25">
      <c r="A527" s="16"/>
      <c r="C527" s="11"/>
    </row>
    <row r="528" spans="1:3" x14ac:dyDescent="0.25">
      <c r="A528" s="16"/>
      <c r="C528" s="11"/>
    </row>
    <row r="529" spans="1:3" x14ac:dyDescent="0.25">
      <c r="A529" s="16"/>
      <c r="C529" s="11"/>
    </row>
    <row r="530" spans="1:3" x14ac:dyDescent="0.25">
      <c r="A530" s="16"/>
      <c r="C530" s="11"/>
    </row>
    <row r="531" spans="1:3" x14ac:dyDescent="0.25">
      <c r="A531" s="16"/>
      <c r="C531" s="11"/>
    </row>
    <row r="532" spans="1:3" x14ac:dyDescent="0.25">
      <c r="A532" s="16"/>
      <c r="C532" s="11"/>
    </row>
    <row r="533" spans="1:3" x14ac:dyDescent="0.25">
      <c r="A533" s="16"/>
      <c r="C533" s="11"/>
    </row>
    <row r="534" spans="1:3" x14ac:dyDescent="0.25">
      <c r="A534" s="16"/>
      <c r="C534" s="11"/>
    </row>
    <row r="535" spans="1:3" x14ac:dyDescent="0.25">
      <c r="A535" s="16"/>
      <c r="C535" s="11"/>
    </row>
    <row r="536" spans="1:3" x14ac:dyDescent="0.25">
      <c r="A536" s="16"/>
      <c r="C536" s="11"/>
    </row>
    <row r="537" spans="1:3" x14ac:dyDescent="0.25">
      <c r="A537" s="16"/>
      <c r="C537" s="11"/>
    </row>
    <row r="538" spans="1:3" x14ac:dyDescent="0.25">
      <c r="A538" s="16"/>
      <c r="C538" s="11"/>
    </row>
    <row r="539" spans="1:3" x14ac:dyDescent="0.25">
      <c r="A539" s="16"/>
      <c r="C539" s="11"/>
    </row>
    <row r="540" spans="1:3" x14ac:dyDescent="0.25">
      <c r="A540" s="16"/>
      <c r="C540" s="11"/>
    </row>
    <row r="541" spans="1:3" x14ac:dyDescent="0.25">
      <c r="A541" s="16"/>
      <c r="C541" s="11"/>
    </row>
    <row r="542" spans="1:3" x14ac:dyDescent="0.25">
      <c r="A542" s="16"/>
      <c r="C542" s="11"/>
    </row>
    <row r="543" spans="1:3" x14ac:dyDescent="0.25">
      <c r="A543" s="16"/>
      <c r="C543" s="11"/>
    </row>
    <row r="544" spans="1:3" x14ac:dyDescent="0.25">
      <c r="A544" s="16"/>
      <c r="C544" s="11"/>
    </row>
    <row r="545" spans="1:3" x14ac:dyDescent="0.25">
      <c r="A545" s="16"/>
      <c r="C545" s="11"/>
    </row>
    <row r="546" spans="1:3" x14ac:dyDescent="0.25">
      <c r="A546" s="16"/>
      <c r="C546" s="11"/>
    </row>
    <row r="547" spans="1:3" x14ac:dyDescent="0.25">
      <c r="A547" s="16"/>
      <c r="C547" s="11"/>
    </row>
    <row r="548" spans="1:3" x14ac:dyDescent="0.25">
      <c r="A548" s="16"/>
      <c r="C548" s="11"/>
    </row>
  </sheetData>
  <autoFilter ref="A1:G213" xr:uid="{A74B6B42-AEB9-4A64-A2E9-25BA9A1260D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6EAA-ADC8-4B25-AE32-5E6D828A0B9E}">
  <dimension ref="A1:G3642"/>
  <sheetViews>
    <sheetView workbookViewId="0">
      <selection activeCell="K13" sqref="K13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1.42578125" bestFit="1" customWidth="1"/>
  </cols>
  <sheetData>
    <row r="1" spans="1:7" x14ac:dyDescent="0.25">
      <c r="A1" s="10" t="s">
        <v>35</v>
      </c>
      <c r="B1" s="10" t="s">
        <v>21</v>
      </c>
      <c r="C1" s="10" t="s">
        <v>26</v>
      </c>
      <c r="D1" s="10" t="s">
        <v>36</v>
      </c>
      <c r="E1" s="10" t="s">
        <v>37</v>
      </c>
      <c r="F1" s="10" t="s">
        <v>38</v>
      </c>
      <c r="G1" s="10" t="s">
        <v>39</v>
      </c>
    </row>
    <row r="2" spans="1:7" x14ac:dyDescent="0.25">
      <c r="A2" s="21">
        <v>44227</v>
      </c>
      <c r="B2" s="5">
        <v>1847.65</v>
      </c>
      <c r="C2" s="5">
        <v>1847.3</v>
      </c>
      <c r="D2" s="5">
        <v>7.5216698403249387</v>
      </c>
      <c r="E2" s="5">
        <v>7.5214803925645919</v>
      </c>
      <c r="F2" s="5"/>
      <c r="G2" s="5"/>
    </row>
    <row r="3" spans="1:7" x14ac:dyDescent="0.25">
      <c r="A3" s="21">
        <v>44255</v>
      </c>
      <c r="B3" s="5">
        <v>1734.04</v>
      </c>
      <c r="C3" s="5">
        <v>1728.8</v>
      </c>
      <c r="D3" s="5">
        <v>7.4582092251251737</v>
      </c>
      <c r="E3" s="5">
        <v>7.4551828051926758</v>
      </c>
      <c r="F3" s="5">
        <v>-6.346061519976498E-2</v>
      </c>
      <c r="G3" s="5">
        <v>-6.6297587371916045E-2</v>
      </c>
    </row>
    <row r="4" spans="1:7" x14ac:dyDescent="0.25">
      <c r="A4" s="21">
        <v>44286</v>
      </c>
      <c r="B4" s="5">
        <v>1707.71</v>
      </c>
      <c r="C4" s="5">
        <v>1713.8</v>
      </c>
      <c r="D4" s="5">
        <v>7.4429085707055265</v>
      </c>
      <c r="E4" s="5">
        <v>7.4464684062350184</v>
      </c>
      <c r="F4" s="5">
        <v>-1.530065441964723E-2</v>
      </c>
      <c r="G4" s="5">
        <v>-8.7143989576574654E-3</v>
      </c>
    </row>
    <row r="5" spans="1:7" x14ac:dyDescent="0.25">
      <c r="A5" s="21">
        <v>44316</v>
      </c>
      <c r="B5" s="5">
        <v>1769.13</v>
      </c>
      <c r="C5" s="5">
        <v>1767.7</v>
      </c>
      <c r="D5" s="5">
        <v>7.4782431793059265</v>
      </c>
      <c r="E5" s="5">
        <v>7.4774345455418372</v>
      </c>
      <c r="F5" s="5">
        <v>3.5334608600400053E-2</v>
      </c>
      <c r="G5" s="5">
        <v>3.0966139306818796E-2</v>
      </c>
    </row>
    <row r="6" spans="1:7" x14ac:dyDescent="0.25">
      <c r="A6" s="21">
        <v>44347</v>
      </c>
      <c r="B6" s="5">
        <v>1906.87</v>
      </c>
      <c r="C6" s="5">
        <v>1902.5</v>
      </c>
      <c r="D6" s="5">
        <v>7.5532184333763785</v>
      </c>
      <c r="E6" s="5">
        <v>7.5509240897358412</v>
      </c>
      <c r="F6" s="5">
        <v>7.4975254070452024E-2</v>
      </c>
      <c r="G6" s="5">
        <v>7.3489544194003997E-2</v>
      </c>
    </row>
    <row r="7" spans="1:7" x14ac:dyDescent="0.25">
      <c r="A7" s="21">
        <v>44377</v>
      </c>
      <c r="B7" s="5">
        <v>1770.11</v>
      </c>
      <c r="C7" s="5">
        <v>1771.6</v>
      </c>
      <c r="D7" s="5">
        <v>7.4787969705294923</v>
      </c>
      <c r="E7" s="5">
        <v>7.4796383720490427</v>
      </c>
      <c r="F7" s="5">
        <v>-7.4421462846886222E-2</v>
      </c>
      <c r="G7" s="5">
        <v>-7.1285717686798478E-2</v>
      </c>
    </row>
    <row r="8" spans="1:7" x14ac:dyDescent="0.25">
      <c r="A8" s="21">
        <v>44408</v>
      </c>
      <c r="B8" s="5">
        <v>1814.19</v>
      </c>
      <c r="C8" s="5">
        <v>1812.6</v>
      </c>
      <c r="D8" s="5">
        <v>7.5033943660942155</v>
      </c>
      <c r="E8" s="5">
        <v>7.5025175576206813</v>
      </c>
      <c r="F8" s="5">
        <v>2.4597395564723179E-2</v>
      </c>
      <c r="G8" s="5">
        <v>2.2879185571638594E-2</v>
      </c>
    </row>
    <row r="9" spans="1:7" x14ac:dyDescent="0.25">
      <c r="A9" s="21">
        <v>44439</v>
      </c>
      <c r="B9" s="5">
        <v>1813.62</v>
      </c>
      <c r="C9" s="5">
        <v>1815.8</v>
      </c>
      <c r="D9" s="5">
        <v>7.5030801269225442</v>
      </c>
      <c r="E9" s="5">
        <v>7.5042814209376569</v>
      </c>
      <c r="F9" s="5">
        <v>-3.1423917167128224E-4</v>
      </c>
      <c r="G9" s="5">
        <v>1.7638633169756446E-3</v>
      </c>
    </row>
    <row r="10" spans="1:7" x14ac:dyDescent="0.25">
      <c r="A10" s="21">
        <v>44469</v>
      </c>
      <c r="B10" s="5">
        <v>1756.95</v>
      </c>
      <c r="C10" s="5">
        <v>1755.3</v>
      </c>
      <c r="D10" s="5">
        <v>7.4713346301839936</v>
      </c>
      <c r="E10" s="5">
        <v>7.4703950614623</v>
      </c>
      <c r="F10" s="5">
        <v>-3.1745496738550649E-2</v>
      </c>
      <c r="G10" s="5">
        <v>-3.3886359475356898E-2</v>
      </c>
    </row>
    <row r="11" spans="1:7" x14ac:dyDescent="0.25">
      <c r="A11" s="21">
        <v>44500</v>
      </c>
      <c r="B11" s="5">
        <v>1783.38</v>
      </c>
      <c r="C11" s="5">
        <v>1783.9</v>
      </c>
      <c r="D11" s="5">
        <v>7.4862657191038595</v>
      </c>
      <c r="E11" s="5">
        <v>7.4865572577572221</v>
      </c>
      <c r="F11" s="5">
        <v>1.4931088919865942E-2</v>
      </c>
      <c r="G11" s="5">
        <v>1.6162196294922104E-2</v>
      </c>
    </row>
    <row r="12" spans="1:7" x14ac:dyDescent="0.25">
      <c r="A12" s="21">
        <v>44530</v>
      </c>
      <c r="B12" s="5">
        <v>1774.52</v>
      </c>
      <c r="C12" s="5">
        <v>1773.6</v>
      </c>
      <c r="D12" s="5">
        <v>7.4812852428035379</v>
      </c>
      <c r="E12" s="5">
        <v>7.4807666583021017</v>
      </c>
      <c r="F12" s="5">
        <v>-4.9804763003216124E-3</v>
      </c>
      <c r="G12" s="5">
        <v>-5.7905994551203932E-3</v>
      </c>
    </row>
    <row r="13" spans="1:7" x14ac:dyDescent="0.25">
      <c r="A13" s="21">
        <v>44561</v>
      </c>
      <c r="B13" s="5">
        <v>1829.2</v>
      </c>
      <c r="C13" s="5">
        <v>1828.6</v>
      </c>
      <c r="D13" s="5">
        <v>7.5116339917839001</v>
      </c>
      <c r="E13" s="5">
        <v>7.5113059257303263</v>
      </c>
      <c r="F13" s="5">
        <v>3.0348748980362217E-2</v>
      </c>
      <c r="G13" s="5">
        <v>3.0539267428224548E-2</v>
      </c>
    </row>
    <row r="14" spans="1:7" x14ac:dyDescent="0.25">
      <c r="A14" s="21">
        <v>44592</v>
      </c>
      <c r="B14" s="5">
        <v>1797.17</v>
      </c>
      <c r="C14" s="5">
        <v>1795</v>
      </c>
      <c r="D14" s="5">
        <v>7.4939684844236965</v>
      </c>
      <c r="E14" s="5">
        <v>7.4927603009223791</v>
      </c>
      <c r="F14" s="5">
        <v>-1.7665507360203669E-2</v>
      </c>
      <c r="G14" s="5">
        <v>-1.8545624807947192E-2</v>
      </c>
    </row>
    <row r="15" spans="1:7" x14ac:dyDescent="0.25">
      <c r="A15" s="21">
        <v>44620</v>
      </c>
      <c r="B15" s="5">
        <v>1908.99</v>
      </c>
      <c r="C15" s="5">
        <v>1900.7</v>
      </c>
      <c r="D15" s="5">
        <v>7.554329585367344</v>
      </c>
      <c r="E15" s="5">
        <v>7.5499775183567923</v>
      </c>
      <c r="F15" s="5">
        <v>6.036110094364755E-2</v>
      </c>
      <c r="G15" s="5">
        <v>5.7217217434413215E-2</v>
      </c>
    </row>
    <row r="16" spans="1:7" x14ac:dyDescent="0.25">
      <c r="A16" s="21">
        <v>44651</v>
      </c>
      <c r="B16" s="5">
        <v>1937.44</v>
      </c>
      <c r="C16" s="5">
        <v>1949.2</v>
      </c>
      <c r="D16" s="5">
        <v>7.5691227930060565</v>
      </c>
      <c r="E16" s="5">
        <v>7.5751743109693512</v>
      </c>
      <c r="F16" s="5">
        <v>1.4793207638712502E-2</v>
      </c>
      <c r="G16" s="5">
        <v>2.5196792612558916E-2</v>
      </c>
    </row>
    <row r="17" spans="1:7" x14ac:dyDescent="0.25">
      <c r="A17" s="21">
        <v>44681</v>
      </c>
      <c r="B17" s="5">
        <v>1896.93</v>
      </c>
      <c r="C17" s="5">
        <v>1911.7</v>
      </c>
      <c r="D17" s="5">
        <v>7.5479920688851756</v>
      </c>
      <c r="E17" s="5">
        <v>7.5557481775349729</v>
      </c>
      <c r="F17" s="5">
        <v>-2.1130724120880906E-2</v>
      </c>
      <c r="G17" s="5">
        <v>-1.9426133434378379E-2</v>
      </c>
    </row>
    <row r="18" spans="1:7" x14ac:dyDescent="0.25">
      <c r="A18" s="21">
        <v>44712</v>
      </c>
      <c r="B18" s="5">
        <v>1837.35</v>
      </c>
      <c r="C18" s="5">
        <v>1842.7</v>
      </c>
      <c r="D18" s="5">
        <v>7.5160795951018038</v>
      </c>
      <c r="E18" s="5">
        <v>7.518987166340815</v>
      </c>
      <c r="F18" s="5">
        <v>-3.1912473783371809E-2</v>
      </c>
      <c r="G18" s="5">
        <v>-3.6761011194157867E-2</v>
      </c>
    </row>
    <row r="19" spans="1:7" x14ac:dyDescent="0.25">
      <c r="A19" s="21">
        <v>44742</v>
      </c>
      <c r="B19" s="5">
        <v>1807.27</v>
      </c>
      <c r="C19" s="5">
        <v>1807.3</v>
      </c>
      <c r="D19" s="5">
        <v>7.4995726983567295</v>
      </c>
      <c r="E19" s="5">
        <v>7.4995892978415926</v>
      </c>
      <c r="F19" s="5">
        <v>-1.6506896745074329E-2</v>
      </c>
      <c r="G19" s="5">
        <v>-1.9397868499222426E-2</v>
      </c>
    </row>
    <row r="20" spans="1:7" x14ac:dyDescent="0.25">
      <c r="A20" s="21">
        <v>44773</v>
      </c>
      <c r="B20" s="5">
        <v>1765.94</v>
      </c>
      <c r="C20" s="5">
        <v>1762.9</v>
      </c>
      <c r="D20" s="5">
        <v>7.4764384055018009</v>
      </c>
      <c r="E20" s="5">
        <v>7.4747154592916978</v>
      </c>
      <c r="F20" s="5">
        <v>-2.3134292854928518E-2</v>
      </c>
      <c r="G20" s="5">
        <v>-2.4873838549894778E-2</v>
      </c>
    </row>
    <row r="21" spans="1:7" x14ac:dyDescent="0.25">
      <c r="A21" s="21">
        <v>44804</v>
      </c>
      <c r="B21" s="5">
        <v>1711.04</v>
      </c>
      <c r="C21" s="5">
        <v>1716.9</v>
      </c>
      <c r="D21" s="5">
        <v>7.4448566517603671</v>
      </c>
      <c r="E21" s="5">
        <v>7.4482756180831666</v>
      </c>
      <c r="F21" s="5">
        <v>-3.1581753741433793E-2</v>
      </c>
      <c r="G21" s="5">
        <v>-2.6439841208531156E-2</v>
      </c>
    </row>
    <row r="22" spans="1:7" x14ac:dyDescent="0.25">
      <c r="A22" s="21">
        <v>44834</v>
      </c>
      <c r="B22" s="5">
        <v>1660.61</v>
      </c>
      <c r="C22" s="5">
        <v>1662.4</v>
      </c>
      <c r="D22" s="5">
        <v>7.4149402837295861</v>
      </c>
      <c r="E22" s="5">
        <v>7.416017620344963</v>
      </c>
      <c r="F22" s="5">
        <v>-2.9916368030781015E-2</v>
      </c>
      <c r="G22" s="5">
        <v>-3.2257997738203592E-2</v>
      </c>
    </row>
    <row r="23" spans="1:7" x14ac:dyDescent="0.25">
      <c r="A23" s="21">
        <v>44865</v>
      </c>
      <c r="B23" s="5">
        <v>1633.56</v>
      </c>
      <c r="C23" s="5">
        <v>1640.7</v>
      </c>
      <c r="D23" s="5">
        <v>7.3985169613123816</v>
      </c>
      <c r="E23" s="5">
        <v>7.4028782590208371</v>
      </c>
      <c r="F23" s="5">
        <v>-1.6423322417204567E-2</v>
      </c>
      <c r="G23" s="5">
        <v>-1.3139361324125964E-2</v>
      </c>
    </row>
    <row r="24" spans="1:7" x14ac:dyDescent="0.25">
      <c r="A24" s="21">
        <v>44895</v>
      </c>
      <c r="B24" s="5">
        <v>1768.52</v>
      </c>
      <c r="C24" s="5">
        <v>1746</v>
      </c>
      <c r="D24" s="5">
        <v>7.4778983176005314</v>
      </c>
      <c r="E24" s="5">
        <v>7.4650827363995473</v>
      </c>
      <c r="F24" s="5">
        <v>7.9381356288149796E-2</v>
      </c>
      <c r="G24" s="5">
        <v>6.2204477378710266E-2</v>
      </c>
    </row>
    <row r="25" spans="1:7" x14ac:dyDescent="0.25">
      <c r="A25" s="21">
        <v>44926</v>
      </c>
      <c r="B25" s="5">
        <v>1824.02</v>
      </c>
      <c r="C25" s="5">
        <v>1826.2</v>
      </c>
      <c r="D25" s="5">
        <v>7.508798135486443</v>
      </c>
      <c r="E25" s="5">
        <v>7.5099925841822399</v>
      </c>
      <c r="F25" s="5">
        <v>3.0899817885911673E-2</v>
      </c>
      <c r="G25" s="5">
        <v>4.490984778269258E-2</v>
      </c>
    </row>
    <row r="26" spans="1:7" x14ac:dyDescent="0.25">
      <c r="A26" s="21">
        <v>44957</v>
      </c>
      <c r="B26" s="5">
        <v>1928.36</v>
      </c>
      <c r="C26" s="5">
        <v>1929.5</v>
      </c>
      <c r="D26" s="5">
        <v>7.5644251797318107</v>
      </c>
      <c r="E26" s="5">
        <v>7.5650161809776737</v>
      </c>
      <c r="F26" s="5">
        <v>5.5627044245367685E-2</v>
      </c>
      <c r="G26" s="5">
        <v>5.5023596795433782E-2</v>
      </c>
    </row>
    <row r="27" spans="1:7" x14ac:dyDescent="0.25">
      <c r="A27" s="21">
        <v>44985</v>
      </c>
      <c r="B27" s="5">
        <v>1826.92</v>
      </c>
      <c r="C27" s="5">
        <v>1836.7</v>
      </c>
      <c r="D27" s="5">
        <v>7.5103867677893064</v>
      </c>
      <c r="E27" s="5">
        <v>7.5157257621344895</v>
      </c>
      <c r="F27" s="5">
        <v>-5.4038411942504361E-2</v>
      </c>
      <c r="G27" s="5">
        <v>-4.9290418843184192E-2</v>
      </c>
    </row>
    <row r="28" spans="1:7" x14ac:dyDescent="0.25">
      <c r="A28" s="21">
        <v>45016</v>
      </c>
      <c r="B28" s="5">
        <v>1969.28</v>
      </c>
      <c r="C28" s="5">
        <v>1969</v>
      </c>
      <c r="D28" s="5">
        <v>7.5854232726936219</v>
      </c>
      <c r="E28" s="5">
        <v>7.5852810786391256</v>
      </c>
      <c r="F28" s="5">
        <v>7.5036504904315571E-2</v>
      </c>
      <c r="G28" s="5">
        <v>6.9555316504636089E-2</v>
      </c>
    </row>
    <row r="29" spans="1:7" x14ac:dyDescent="0.25">
      <c r="A29" s="21">
        <v>45046</v>
      </c>
      <c r="B29" s="5">
        <v>1990</v>
      </c>
      <c r="C29" s="5">
        <v>1999.1</v>
      </c>
      <c r="D29" s="5">
        <v>7.5958899177185382</v>
      </c>
      <c r="E29" s="5">
        <v>7.6004523582616974</v>
      </c>
      <c r="F29" s="5">
        <v>1.0466645024916232E-2</v>
      </c>
      <c r="G29" s="5">
        <v>1.5171279622571809E-2</v>
      </c>
    </row>
    <row r="30" spans="1:7" x14ac:dyDescent="0.25">
      <c r="A30" s="21">
        <v>45077</v>
      </c>
      <c r="B30" s="5">
        <v>1962.73</v>
      </c>
      <c r="C30" s="5">
        <v>1963.9</v>
      </c>
      <c r="D30" s="5">
        <v>7.5820916402417078</v>
      </c>
      <c r="E30" s="5">
        <v>7.582687571121177</v>
      </c>
      <c r="F30" s="5">
        <v>-1.3798277476830378E-2</v>
      </c>
      <c r="G30" s="5">
        <v>-1.7764787140520433E-2</v>
      </c>
    </row>
    <row r="31" spans="1:7" x14ac:dyDescent="0.25">
      <c r="A31" s="21">
        <v>45107</v>
      </c>
      <c r="B31" s="5">
        <v>1919.35</v>
      </c>
      <c r="C31" s="5">
        <v>1929.4</v>
      </c>
      <c r="D31" s="5">
        <v>7.5597418660369939</v>
      </c>
      <c r="E31" s="5">
        <v>7.5649643527364532</v>
      </c>
      <c r="F31" s="5">
        <v>-2.2349774204713846E-2</v>
      </c>
      <c r="G31" s="5">
        <v>-1.7723218384723793E-2</v>
      </c>
    </row>
    <row r="32" spans="1:7" x14ac:dyDescent="0.25">
      <c r="A32" s="21">
        <v>45138</v>
      </c>
      <c r="B32" s="5">
        <v>1965.09</v>
      </c>
      <c r="C32" s="5">
        <v>1970.5</v>
      </c>
      <c r="D32" s="5">
        <v>7.5832933247812209</v>
      </c>
      <c r="E32" s="5">
        <v>7.5860425966350586</v>
      </c>
      <c r="F32" s="5">
        <v>2.3551458744226927E-2</v>
      </c>
      <c r="G32" s="5">
        <v>2.1078243898605464E-2</v>
      </c>
    </row>
    <row r="33" spans="1:7" x14ac:dyDescent="0.25">
      <c r="A33" s="21">
        <v>45169</v>
      </c>
      <c r="B33" s="5">
        <v>1940.19</v>
      </c>
      <c r="C33" s="5">
        <v>1947</v>
      </c>
      <c r="D33" s="5">
        <v>7.5705411854060767</v>
      </c>
      <c r="E33" s="5">
        <v>7.5740450053721995</v>
      </c>
      <c r="F33" s="5">
        <v>-1.2752139375144189E-2</v>
      </c>
      <c r="G33" s="5">
        <v>-1.1997591262859153E-2</v>
      </c>
    </row>
    <row r="34" spans="1:7" x14ac:dyDescent="0.25">
      <c r="A34" s="21">
        <v>45199</v>
      </c>
      <c r="B34" s="5">
        <v>1848.63</v>
      </c>
      <c r="C34" s="5">
        <v>1848.1</v>
      </c>
      <c r="D34" s="5">
        <v>7.522200103196238</v>
      </c>
      <c r="E34" s="5">
        <v>7.5219133632917101</v>
      </c>
      <c r="F34" s="5">
        <v>-4.8341082209838682E-2</v>
      </c>
      <c r="G34" s="5">
        <v>-5.2131642080489371E-2</v>
      </c>
    </row>
    <row r="35" spans="1:7" x14ac:dyDescent="0.25">
      <c r="A35" s="21">
        <v>45230</v>
      </c>
      <c r="B35" s="5">
        <v>1983.88</v>
      </c>
      <c r="C35" s="5">
        <v>1994.3</v>
      </c>
      <c r="D35" s="5">
        <v>7.5928098021446271</v>
      </c>
      <c r="E35" s="5">
        <v>7.5980483905591756</v>
      </c>
      <c r="F35" s="5">
        <v>7.0609698948389088E-2</v>
      </c>
      <c r="G35" s="5">
        <v>7.613502726746546E-2</v>
      </c>
    </row>
    <row r="36" spans="1:7" x14ac:dyDescent="0.25">
      <c r="A36" s="21">
        <v>45260</v>
      </c>
      <c r="B36" s="5">
        <v>2036.41</v>
      </c>
      <c r="C36" s="5">
        <v>2038.1</v>
      </c>
      <c r="D36" s="5">
        <v>7.6189437326427196</v>
      </c>
      <c r="E36" s="5">
        <v>7.6197732802923337</v>
      </c>
      <c r="F36" s="5">
        <v>2.6133930498092539E-2</v>
      </c>
      <c r="G36" s="5">
        <v>2.1724889733158115E-2</v>
      </c>
    </row>
    <row r="37" spans="1:7" x14ac:dyDescent="0.25">
      <c r="A37" s="21">
        <v>45291</v>
      </c>
      <c r="B37" s="5">
        <v>2062.98</v>
      </c>
      <c r="C37" s="5">
        <v>2071.8000000000002</v>
      </c>
      <c r="D37" s="5">
        <v>7.6319068184047723</v>
      </c>
      <c r="E37" s="5">
        <v>7.6361730736240014</v>
      </c>
      <c r="F37" s="5">
        <v>1.2963085762052629E-2</v>
      </c>
      <c r="G37" s="5">
        <v>1.6399793331667745E-2</v>
      </c>
    </row>
    <row r="38" spans="1:7" x14ac:dyDescent="0.25">
      <c r="A38" s="21">
        <v>45322</v>
      </c>
      <c r="B38" s="5">
        <v>2039.52</v>
      </c>
      <c r="C38" s="5">
        <v>2048.4</v>
      </c>
      <c r="D38" s="5">
        <v>7.6204697650346107</v>
      </c>
      <c r="E38" s="5">
        <v>7.6248142795883949</v>
      </c>
      <c r="F38" s="5">
        <v>-1.1437053370161543E-2</v>
      </c>
      <c r="G38" s="5">
        <v>-1.1358794035606579E-2</v>
      </c>
    </row>
    <row r="39" spans="1:7" x14ac:dyDescent="0.25">
      <c r="A39" s="21">
        <v>45351</v>
      </c>
      <c r="B39" s="5">
        <v>2044.3</v>
      </c>
      <c r="C39" s="5">
        <v>2054.6999999999998</v>
      </c>
      <c r="D39" s="5">
        <v>7.6228107115909625</v>
      </c>
      <c r="E39" s="5">
        <v>7.6278851308719693</v>
      </c>
      <c r="F39" s="5">
        <v>2.3409465563517529E-3</v>
      </c>
      <c r="G39" s="5">
        <v>3.0708512835744273E-3</v>
      </c>
    </row>
    <row r="40" spans="1:7" x14ac:dyDescent="0.25">
      <c r="A40" s="21">
        <v>45382</v>
      </c>
      <c r="B40" s="5">
        <v>2229.87</v>
      </c>
      <c r="C40" s="5">
        <v>2217.4</v>
      </c>
      <c r="D40" s="5">
        <v>7.7096985667907632</v>
      </c>
      <c r="E40" s="5">
        <v>7.7040906173382515</v>
      </c>
      <c r="F40" s="5">
        <v>8.688785519980069E-2</v>
      </c>
      <c r="G40" s="5">
        <v>7.6205486466282224E-2</v>
      </c>
    </row>
    <row r="41" spans="1:7" x14ac:dyDescent="0.25">
      <c r="A41" s="21">
        <v>45412</v>
      </c>
      <c r="B41" s="5">
        <v>2286.25</v>
      </c>
      <c r="C41" s="5">
        <v>2302.9</v>
      </c>
      <c r="D41" s="5">
        <v>7.7346681997050757</v>
      </c>
      <c r="E41" s="5">
        <v>7.7419244772539706</v>
      </c>
      <c r="F41" s="5">
        <v>2.4969632914312534E-2</v>
      </c>
      <c r="G41" s="5">
        <v>3.7833859915719081E-2</v>
      </c>
    </row>
    <row r="42" spans="1:7" x14ac:dyDescent="0.25">
      <c r="A42" s="21">
        <v>45443</v>
      </c>
      <c r="B42" s="5">
        <v>2327.33</v>
      </c>
      <c r="C42" s="5">
        <v>2322.9</v>
      </c>
      <c r="D42" s="5">
        <v>7.7524769667414777</v>
      </c>
      <c r="E42" s="5">
        <v>7.7505716840607874</v>
      </c>
      <c r="F42" s="5">
        <v>1.7808767036401996E-2</v>
      </c>
      <c r="G42" s="5">
        <v>8.6472068068168539E-3</v>
      </c>
    </row>
    <row r="43" spans="1:7" x14ac:dyDescent="0.25">
      <c r="A43" s="21">
        <v>45473</v>
      </c>
      <c r="B43" s="5">
        <v>2326.75</v>
      </c>
      <c r="C43" s="5">
        <v>2339.6</v>
      </c>
      <c r="D43" s="5">
        <v>7.7522277230658201</v>
      </c>
      <c r="E43" s="5">
        <v>7.7577352535688711</v>
      </c>
      <c r="F43" s="5">
        <v>-2.4924367565759553E-4</v>
      </c>
      <c r="G43" s="5">
        <v>7.1635695080836115E-3</v>
      </c>
    </row>
    <row r="44" spans="1:7" x14ac:dyDescent="0.25">
      <c r="A44" s="21">
        <v>45504</v>
      </c>
      <c r="B44" s="5">
        <v>2447.6</v>
      </c>
      <c r="C44" s="5">
        <v>2426.5</v>
      </c>
      <c r="D44" s="5">
        <v>7.8028632315883852</v>
      </c>
      <c r="E44" s="5">
        <v>7.7942051688452709</v>
      </c>
      <c r="F44" s="5">
        <v>5.0635508522565154E-2</v>
      </c>
      <c r="G44" s="5">
        <v>3.6469915276399867E-2</v>
      </c>
    </row>
    <row r="45" spans="1:7" x14ac:dyDescent="0.25">
      <c r="A45" s="21">
        <v>45535</v>
      </c>
      <c r="B45" s="5">
        <v>2503.39</v>
      </c>
      <c r="C45" s="5">
        <v>2504.5</v>
      </c>
      <c r="D45" s="5">
        <v>7.8254010923185566</v>
      </c>
      <c r="E45" s="5">
        <v>7.8258443927976717</v>
      </c>
      <c r="F45" s="5">
        <v>2.2537860730171388E-2</v>
      </c>
      <c r="G45" s="5">
        <v>3.1639223952400819E-2</v>
      </c>
    </row>
    <row r="46" spans="1:7" x14ac:dyDescent="0.25">
      <c r="A46" s="21">
        <v>45565</v>
      </c>
      <c r="B46" s="5">
        <v>2634.58</v>
      </c>
      <c r="C46" s="5">
        <v>2636.1</v>
      </c>
      <c r="D46" s="5">
        <v>7.8764790554817079</v>
      </c>
      <c r="E46" s="5">
        <v>7.8770558311699075</v>
      </c>
      <c r="F46" s="5">
        <v>5.1077963163151274E-2</v>
      </c>
      <c r="G46" s="5">
        <v>5.121143837223574E-2</v>
      </c>
    </row>
    <row r="47" spans="1:7" x14ac:dyDescent="0.25">
      <c r="A47" s="21">
        <v>45596</v>
      </c>
      <c r="B47" s="5">
        <v>2743.97</v>
      </c>
      <c r="C47" s="5">
        <v>2749.3</v>
      </c>
      <c r="D47" s="5">
        <v>7.9171610558414045</v>
      </c>
      <c r="E47" s="5">
        <v>7.9191016128038791</v>
      </c>
      <c r="F47" s="5">
        <v>4.0682000359696602E-2</v>
      </c>
      <c r="G47" s="5">
        <v>4.2045781633971657E-2</v>
      </c>
    </row>
    <row r="48" spans="1:7" x14ac:dyDescent="0.25">
      <c r="A48" s="21">
        <v>45626</v>
      </c>
      <c r="B48" s="5">
        <v>2643.15</v>
      </c>
      <c r="C48" s="5">
        <v>2657</v>
      </c>
      <c r="D48" s="5">
        <v>7.8797266666828492</v>
      </c>
      <c r="E48" s="5">
        <v>7.8849529457598138</v>
      </c>
      <c r="F48" s="5">
        <v>-3.7434389158555348E-2</v>
      </c>
      <c r="G48" s="5">
        <v>-3.4148667044065384E-2</v>
      </c>
    </row>
    <row r="49" spans="1:7" x14ac:dyDescent="0.25">
      <c r="A49" s="21">
        <v>45657</v>
      </c>
      <c r="B49" s="5">
        <v>2624.5</v>
      </c>
      <c r="C49" s="5">
        <v>2641</v>
      </c>
      <c r="D49" s="5">
        <v>7.8726456806923544</v>
      </c>
      <c r="E49" s="5">
        <v>7.8789129122971326</v>
      </c>
      <c r="F49" s="5">
        <v>-7.0809859904947814E-3</v>
      </c>
      <c r="G49" s="5">
        <v>-6.0400334626811159E-3</v>
      </c>
    </row>
    <row r="50" spans="1:7" x14ac:dyDescent="0.25">
      <c r="A50" s="21">
        <v>45688</v>
      </c>
      <c r="B50" s="5">
        <v>2798.41</v>
      </c>
      <c r="C50" s="5">
        <v>2812.5</v>
      </c>
      <c r="D50" s="5">
        <v>7.9368066777285078</v>
      </c>
      <c r="E50" s="5">
        <v>7.9418290465126757</v>
      </c>
      <c r="F50" s="5">
        <v>6.4160997036153411E-2</v>
      </c>
      <c r="G50" s="5">
        <v>6.2916134215543096E-2</v>
      </c>
    </row>
    <row r="51" spans="1:7" x14ac:dyDescent="0.25">
      <c r="A51" s="21">
        <v>45716</v>
      </c>
      <c r="B51" s="5">
        <v>2857.83</v>
      </c>
      <c r="C51" s="5">
        <v>2848.5</v>
      </c>
      <c r="D51" s="5">
        <v>7.9578178745653254</v>
      </c>
      <c r="E51" s="5">
        <v>7.9545478189204504</v>
      </c>
      <c r="F51" s="5">
        <v>2.1011196836817625E-2</v>
      </c>
      <c r="G51" s="5">
        <v>1.2718772407774637E-2</v>
      </c>
    </row>
    <row r="52" spans="1:7" x14ac:dyDescent="0.25">
      <c r="A52" s="21">
        <v>45747</v>
      </c>
      <c r="B52" s="5">
        <v>3123.57</v>
      </c>
      <c r="C52" s="5">
        <v>3122.8</v>
      </c>
      <c r="D52" s="5">
        <v>8.0467318574396707</v>
      </c>
      <c r="E52" s="5">
        <v>8.0464853142461354</v>
      </c>
      <c r="F52" s="5">
        <v>8.8913982874345265E-2</v>
      </c>
      <c r="G52" s="5">
        <v>9.193749532568507E-2</v>
      </c>
    </row>
    <row r="53" spans="1:7" x14ac:dyDescent="0.25">
      <c r="A53" s="21">
        <v>45777</v>
      </c>
      <c r="B53" s="5">
        <v>3288.71</v>
      </c>
      <c r="C53" s="5">
        <v>3319.1</v>
      </c>
      <c r="D53" s="5">
        <v>8.0982506696047487</v>
      </c>
      <c r="E53" s="5">
        <v>8.1074489408231845</v>
      </c>
      <c r="F53" s="5">
        <v>5.1518812165078032E-2</v>
      </c>
      <c r="G53" s="5">
        <v>6.0963626577049013E-2</v>
      </c>
    </row>
    <row r="54" spans="1:7" x14ac:dyDescent="0.25">
      <c r="A54" s="21">
        <v>45808</v>
      </c>
      <c r="B54" s="5">
        <v>3289.25</v>
      </c>
      <c r="C54" s="5">
        <v>3288.9</v>
      </c>
      <c r="D54" s="5">
        <v>8.0984148542459469</v>
      </c>
      <c r="E54" s="5">
        <v>8.0983084413486033</v>
      </c>
      <c r="F54" s="5">
        <v>1.6418464119816178E-4</v>
      </c>
      <c r="G54" s="5">
        <v>-9.1404994745811763E-3</v>
      </c>
    </row>
    <row r="55" spans="1:7" x14ac:dyDescent="0.25">
      <c r="A55" s="21">
        <v>45838</v>
      </c>
      <c r="B55" s="5">
        <v>3303.14</v>
      </c>
      <c r="C55" s="5">
        <v>3307.7</v>
      </c>
      <c r="D55" s="5">
        <v>8.1026288102025017</v>
      </c>
      <c r="E55" s="5">
        <v>8.1040083627928539</v>
      </c>
      <c r="F55" s="5">
        <v>4.2139559565548268E-3</v>
      </c>
      <c r="G55" s="5">
        <v>5.6999214442505775E-3</v>
      </c>
    </row>
    <row r="56" spans="1:7" x14ac:dyDescent="0.25">
      <c r="A56" s="21">
        <v>45869</v>
      </c>
      <c r="B56" s="5">
        <v>3289.93</v>
      </c>
      <c r="C56" s="5">
        <v>3293.2</v>
      </c>
      <c r="D56" s="5">
        <v>8.0986215669373234</v>
      </c>
      <c r="E56" s="5">
        <v>8.0996150154242716</v>
      </c>
      <c r="F56" s="5">
        <v>-4.0072432651783174E-3</v>
      </c>
      <c r="G56" s="5">
        <v>-4.3933473685822122E-3</v>
      </c>
    </row>
    <row r="57" spans="1:7" x14ac:dyDescent="0.25">
      <c r="A57" s="21">
        <v>45900</v>
      </c>
      <c r="B57" s="5">
        <v>3447.95</v>
      </c>
      <c r="C57" s="5">
        <v>3487.2</v>
      </c>
      <c r="D57" s="5">
        <v>8.1455351305183488</v>
      </c>
      <c r="E57" s="5">
        <v>8.1568544009241819</v>
      </c>
      <c r="F57" s="5">
        <v>4.6913563581025386E-2</v>
      </c>
      <c r="G57" s="5">
        <v>5.7239385499910256E-2</v>
      </c>
    </row>
    <row r="58" spans="1:7" x14ac:dyDescent="0.25">
      <c r="A58" s="21">
        <v>45930</v>
      </c>
      <c r="B58" s="5">
        <v>3858.96</v>
      </c>
      <c r="C58" s="5">
        <v>3840.8</v>
      </c>
      <c r="D58" s="5">
        <v>8.2581529961042666</v>
      </c>
      <c r="E58" s="5">
        <v>8.2534359572167304</v>
      </c>
      <c r="F58" s="5">
        <v>0.1126178655859178</v>
      </c>
      <c r="G58" s="5">
        <v>9.6581556292548498E-2</v>
      </c>
    </row>
    <row r="59" spans="1:7" x14ac:dyDescent="0.25">
      <c r="A59" s="21">
        <v>45961</v>
      </c>
      <c r="B59" s="5">
        <v>4002.92</v>
      </c>
      <c r="C59" s="5">
        <v>3996.5</v>
      </c>
      <c r="D59" s="5">
        <v>8.2947793737816298</v>
      </c>
      <c r="E59" s="5">
        <v>8.2931742570660738</v>
      </c>
      <c r="F59" s="5">
        <v>3.6626377677363209E-2</v>
      </c>
      <c r="G59" s="5">
        <v>3.9738299849343406E-2</v>
      </c>
    </row>
    <row r="60" spans="1:7" x14ac:dyDescent="0.25">
      <c r="A60" s="21">
        <v>45991</v>
      </c>
      <c r="B60" s="5">
        <v>4239.43</v>
      </c>
      <c r="C60" s="5">
        <v>4218.3</v>
      </c>
      <c r="D60" s="5">
        <v>8.3521841052266836</v>
      </c>
      <c r="E60" s="5">
        <v>8.3471874822648804</v>
      </c>
      <c r="F60" s="5">
        <v>5.7404731445053869E-2</v>
      </c>
      <c r="G60" s="5">
        <v>5.401322519880658E-2</v>
      </c>
    </row>
    <row r="61" spans="1:7" x14ac:dyDescent="0.25">
      <c r="A61" s="21">
        <v>46022</v>
      </c>
      <c r="B61" s="5">
        <v>4319.37</v>
      </c>
      <c r="C61" s="5">
        <v>4341.1000000000004</v>
      </c>
      <c r="D61" s="5">
        <v>8.3708648372701084</v>
      </c>
      <c r="E61" s="5">
        <v>8.3758830512010469</v>
      </c>
      <c r="F61" s="5">
        <v>1.8680732043424797E-2</v>
      </c>
      <c r="G61" s="5">
        <v>2.8695568936166538E-2</v>
      </c>
    </row>
    <row r="62" spans="1:7" x14ac:dyDescent="0.25">
      <c r="A62" s="21"/>
      <c r="B62" s="5"/>
      <c r="C62" s="5"/>
    </row>
    <row r="63" spans="1:7" x14ac:dyDescent="0.25">
      <c r="A63" s="21"/>
      <c r="B63" s="5"/>
      <c r="C63" s="5"/>
    </row>
    <row r="64" spans="1:7" x14ac:dyDescent="0.25">
      <c r="A64" s="21"/>
      <c r="B64" s="5"/>
      <c r="C64" s="5"/>
    </row>
    <row r="65" spans="1:3" x14ac:dyDescent="0.25">
      <c r="A65" s="21"/>
      <c r="B65" s="5"/>
      <c r="C65" s="5"/>
    </row>
    <row r="66" spans="1:3" x14ac:dyDescent="0.25">
      <c r="A66" s="21"/>
      <c r="B66" s="5"/>
      <c r="C66" s="5"/>
    </row>
    <row r="67" spans="1:3" x14ac:dyDescent="0.25">
      <c r="A67" s="21"/>
      <c r="B67" s="5"/>
      <c r="C67" s="5"/>
    </row>
    <row r="68" spans="1:3" x14ac:dyDescent="0.25">
      <c r="A68" s="21"/>
      <c r="B68" s="5"/>
      <c r="C68" s="5"/>
    </row>
    <row r="69" spans="1:3" x14ac:dyDescent="0.25">
      <c r="A69" s="21"/>
      <c r="B69" s="5"/>
      <c r="C69" s="5"/>
    </row>
    <row r="70" spans="1:3" x14ac:dyDescent="0.25">
      <c r="A70" s="21"/>
      <c r="B70" s="5"/>
      <c r="C70" s="5"/>
    </row>
    <row r="71" spans="1:3" x14ac:dyDescent="0.25">
      <c r="A71" s="21"/>
      <c r="B71" s="5"/>
      <c r="C71" s="5"/>
    </row>
    <row r="72" spans="1:3" x14ac:dyDescent="0.25">
      <c r="A72" s="21"/>
      <c r="B72" s="5"/>
      <c r="C72" s="5"/>
    </row>
    <row r="73" spans="1:3" x14ac:dyDescent="0.25">
      <c r="A73" s="21"/>
      <c r="B73" s="5"/>
      <c r="C73" s="5"/>
    </row>
    <row r="74" spans="1:3" x14ac:dyDescent="0.25">
      <c r="A74" s="21"/>
      <c r="B74" s="5"/>
      <c r="C74" s="5"/>
    </row>
    <row r="75" spans="1:3" x14ac:dyDescent="0.25">
      <c r="A75" s="21"/>
      <c r="B75" s="5"/>
      <c r="C75" s="5"/>
    </row>
    <row r="76" spans="1:3" x14ac:dyDescent="0.25">
      <c r="A76" s="21"/>
      <c r="B76" s="5"/>
      <c r="C76" s="5"/>
    </row>
    <row r="77" spans="1:3" x14ac:dyDescent="0.25">
      <c r="A77" s="21"/>
      <c r="B77" s="5"/>
      <c r="C77" s="5"/>
    </row>
    <row r="78" spans="1:3" x14ac:dyDescent="0.25">
      <c r="A78" s="21"/>
      <c r="B78" s="5"/>
      <c r="C78" s="5"/>
    </row>
    <row r="79" spans="1:3" x14ac:dyDescent="0.25">
      <c r="A79" s="21"/>
      <c r="B79" s="5"/>
      <c r="C79" s="5"/>
    </row>
    <row r="80" spans="1:3" x14ac:dyDescent="0.25">
      <c r="A80" s="21"/>
      <c r="B80" s="5"/>
      <c r="C80" s="5"/>
    </row>
    <row r="81" spans="1:3" x14ac:dyDescent="0.25">
      <c r="A81" s="21"/>
      <c r="B81" s="5"/>
      <c r="C81" s="5"/>
    </row>
    <row r="82" spans="1:3" x14ac:dyDescent="0.25">
      <c r="A82" s="21"/>
      <c r="B82" s="5"/>
      <c r="C82" s="5"/>
    </row>
    <row r="83" spans="1:3" x14ac:dyDescent="0.25">
      <c r="A83" s="21"/>
      <c r="B83" s="5"/>
      <c r="C83" s="5"/>
    </row>
    <row r="84" spans="1:3" x14ac:dyDescent="0.25">
      <c r="A84" s="21"/>
      <c r="B84" s="5"/>
      <c r="C84" s="5"/>
    </row>
    <row r="85" spans="1:3" x14ac:dyDescent="0.25">
      <c r="A85" s="21"/>
      <c r="B85" s="5"/>
      <c r="C85" s="5"/>
    </row>
    <row r="86" spans="1:3" x14ac:dyDescent="0.25">
      <c r="A86" s="21"/>
      <c r="B86" s="5"/>
      <c r="C86" s="5"/>
    </row>
    <row r="87" spans="1:3" x14ac:dyDescent="0.25">
      <c r="A87" s="21"/>
      <c r="B87" s="5"/>
      <c r="C87" s="5"/>
    </row>
    <row r="88" spans="1:3" x14ac:dyDescent="0.25">
      <c r="A88" s="21"/>
      <c r="B88" s="5"/>
      <c r="C88" s="5"/>
    </row>
    <row r="89" spans="1:3" x14ac:dyDescent="0.25">
      <c r="A89" s="21"/>
      <c r="B89" s="5"/>
      <c r="C89" s="5"/>
    </row>
    <row r="90" spans="1:3" x14ac:dyDescent="0.25">
      <c r="A90" s="21"/>
      <c r="B90" s="5"/>
      <c r="C90" s="5"/>
    </row>
    <row r="91" spans="1:3" x14ac:dyDescent="0.25">
      <c r="A91" s="21"/>
      <c r="B91" s="5"/>
      <c r="C91" s="5"/>
    </row>
    <row r="92" spans="1:3" x14ac:dyDescent="0.25">
      <c r="A92" s="21"/>
      <c r="B92" s="5"/>
      <c r="C92" s="5"/>
    </row>
    <row r="93" spans="1:3" x14ac:dyDescent="0.25">
      <c r="A93" s="21"/>
      <c r="B93" s="5"/>
      <c r="C93" s="5"/>
    </row>
    <row r="94" spans="1:3" x14ac:dyDescent="0.25">
      <c r="A94" s="21"/>
      <c r="B94" s="5"/>
      <c r="C94" s="5"/>
    </row>
    <row r="95" spans="1:3" x14ac:dyDescent="0.25">
      <c r="A95" s="21"/>
      <c r="B95" s="5"/>
      <c r="C95" s="5"/>
    </row>
    <row r="96" spans="1:3" x14ac:dyDescent="0.25">
      <c r="A96" s="21"/>
      <c r="B96" s="5"/>
      <c r="C96" s="5"/>
    </row>
    <row r="97" spans="1:3" x14ac:dyDescent="0.25">
      <c r="A97" s="21"/>
      <c r="B97" s="5"/>
      <c r="C97" s="5"/>
    </row>
    <row r="98" spans="1:3" x14ac:dyDescent="0.25">
      <c r="A98" s="21"/>
      <c r="B98" s="5"/>
      <c r="C98" s="5"/>
    </row>
    <row r="99" spans="1:3" x14ac:dyDescent="0.25">
      <c r="A99" s="21"/>
      <c r="B99" s="5"/>
      <c r="C99" s="5"/>
    </row>
    <row r="100" spans="1:3" x14ac:dyDescent="0.25">
      <c r="A100" s="21"/>
      <c r="B100" s="5"/>
      <c r="C100" s="5"/>
    </row>
    <row r="101" spans="1:3" x14ac:dyDescent="0.25">
      <c r="A101" s="21"/>
      <c r="B101" s="5"/>
      <c r="C101" s="5"/>
    </row>
    <row r="102" spans="1:3" x14ac:dyDescent="0.25">
      <c r="A102" s="21"/>
      <c r="B102" s="5"/>
      <c r="C102" s="5"/>
    </row>
    <row r="103" spans="1:3" x14ac:dyDescent="0.25">
      <c r="A103" s="21"/>
      <c r="B103" s="5"/>
      <c r="C103" s="5"/>
    </row>
    <row r="104" spans="1:3" x14ac:dyDescent="0.25">
      <c r="A104" s="21"/>
      <c r="B104" s="5"/>
      <c r="C104" s="5"/>
    </row>
    <row r="105" spans="1:3" x14ac:dyDescent="0.25">
      <c r="A105" s="21"/>
      <c r="B105" s="5"/>
      <c r="C105" s="5"/>
    </row>
    <row r="106" spans="1:3" x14ac:dyDescent="0.25">
      <c r="A106" s="21"/>
      <c r="B106" s="5"/>
      <c r="C106" s="5"/>
    </row>
    <row r="107" spans="1:3" x14ac:dyDescent="0.25">
      <c r="A107" s="21"/>
      <c r="B107" s="5"/>
      <c r="C107" s="5"/>
    </row>
    <row r="108" spans="1:3" x14ac:dyDescent="0.25">
      <c r="A108" s="21"/>
      <c r="B108" s="5"/>
      <c r="C108" s="5"/>
    </row>
    <row r="109" spans="1:3" x14ac:dyDescent="0.25">
      <c r="A109" s="21"/>
      <c r="B109" s="5"/>
      <c r="C109" s="5"/>
    </row>
    <row r="110" spans="1:3" x14ac:dyDescent="0.25">
      <c r="A110" s="21"/>
      <c r="B110" s="5"/>
      <c r="C110" s="5"/>
    </row>
    <row r="111" spans="1:3" x14ac:dyDescent="0.25">
      <c r="A111" s="21"/>
      <c r="B111" s="5"/>
      <c r="C111" s="5"/>
    </row>
    <row r="112" spans="1:3" x14ac:dyDescent="0.25">
      <c r="A112" s="21"/>
      <c r="B112" s="5"/>
      <c r="C112" s="5"/>
    </row>
    <row r="113" spans="1:3" x14ac:dyDescent="0.25">
      <c r="A113" s="21"/>
      <c r="B113" s="5"/>
      <c r="C113" s="5"/>
    </row>
    <row r="114" spans="1:3" x14ac:dyDescent="0.25">
      <c r="A114" s="21"/>
      <c r="B114" s="5"/>
      <c r="C114" s="5"/>
    </row>
    <row r="115" spans="1:3" x14ac:dyDescent="0.25">
      <c r="A115" s="21"/>
      <c r="B115" s="5"/>
      <c r="C115" s="5"/>
    </row>
    <row r="116" spans="1:3" x14ac:dyDescent="0.25">
      <c r="A116" s="21"/>
      <c r="B116" s="5"/>
      <c r="C116" s="5"/>
    </row>
    <row r="117" spans="1:3" x14ac:dyDescent="0.25">
      <c r="A117" s="21"/>
      <c r="B117" s="5"/>
      <c r="C117" s="5"/>
    </row>
    <row r="118" spans="1:3" x14ac:dyDescent="0.25">
      <c r="A118" s="21"/>
      <c r="B118" s="5"/>
      <c r="C118" s="5"/>
    </row>
    <row r="119" spans="1:3" x14ac:dyDescent="0.25">
      <c r="A119" s="21"/>
      <c r="B119" s="5"/>
      <c r="C119" s="5"/>
    </row>
    <row r="120" spans="1:3" x14ac:dyDescent="0.25">
      <c r="A120" s="21"/>
      <c r="B120" s="5"/>
      <c r="C120" s="5"/>
    </row>
    <row r="121" spans="1:3" x14ac:dyDescent="0.25">
      <c r="A121" s="21"/>
      <c r="B121" s="5"/>
      <c r="C121" s="5"/>
    </row>
    <row r="122" spans="1:3" x14ac:dyDescent="0.25">
      <c r="A122" s="21"/>
      <c r="B122" s="5"/>
      <c r="C122" s="5"/>
    </row>
    <row r="123" spans="1:3" x14ac:dyDescent="0.25">
      <c r="A123" s="21"/>
      <c r="B123" s="5"/>
      <c r="C123" s="5"/>
    </row>
    <row r="124" spans="1:3" x14ac:dyDescent="0.25">
      <c r="A124" s="21"/>
      <c r="B124" s="5"/>
      <c r="C124" s="5"/>
    </row>
    <row r="125" spans="1:3" x14ac:dyDescent="0.25">
      <c r="A125" s="21"/>
      <c r="B125" s="5"/>
      <c r="C125" s="5"/>
    </row>
    <row r="126" spans="1:3" x14ac:dyDescent="0.25">
      <c r="A126" s="21"/>
      <c r="B126" s="5"/>
      <c r="C126" s="5"/>
    </row>
    <row r="127" spans="1:3" x14ac:dyDescent="0.25">
      <c r="A127" s="21"/>
      <c r="B127" s="5"/>
      <c r="C127" s="5"/>
    </row>
    <row r="128" spans="1:3" x14ac:dyDescent="0.25">
      <c r="A128" s="21"/>
      <c r="B128" s="5"/>
      <c r="C128" s="5"/>
    </row>
    <row r="129" spans="1:3" x14ac:dyDescent="0.25">
      <c r="A129" s="21"/>
      <c r="B129" s="5"/>
      <c r="C129" s="5"/>
    </row>
    <row r="130" spans="1:3" x14ac:dyDescent="0.25">
      <c r="A130" s="21"/>
      <c r="B130" s="5"/>
      <c r="C130" s="5"/>
    </row>
    <row r="131" spans="1:3" x14ac:dyDescent="0.25">
      <c r="A131" s="21"/>
      <c r="B131" s="5"/>
      <c r="C131" s="5"/>
    </row>
    <row r="132" spans="1:3" x14ac:dyDescent="0.25">
      <c r="A132" s="21"/>
      <c r="B132" s="5"/>
      <c r="C132" s="5"/>
    </row>
    <row r="133" spans="1:3" x14ac:dyDescent="0.25">
      <c r="A133" s="21"/>
      <c r="B133" s="5"/>
      <c r="C133" s="5"/>
    </row>
    <row r="134" spans="1:3" x14ac:dyDescent="0.25">
      <c r="A134" s="21"/>
      <c r="B134" s="5"/>
      <c r="C134" s="5"/>
    </row>
    <row r="135" spans="1:3" x14ac:dyDescent="0.25">
      <c r="A135" s="21"/>
      <c r="B135" s="5"/>
      <c r="C135" s="5"/>
    </row>
    <row r="136" spans="1:3" x14ac:dyDescent="0.25">
      <c r="A136" s="21"/>
      <c r="B136" s="5"/>
      <c r="C136" s="5"/>
    </row>
    <row r="137" spans="1:3" x14ac:dyDescent="0.25">
      <c r="A137" s="21"/>
      <c r="B137" s="5"/>
      <c r="C137" s="5"/>
    </row>
    <row r="138" spans="1:3" x14ac:dyDescent="0.25">
      <c r="A138" s="21"/>
      <c r="B138" s="5"/>
      <c r="C138" s="5"/>
    </row>
    <row r="139" spans="1:3" x14ac:dyDescent="0.25">
      <c r="A139" s="21"/>
      <c r="B139" s="5"/>
      <c r="C139" s="5"/>
    </row>
    <row r="140" spans="1:3" x14ac:dyDescent="0.25">
      <c r="A140" s="21"/>
      <c r="B140" s="5"/>
      <c r="C140" s="5"/>
    </row>
    <row r="141" spans="1:3" x14ac:dyDescent="0.25">
      <c r="A141" s="21"/>
      <c r="B141" s="5"/>
      <c r="C141" s="5"/>
    </row>
    <row r="142" spans="1:3" x14ac:dyDescent="0.25">
      <c r="A142" s="21"/>
      <c r="B142" s="5"/>
      <c r="C142" s="5"/>
    </row>
    <row r="143" spans="1:3" x14ac:dyDescent="0.25">
      <c r="A143" s="21"/>
      <c r="B143" s="5"/>
      <c r="C143" s="5"/>
    </row>
    <row r="144" spans="1:3" x14ac:dyDescent="0.25">
      <c r="A144" s="21"/>
      <c r="B144" s="5"/>
      <c r="C144" s="5"/>
    </row>
    <row r="145" spans="1:3" x14ac:dyDescent="0.25">
      <c r="A145" s="21"/>
      <c r="B145" s="5"/>
      <c r="C145" s="5"/>
    </row>
    <row r="146" spans="1:3" x14ac:dyDescent="0.25">
      <c r="A146" s="21"/>
      <c r="B146" s="5"/>
      <c r="C146" s="5"/>
    </row>
    <row r="147" spans="1:3" x14ac:dyDescent="0.25">
      <c r="A147" s="21"/>
      <c r="B147" s="5"/>
      <c r="C147" s="5"/>
    </row>
    <row r="148" spans="1:3" x14ac:dyDescent="0.25">
      <c r="A148" s="21"/>
      <c r="B148" s="5"/>
      <c r="C148" s="5"/>
    </row>
    <row r="149" spans="1:3" x14ac:dyDescent="0.25">
      <c r="A149" s="21"/>
      <c r="B149" s="5"/>
      <c r="C149" s="5"/>
    </row>
    <row r="150" spans="1:3" x14ac:dyDescent="0.25">
      <c r="A150" s="21"/>
      <c r="B150" s="5"/>
      <c r="C150" s="5"/>
    </row>
    <row r="151" spans="1:3" x14ac:dyDescent="0.25">
      <c r="A151" s="21"/>
      <c r="B151" s="5"/>
      <c r="C151" s="5"/>
    </row>
    <row r="152" spans="1:3" x14ac:dyDescent="0.25">
      <c r="A152" s="21"/>
      <c r="B152" s="5"/>
      <c r="C152" s="5"/>
    </row>
    <row r="153" spans="1:3" x14ac:dyDescent="0.25">
      <c r="A153" s="21"/>
      <c r="B153" s="5"/>
      <c r="C153" s="5"/>
    </row>
    <row r="154" spans="1:3" x14ac:dyDescent="0.25">
      <c r="A154" s="21"/>
      <c r="B154" s="5"/>
      <c r="C154" s="5"/>
    </row>
    <row r="155" spans="1:3" x14ac:dyDescent="0.25">
      <c r="A155" s="21"/>
      <c r="B155" s="5"/>
      <c r="C155" s="5"/>
    </row>
    <row r="156" spans="1:3" x14ac:dyDescent="0.25">
      <c r="A156" s="21"/>
      <c r="B156" s="5"/>
      <c r="C156" s="5"/>
    </row>
    <row r="157" spans="1:3" x14ac:dyDescent="0.25">
      <c r="A157" s="21"/>
      <c r="B157" s="5"/>
      <c r="C157" s="5"/>
    </row>
    <row r="158" spans="1:3" x14ac:dyDescent="0.25">
      <c r="A158" s="21"/>
      <c r="B158" s="5"/>
      <c r="C158" s="5"/>
    </row>
    <row r="159" spans="1:3" x14ac:dyDescent="0.25">
      <c r="A159" s="21"/>
      <c r="B159" s="5"/>
      <c r="C159" s="5"/>
    </row>
    <row r="160" spans="1:3" x14ac:dyDescent="0.25">
      <c r="A160" s="21"/>
      <c r="B160" s="5"/>
      <c r="C160" s="5"/>
    </row>
    <row r="161" spans="1:3" x14ac:dyDescent="0.25">
      <c r="A161" s="21"/>
      <c r="B161" s="5"/>
      <c r="C161" s="5"/>
    </row>
    <row r="162" spans="1:3" x14ac:dyDescent="0.25">
      <c r="A162" s="21"/>
      <c r="B162" s="5"/>
      <c r="C162" s="5"/>
    </row>
    <row r="163" spans="1:3" x14ac:dyDescent="0.25">
      <c r="A163" s="21"/>
      <c r="B163" s="5"/>
      <c r="C163" s="5"/>
    </row>
    <row r="164" spans="1:3" x14ac:dyDescent="0.25">
      <c r="A164" s="21"/>
      <c r="B164" s="5"/>
      <c r="C164" s="5"/>
    </row>
    <row r="165" spans="1:3" x14ac:dyDescent="0.25">
      <c r="A165" s="21"/>
      <c r="B165" s="5"/>
      <c r="C165" s="5"/>
    </row>
    <row r="166" spans="1:3" x14ac:dyDescent="0.25">
      <c r="A166" s="21"/>
      <c r="B166" s="5"/>
      <c r="C166" s="5"/>
    </row>
    <row r="167" spans="1:3" x14ac:dyDescent="0.25">
      <c r="A167" s="21"/>
      <c r="B167" s="5"/>
      <c r="C167" s="5"/>
    </row>
    <row r="168" spans="1:3" x14ac:dyDescent="0.25">
      <c r="A168" s="21"/>
      <c r="B168" s="5"/>
      <c r="C168" s="5"/>
    </row>
    <row r="169" spans="1:3" x14ac:dyDescent="0.25">
      <c r="A169" s="21"/>
      <c r="B169" s="5"/>
      <c r="C169" s="5"/>
    </row>
    <row r="170" spans="1:3" x14ac:dyDescent="0.25">
      <c r="A170" s="21"/>
      <c r="B170" s="5"/>
      <c r="C170" s="5"/>
    </row>
    <row r="171" spans="1:3" x14ac:dyDescent="0.25">
      <c r="A171" s="21"/>
      <c r="B171" s="5"/>
      <c r="C171" s="5"/>
    </row>
    <row r="172" spans="1:3" x14ac:dyDescent="0.25">
      <c r="A172" s="21"/>
      <c r="B172" s="5"/>
      <c r="C172" s="5"/>
    </row>
    <row r="173" spans="1:3" x14ac:dyDescent="0.25">
      <c r="A173" s="21"/>
      <c r="B173" s="5"/>
      <c r="C173" s="5"/>
    </row>
    <row r="174" spans="1:3" x14ac:dyDescent="0.25">
      <c r="A174" s="21"/>
      <c r="B174" s="5"/>
      <c r="C174" s="5"/>
    </row>
    <row r="175" spans="1:3" x14ac:dyDescent="0.25">
      <c r="A175" s="21"/>
      <c r="B175" s="5"/>
      <c r="C175" s="5"/>
    </row>
    <row r="176" spans="1:3" x14ac:dyDescent="0.25">
      <c r="A176" s="21"/>
      <c r="B176" s="5"/>
      <c r="C176" s="5"/>
    </row>
    <row r="177" spans="1:3" x14ac:dyDescent="0.25">
      <c r="A177" s="21"/>
      <c r="B177" s="5"/>
      <c r="C177" s="5"/>
    </row>
    <row r="178" spans="1:3" x14ac:dyDescent="0.25">
      <c r="A178" s="21"/>
      <c r="B178" s="5"/>
      <c r="C178" s="5"/>
    </row>
    <row r="179" spans="1:3" x14ac:dyDescent="0.25">
      <c r="A179" s="21"/>
      <c r="B179" s="5"/>
      <c r="C179" s="5"/>
    </row>
    <row r="180" spans="1:3" x14ac:dyDescent="0.25">
      <c r="A180" s="21"/>
      <c r="B180" s="5"/>
      <c r="C180" s="5"/>
    </row>
    <row r="181" spans="1:3" x14ac:dyDescent="0.25">
      <c r="A181" s="21"/>
      <c r="B181" s="5"/>
      <c r="C181" s="5"/>
    </row>
    <row r="182" spans="1:3" x14ac:dyDescent="0.25">
      <c r="A182" s="21"/>
      <c r="B182" s="5"/>
      <c r="C182" s="5"/>
    </row>
    <row r="183" spans="1:3" x14ac:dyDescent="0.25">
      <c r="A183" s="21"/>
      <c r="B183" s="5"/>
      <c r="C183" s="5"/>
    </row>
    <row r="184" spans="1:3" x14ac:dyDescent="0.25">
      <c r="A184" s="21"/>
      <c r="B184" s="5"/>
      <c r="C184" s="5"/>
    </row>
    <row r="185" spans="1:3" x14ac:dyDescent="0.25">
      <c r="A185" s="21"/>
      <c r="B185" s="5"/>
      <c r="C185" s="5"/>
    </row>
    <row r="186" spans="1:3" x14ac:dyDescent="0.25">
      <c r="A186" s="21"/>
      <c r="B186" s="5"/>
      <c r="C186" s="5"/>
    </row>
    <row r="187" spans="1:3" x14ac:dyDescent="0.25">
      <c r="A187" s="21"/>
      <c r="B187" s="5"/>
      <c r="C187" s="5"/>
    </row>
    <row r="188" spans="1:3" x14ac:dyDescent="0.25">
      <c r="A188" s="21"/>
      <c r="B188" s="5"/>
      <c r="C188" s="5"/>
    </row>
    <row r="189" spans="1:3" x14ac:dyDescent="0.25">
      <c r="A189" s="21"/>
      <c r="B189" s="5"/>
      <c r="C189" s="5"/>
    </row>
    <row r="190" spans="1:3" x14ac:dyDescent="0.25">
      <c r="A190" s="21"/>
      <c r="B190" s="5"/>
      <c r="C190" s="5"/>
    </row>
    <row r="191" spans="1:3" x14ac:dyDescent="0.25">
      <c r="A191" s="21"/>
      <c r="B191" s="5"/>
      <c r="C191" s="5"/>
    </row>
    <row r="192" spans="1:3" x14ac:dyDescent="0.25">
      <c r="A192" s="21"/>
      <c r="B192" s="5"/>
      <c r="C192" s="5"/>
    </row>
    <row r="193" spans="1:3" x14ac:dyDescent="0.25">
      <c r="A193" s="21"/>
      <c r="B193" s="5"/>
      <c r="C193" s="5"/>
    </row>
    <row r="194" spans="1:3" x14ac:dyDescent="0.25">
      <c r="A194" s="21"/>
      <c r="B194" s="5"/>
      <c r="C194" s="5"/>
    </row>
    <row r="195" spans="1:3" x14ac:dyDescent="0.25">
      <c r="A195" s="21"/>
      <c r="B195" s="5"/>
      <c r="C195" s="5"/>
    </row>
    <row r="196" spans="1:3" x14ac:dyDescent="0.25">
      <c r="A196" s="21"/>
      <c r="B196" s="5"/>
      <c r="C196" s="5"/>
    </row>
    <row r="197" spans="1:3" x14ac:dyDescent="0.25">
      <c r="A197" s="21"/>
      <c r="B197" s="5"/>
      <c r="C197" s="5"/>
    </row>
    <row r="198" spans="1:3" x14ac:dyDescent="0.25">
      <c r="A198" s="21"/>
      <c r="B198" s="5"/>
      <c r="C198" s="5"/>
    </row>
    <row r="199" spans="1:3" x14ac:dyDescent="0.25">
      <c r="A199" s="21"/>
      <c r="B199" s="5"/>
      <c r="C199" s="5"/>
    </row>
    <row r="200" spans="1:3" x14ac:dyDescent="0.25">
      <c r="A200" s="21"/>
      <c r="B200" s="5"/>
      <c r="C200" s="5"/>
    </row>
    <row r="201" spans="1:3" x14ac:dyDescent="0.25">
      <c r="A201" s="21"/>
      <c r="B201" s="5"/>
      <c r="C201" s="5"/>
    </row>
    <row r="202" spans="1:3" x14ac:dyDescent="0.25">
      <c r="A202" s="21"/>
      <c r="B202" s="5"/>
      <c r="C202" s="5"/>
    </row>
    <row r="203" spans="1:3" x14ac:dyDescent="0.25">
      <c r="A203" s="21"/>
      <c r="B203" s="5"/>
      <c r="C203" s="5"/>
    </row>
    <row r="204" spans="1:3" x14ac:dyDescent="0.25">
      <c r="A204" s="21"/>
      <c r="B204" s="5"/>
      <c r="C204" s="5"/>
    </row>
    <row r="205" spans="1:3" x14ac:dyDescent="0.25">
      <c r="A205" s="21"/>
      <c r="B205" s="5"/>
      <c r="C205" s="5"/>
    </row>
    <row r="206" spans="1:3" x14ac:dyDescent="0.25">
      <c r="A206" s="21"/>
      <c r="B206" s="5"/>
      <c r="C206" s="5"/>
    </row>
    <row r="207" spans="1:3" x14ac:dyDescent="0.25">
      <c r="A207" s="21"/>
      <c r="B207" s="5"/>
      <c r="C207" s="5"/>
    </row>
    <row r="208" spans="1:3" x14ac:dyDescent="0.25">
      <c r="A208" s="21"/>
      <c r="B208" s="5"/>
      <c r="C208" s="5"/>
    </row>
    <row r="209" spans="1:3" x14ac:dyDescent="0.25">
      <c r="A209" s="21"/>
      <c r="B209" s="5"/>
      <c r="C209" s="5"/>
    </row>
    <row r="210" spans="1:3" x14ac:dyDescent="0.25">
      <c r="A210" s="21"/>
      <c r="B210" s="5"/>
      <c r="C210" s="5"/>
    </row>
    <row r="211" spans="1:3" x14ac:dyDescent="0.25">
      <c r="A211" s="21"/>
      <c r="B211" s="5"/>
      <c r="C211" s="5"/>
    </row>
    <row r="212" spans="1:3" x14ac:dyDescent="0.25">
      <c r="A212" s="21"/>
      <c r="B212" s="5"/>
      <c r="C212" s="5"/>
    </row>
    <row r="213" spans="1:3" x14ac:dyDescent="0.25">
      <c r="A213" s="21"/>
      <c r="B213" s="5"/>
      <c r="C213" s="5"/>
    </row>
    <row r="214" spans="1:3" x14ac:dyDescent="0.25">
      <c r="A214" s="21"/>
      <c r="B214" s="5"/>
      <c r="C214" s="5"/>
    </row>
    <row r="215" spans="1:3" x14ac:dyDescent="0.25">
      <c r="A215" s="21"/>
      <c r="B215" s="5"/>
      <c r="C215" s="5"/>
    </row>
    <row r="216" spans="1:3" x14ac:dyDescent="0.25">
      <c r="A216" s="21"/>
      <c r="B216" s="5"/>
      <c r="C216" s="5"/>
    </row>
    <row r="217" spans="1:3" x14ac:dyDescent="0.25">
      <c r="A217" s="21"/>
      <c r="B217" s="5"/>
      <c r="C217" s="5"/>
    </row>
    <row r="218" spans="1:3" x14ac:dyDescent="0.25">
      <c r="A218" s="21"/>
      <c r="B218" s="5"/>
      <c r="C218" s="5"/>
    </row>
    <row r="219" spans="1:3" x14ac:dyDescent="0.25">
      <c r="A219" s="21"/>
      <c r="B219" s="5"/>
      <c r="C219" s="5"/>
    </row>
    <row r="220" spans="1:3" x14ac:dyDescent="0.25">
      <c r="A220" s="21"/>
      <c r="B220" s="5"/>
      <c r="C220" s="5"/>
    </row>
    <row r="221" spans="1:3" x14ac:dyDescent="0.25">
      <c r="A221" s="21"/>
      <c r="B221" s="5"/>
      <c r="C221" s="5"/>
    </row>
    <row r="222" spans="1:3" x14ac:dyDescent="0.25">
      <c r="A222" s="21"/>
      <c r="B222" s="5"/>
      <c r="C222" s="5"/>
    </row>
    <row r="223" spans="1:3" x14ac:dyDescent="0.25">
      <c r="A223" s="21"/>
      <c r="B223" s="5"/>
      <c r="C223" s="5"/>
    </row>
    <row r="224" spans="1:3" x14ac:dyDescent="0.25">
      <c r="A224" s="21"/>
      <c r="B224" s="5"/>
      <c r="C224" s="5"/>
    </row>
    <row r="225" spans="1:3" x14ac:dyDescent="0.25">
      <c r="A225" s="21"/>
      <c r="B225" s="5"/>
      <c r="C225" s="5"/>
    </row>
    <row r="226" spans="1:3" x14ac:dyDescent="0.25">
      <c r="A226" s="21"/>
      <c r="B226" s="5"/>
      <c r="C226" s="5"/>
    </row>
    <row r="227" spans="1:3" x14ac:dyDescent="0.25">
      <c r="A227" s="21"/>
      <c r="B227" s="5"/>
      <c r="C227" s="5"/>
    </row>
    <row r="228" spans="1:3" x14ac:dyDescent="0.25">
      <c r="A228" s="21"/>
      <c r="B228" s="5"/>
      <c r="C228" s="5"/>
    </row>
    <row r="229" spans="1:3" x14ac:dyDescent="0.25">
      <c r="A229" s="21"/>
      <c r="B229" s="5"/>
      <c r="C229" s="5"/>
    </row>
    <row r="230" spans="1:3" x14ac:dyDescent="0.25">
      <c r="A230" s="21"/>
      <c r="B230" s="5"/>
      <c r="C230" s="5"/>
    </row>
    <row r="231" spans="1:3" x14ac:dyDescent="0.25">
      <c r="A231" s="21"/>
      <c r="B231" s="5"/>
      <c r="C231" s="5"/>
    </row>
    <row r="232" spans="1:3" x14ac:dyDescent="0.25">
      <c r="A232" s="21"/>
      <c r="B232" s="5"/>
      <c r="C232" s="5"/>
    </row>
    <row r="233" spans="1:3" x14ac:dyDescent="0.25">
      <c r="A233" s="21"/>
      <c r="B233" s="5"/>
      <c r="C233" s="5"/>
    </row>
    <row r="234" spans="1:3" x14ac:dyDescent="0.25">
      <c r="A234" s="21"/>
      <c r="B234" s="5"/>
      <c r="C234" s="5"/>
    </row>
    <row r="235" spans="1:3" x14ac:dyDescent="0.25">
      <c r="A235" s="21"/>
      <c r="B235" s="5"/>
      <c r="C235" s="5"/>
    </row>
    <row r="236" spans="1:3" x14ac:dyDescent="0.25">
      <c r="A236" s="21"/>
      <c r="B236" s="5"/>
      <c r="C236" s="5"/>
    </row>
    <row r="237" spans="1:3" x14ac:dyDescent="0.25">
      <c r="A237" s="21"/>
      <c r="B237" s="5"/>
      <c r="C237" s="5"/>
    </row>
    <row r="238" spans="1:3" x14ac:dyDescent="0.25">
      <c r="A238" s="21"/>
      <c r="B238" s="5"/>
      <c r="C238" s="5"/>
    </row>
    <row r="239" spans="1:3" x14ac:dyDescent="0.25">
      <c r="A239" s="21"/>
      <c r="B239" s="5"/>
      <c r="C239" s="5"/>
    </row>
    <row r="240" spans="1:3" x14ac:dyDescent="0.25">
      <c r="A240" s="21"/>
      <c r="B240" s="5"/>
      <c r="C240" s="5"/>
    </row>
    <row r="241" spans="1:3" x14ac:dyDescent="0.25">
      <c r="A241" s="21"/>
      <c r="B241" s="5"/>
      <c r="C241" s="5"/>
    </row>
    <row r="242" spans="1:3" x14ac:dyDescent="0.25">
      <c r="A242" s="21"/>
      <c r="B242" s="5"/>
      <c r="C242" s="5"/>
    </row>
    <row r="243" spans="1:3" x14ac:dyDescent="0.25">
      <c r="A243" s="21"/>
      <c r="B243" s="5"/>
      <c r="C243" s="5"/>
    </row>
    <row r="244" spans="1:3" x14ac:dyDescent="0.25">
      <c r="A244" s="21"/>
      <c r="B244" s="5"/>
      <c r="C244" s="5"/>
    </row>
    <row r="245" spans="1:3" x14ac:dyDescent="0.25">
      <c r="A245" s="21"/>
      <c r="B245" s="5"/>
      <c r="C245" s="5"/>
    </row>
    <row r="246" spans="1:3" x14ac:dyDescent="0.25">
      <c r="A246" s="21"/>
      <c r="B246" s="5"/>
      <c r="C246" s="5"/>
    </row>
    <row r="247" spans="1:3" x14ac:dyDescent="0.25">
      <c r="A247" s="21"/>
      <c r="B247" s="5"/>
      <c r="C247" s="5"/>
    </row>
    <row r="248" spans="1:3" x14ac:dyDescent="0.25">
      <c r="A248" s="21"/>
      <c r="B248" s="5"/>
      <c r="C248" s="5"/>
    </row>
    <row r="249" spans="1:3" x14ac:dyDescent="0.25">
      <c r="A249" s="21"/>
      <c r="B249" s="5"/>
      <c r="C249" s="5"/>
    </row>
    <row r="250" spans="1:3" x14ac:dyDescent="0.25">
      <c r="A250" s="21"/>
      <c r="B250" s="5"/>
      <c r="C250" s="5"/>
    </row>
    <row r="251" spans="1:3" x14ac:dyDescent="0.25">
      <c r="A251" s="21"/>
      <c r="B251" s="5"/>
      <c r="C251" s="5"/>
    </row>
    <row r="252" spans="1:3" x14ac:dyDescent="0.25">
      <c r="A252" s="21"/>
      <c r="B252" s="5"/>
      <c r="C252" s="5"/>
    </row>
    <row r="253" spans="1:3" x14ac:dyDescent="0.25">
      <c r="A253" s="21"/>
      <c r="B253" s="5"/>
      <c r="C253" s="5"/>
    </row>
    <row r="254" spans="1:3" x14ac:dyDescent="0.25">
      <c r="A254" s="21"/>
      <c r="B254" s="5"/>
      <c r="C254" s="5"/>
    </row>
    <row r="255" spans="1:3" x14ac:dyDescent="0.25">
      <c r="A255" s="21"/>
      <c r="B255" s="5"/>
      <c r="C255" s="5"/>
    </row>
    <row r="256" spans="1:3" x14ac:dyDescent="0.25">
      <c r="A256" s="21"/>
      <c r="B256" s="5"/>
      <c r="C256" s="5"/>
    </row>
    <row r="257" spans="1:3" x14ac:dyDescent="0.25">
      <c r="A257" s="21"/>
      <c r="B257" s="5"/>
      <c r="C257" s="5"/>
    </row>
    <row r="258" spans="1:3" x14ac:dyDescent="0.25">
      <c r="A258" s="21"/>
      <c r="B258" s="5"/>
      <c r="C258" s="5"/>
    </row>
    <row r="259" spans="1:3" x14ac:dyDescent="0.25">
      <c r="A259" s="21"/>
      <c r="B259" s="5"/>
      <c r="C259" s="5"/>
    </row>
    <row r="260" spans="1:3" x14ac:dyDescent="0.25">
      <c r="A260" s="21"/>
      <c r="B260" s="5"/>
      <c r="C260" s="5"/>
    </row>
    <row r="261" spans="1:3" x14ac:dyDescent="0.25">
      <c r="A261" s="21"/>
      <c r="B261" s="5"/>
      <c r="C261" s="5"/>
    </row>
    <row r="262" spans="1:3" x14ac:dyDescent="0.25">
      <c r="A262" s="21"/>
      <c r="B262" s="5"/>
      <c r="C262" s="5"/>
    </row>
    <row r="263" spans="1:3" x14ac:dyDescent="0.25">
      <c r="A263" s="21"/>
      <c r="B263" s="5"/>
      <c r="C263" s="5"/>
    </row>
    <row r="264" spans="1:3" x14ac:dyDescent="0.25">
      <c r="A264" s="21"/>
      <c r="B264" s="5"/>
      <c r="C264" s="5"/>
    </row>
    <row r="265" spans="1:3" x14ac:dyDescent="0.25">
      <c r="A265" s="21"/>
      <c r="B265" s="5"/>
      <c r="C265" s="5"/>
    </row>
    <row r="266" spans="1:3" x14ac:dyDescent="0.25">
      <c r="A266" s="21"/>
      <c r="B266" s="5"/>
      <c r="C266" s="5"/>
    </row>
    <row r="267" spans="1:3" x14ac:dyDescent="0.25">
      <c r="A267" s="21"/>
      <c r="B267" s="5"/>
      <c r="C267" s="5"/>
    </row>
    <row r="268" spans="1:3" x14ac:dyDescent="0.25">
      <c r="A268" s="21"/>
      <c r="B268" s="5"/>
      <c r="C268" s="5"/>
    </row>
    <row r="269" spans="1:3" x14ac:dyDescent="0.25">
      <c r="A269" s="21"/>
      <c r="B269" s="5"/>
      <c r="C269" s="5"/>
    </row>
    <row r="270" spans="1:3" x14ac:dyDescent="0.25">
      <c r="A270" s="21"/>
      <c r="B270" s="5"/>
      <c r="C270" s="5"/>
    </row>
    <row r="271" spans="1:3" x14ac:dyDescent="0.25">
      <c r="A271" s="21"/>
      <c r="B271" s="5"/>
      <c r="C271" s="5"/>
    </row>
    <row r="272" spans="1:3" x14ac:dyDescent="0.25">
      <c r="A272" s="21"/>
      <c r="B272" s="5"/>
      <c r="C272" s="5"/>
    </row>
    <row r="273" spans="1:3" x14ac:dyDescent="0.25">
      <c r="A273" s="21"/>
      <c r="B273" s="5"/>
      <c r="C273" s="5"/>
    </row>
    <row r="274" spans="1:3" x14ac:dyDescent="0.25">
      <c r="A274" s="21"/>
      <c r="B274" s="5"/>
      <c r="C274" s="5"/>
    </row>
    <row r="275" spans="1:3" x14ac:dyDescent="0.25">
      <c r="A275" s="21"/>
      <c r="B275" s="5"/>
      <c r="C275" s="5"/>
    </row>
    <row r="276" spans="1:3" x14ac:dyDescent="0.25">
      <c r="A276" s="21"/>
      <c r="B276" s="5"/>
      <c r="C276" s="5"/>
    </row>
    <row r="277" spans="1:3" x14ac:dyDescent="0.25">
      <c r="A277" s="21"/>
      <c r="B277" s="5"/>
      <c r="C277" s="5"/>
    </row>
    <row r="278" spans="1:3" x14ac:dyDescent="0.25">
      <c r="A278" s="21"/>
      <c r="B278" s="5"/>
      <c r="C278" s="5"/>
    </row>
    <row r="279" spans="1:3" x14ac:dyDescent="0.25">
      <c r="A279" s="21"/>
      <c r="B279" s="5"/>
      <c r="C279" s="5"/>
    </row>
    <row r="280" spans="1:3" x14ac:dyDescent="0.25">
      <c r="A280" s="21"/>
      <c r="B280" s="5"/>
      <c r="C280" s="5"/>
    </row>
    <row r="281" spans="1:3" x14ac:dyDescent="0.25">
      <c r="A281" s="21"/>
      <c r="B281" s="5"/>
      <c r="C281" s="5"/>
    </row>
    <row r="282" spans="1:3" x14ac:dyDescent="0.25">
      <c r="A282" s="21"/>
      <c r="B282" s="5"/>
      <c r="C282" s="5"/>
    </row>
    <row r="283" spans="1:3" x14ac:dyDescent="0.25">
      <c r="A283" s="21"/>
      <c r="B283" s="5"/>
      <c r="C283" s="5"/>
    </row>
    <row r="284" spans="1:3" x14ac:dyDescent="0.25">
      <c r="A284" s="21"/>
      <c r="B284" s="5"/>
      <c r="C284" s="5"/>
    </row>
    <row r="285" spans="1:3" x14ac:dyDescent="0.25">
      <c r="A285" s="21"/>
      <c r="B285" s="5"/>
      <c r="C285" s="5"/>
    </row>
    <row r="286" spans="1:3" x14ac:dyDescent="0.25">
      <c r="A286" s="21"/>
      <c r="B286" s="5"/>
      <c r="C286" s="5"/>
    </row>
    <row r="287" spans="1:3" x14ac:dyDescent="0.25">
      <c r="A287" s="21"/>
      <c r="B287" s="5"/>
      <c r="C287" s="5"/>
    </row>
    <row r="288" spans="1:3" x14ac:dyDescent="0.25">
      <c r="A288" s="21"/>
      <c r="B288" s="5"/>
      <c r="C288" s="5"/>
    </row>
    <row r="289" spans="1:3" x14ac:dyDescent="0.25">
      <c r="A289" s="21"/>
      <c r="B289" s="5"/>
      <c r="C289" s="5"/>
    </row>
    <row r="290" spans="1:3" x14ac:dyDescent="0.25">
      <c r="A290" s="21"/>
      <c r="B290" s="5"/>
      <c r="C290" s="5"/>
    </row>
    <row r="291" spans="1:3" x14ac:dyDescent="0.25">
      <c r="A291" s="21"/>
      <c r="B291" s="5"/>
      <c r="C291" s="5"/>
    </row>
    <row r="292" spans="1:3" x14ac:dyDescent="0.25">
      <c r="A292" s="21"/>
      <c r="B292" s="5"/>
      <c r="C292" s="5"/>
    </row>
    <row r="293" spans="1:3" x14ac:dyDescent="0.25">
      <c r="A293" s="21"/>
      <c r="B293" s="5"/>
      <c r="C293" s="5"/>
    </row>
    <row r="294" spans="1:3" x14ac:dyDescent="0.25">
      <c r="A294" s="21"/>
      <c r="B294" s="5"/>
      <c r="C294" s="5"/>
    </row>
    <row r="295" spans="1:3" x14ac:dyDescent="0.25">
      <c r="A295" s="21"/>
      <c r="B295" s="5"/>
      <c r="C295" s="5"/>
    </row>
    <row r="296" spans="1:3" x14ac:dyDescent="0.25">
      <c r="A296" s="21"/>
      <c r="B296" s="5"/>
      <c r="C296" s="5"/>
    </row>
    <row r="297" spans="1:3" x14ac:dyDescent="0.25">
      <c r="A297" s="21"/>
      <c r="B297" s="5"/>
      <c r="C297" s="5"/>
    </row>
    <row r="298" spans="1:3" x14ac:dyDescent="0.25">
      <c r="A298" s="21"/>
      <c r="B298" s="5"/>
      <c r="C298" s="5"/>
    </row>
    <row r="299" spans="1:3" x14ac:dyDescent="0.25">
      <c r="A299" s="21"/>
      <c r="B299" s="5"/>
      <c r="C299" s="5"/>
    </row>
    <row r="300" spans="1:3" x14ac:dyDescent="0.25">
      <c r="A300" s="21"/>
      <c r="B300" s="5"/>
      <c r="C300" s="5"/>
    </row>
    <row r="301" spans="1:3" x14ac:dyDescent="0.25">
      <c r="A301" s="21"/>
      <c r="B301" s="5"/>
      <c r="C301" s="5"/>
    </row>
    <row r="302" spans="1:3" x14ac:dyDescent="0.25">
      <c r="A302" s="21"/>
      <c r="B302" s="5"/>
      <c r="C302" s="5"/>
    </row>
    <row r="303" spans="1:3" x14ac:dyDescent="0.25">
      <c r="A303" s="21"/>
      <c r="B303" s="5"/>
      <c r="C303" s="5"/>
    </row>
    <row r="304" spans="1:3" x14ac:dyDescent="0.25">
      <c r="A304" s="21"/>
      <c r="B304" s="5"/>
      <c r="C304" s="5"/>
    </row>
    <row r="305" spans="1:3" x14ac:dyDescent="0.25">
      <c r="A305" s="21"/>
      <c r="B305" s="5"/>
      <c r="C305" s="5"/>
    </row>
    <row r="306" spans="1:3" x14ac:dyDescent="0.25">
      <c r="A306" s="21"/>
      <c r="B306" s="5"/>
      <c r="C306" s="5"/>
    </row>
    <row r="307" spans="1:3" x14ac:dyDescent="0.25">
      <c r="A307" s="21"/>
      <c r="B307" s="5"/>
      <c r="C307" s="5"/>
    </row>
    <row r="308" spans="1:3" x14ac:dyDescent="0.25">
      <c r="A308" s="21"/>
      <c r="B308" s="5"/>
      <c r="C308" s="5"/>
    </row>
    <row r="309" spans="1:3" x14ac:dyDescent="0.25">
      <c r="A309" s="21"/>
      <c r="B309" s="5"/>
      <c r="C309" s="5"/>
    </row>
    <row r="310" spans="1:3" x14ac:dyDescent="0.25">
      <c r="A310" s="21"/>
      <c r="B310" s="5"/>
      <c r="C310" s="5"/>
    </row>
    <row r="311" spans="1:3" x14ac:dyDescent="0.25">
      <c r="A311" s="21"/>
      <c r="B311" s="5"/>
      <c r="C311" s="5"/>
    </row>
    <row r="312" spans="1:3" x14ac:dyDescent="0.25">
      <c r="A312" s="21"/>
      <c r="B312" s="5"/>
      <c r="C312" s="5"/>
    </row>
    <row r="313" spans="1:3" x14ac:dyDescent="0.25">
      <c r="A313" s="21"/>
      <c r="B313" s="5"/>
      <c r="C313" s="5"/>
    </row>
    <row r="314" spans="1:3" x14ac:dyDescent="0.25">
      <c r="A314" s="21"/>
      <c r="B314" s="5"/>
      <c r="C314" s="5"/>
    </row>
    <row r="315" spans="1:3" x14ac:dyDescent="0.25">
      <c r="A315" s="21"/>
      <c r="B315" s="5"/>
      <c r="C315" s="5"/>
    </row>
    <row r="316" spans="1:3" x14ac:dyDescent="0.25">
      <c r="A316" s="21"/>
      <c r="B316" s="5"/>
      <c r="C316" s="5"/>
    </row>
    <row r="317" spans="1:3" x14ac:dyDescent="0.25">
      <c r="A317" s="21"/>
      <c r="B317" s="5"/>
      <c r="C317" s="5"/>
    </row>
    <row r="318" spans="1:3" x14ac:dyDescent="0.25">
      <c r="A318" s="21"/>
      <c r="B318" s="5"/>
      <c r="C318" s="5"/>
    </row>
    <row r="319" spans="1:3" x14ac:dyDescent="0.25">
      <c r="A319" s="21"/>
      <c r="B319" s="5"/>
      <c r="C319" s="5"/>
    </row>
    <row r="320" spans="1:3" x14ac:dyDescent="0.25">
      <c r="A320" s="21"/>
      <c r="B320" s="5"/>
      <c r="C320" s="5"/>
    </row>
    <row r="321" spans="1:3" x14ac:dyDescent="0.25">
      <c r="A321" s="21"/>
      <c r="B321" s="5"/>
      <c r="C321" s="5"/>
    </row>
    <row r="322" spans="1:3" x14ac:dyDescent="0.25">
      <c r="A322" s="21"/>
      <c r="B322" s="5"/>
      <c r="C322" s="5"/>
    </row>
    <row r="323" spans="1:3" x14ac:dyDescent="0.25">
      <c r="A323" s="21"/>
      <c r="B323" s="5"/>
      <c r="C323" s="5"/>
    </row>
    <row r="324" spans="1:3" x14ac:dyDescent="0.25">
      <c r="A324" s="21"/>
      <c r="B324" s="5"/>
      <c r="C324" s="5"/>
    </row>
    <row r="325" spans="1:3" x14ac:dyDescent="0.25">
      <c r="A325" s="21"/>
      <c r="B325" s="5"/>
      <c r="C325" s="5"/>
    </row>
    <row r="326" spans="1:3" x14ac:dyDescent="0.25">
      <c r="A326" s="21"/>
      <c r="B326" s="5"/>
      <c r="C326" s="5"/>
    </row>
    <row r="327" spans="1:3" x14ac:dyDescent="0.25">
      <c r="A327" s="21"/>
      <c r="B327" s="5"/>
      <c r="C327" s="5"/>
    </row>
    <row r="328" spans="1:3" x14ac:dyDescent="0.25">
      <c r="A328" s="21"/>
      <c r="B328" s="5"/>
      <c r="C328" s="5"/>
    </row>
    <row r="329" spans="1:3" x14ac:dyDescent="0.25">
      <c r="A329" s="21"/>
      <c r="B329" s="5"/>
      <c r="C329" s="5"/>
    </row>
    <row r="330" spans="1:3" x14ac:dyDescent="0.25">
      <c r="A330" s="21"/>
      <c r="B330" s="5"/>
      <c r="C330" s="5"/>
    </row>
    <row r="331" spans="1:3" x14ac:dyDescent="0.25">
      <c r="A331" s="21"/>
      <c r="B331" s="5"/>
      <c r="C331" s="5"/>
    </row>
    <row r="332" spans="1:3" x14ac:dyDescent="0.25">
      <c r="A332" s="21"/>
      <c r="B332" s="5"/>
      <c r="C332" s="5"/>
    </row>
    <row r="333" spans="1:3" x14ac:dyDescent="0.25">
      <c r="A333" s="21"/>
      <c r="B333" s="5"/>
      <c r="C333" s="5"/>
    </row>
    <row r="334" spans="1:3" x14ac:dyDescent="0.25">
      <c r="A334" s="21"/>
      <c r="B334" s="5"/>
      <c r="C334" s="5"/>
    </row>
    <row r="335" spans="1:3" x14ac:dyDescent="0.25">
      <c r="A335" s="21"/>
      <c r="B335" s="5"/>
      <c r="C335" s="5"/>
    </row>
    <row r="336" spans="1:3" x14ac:dyDescent="0.25">
      <c r="A336" s="21"/>
      <c r="B336" s="5"/>
      <c r="C336" s="5"/>
    </row>
    <row r="337" spans="1:3" x14ac:dyDescent="0.25">
      <c r="A337" s="21"/>
      <c r="B337" s="5"/>
      <c r="C337" s="5"/>
    </row>
    <row r="338" spans="1:3" x14ac:dyDescent="0.25">
      <c r="A338" s="21"/>
      <c r="B338" s="5"/>
      <c r="C338" s="5"/>
    </row>
    <row r="339" spans="1:3" x14ac:dyDescent="0.25">
      <c r="A339" s="21"/>
      <c r="B339" s="5"/>
      <c r="C339" s="5"/>
    </row>
    <row r="340" spans="1:3" x14ac:dyDescent="0.25">
      <c r="A340" s="21"/>
      <c r="B340" s="5"/>
      <c r="C340" s="5"/>
    </row>
    <row r="341" spans="1:3" x14ac:dyDescent="0.25">
      <c r="A341" s="21"/>
      <c r="B341" s="5"/>
      <c r="C341" s="5"/>
    </row>
    <row r="342" spans="1:3" x14ac:dyDescent="0.25">
      <c r="A342" s="21"/>
      <c r="B342" s="5"/>
      <c r="C342" s="5"/>
    </row>
    <row r="343" spans="1:3" x14ac:dyDescent="0.25">
      <c r="A343" s="21"/>
      <c r="B343" s="5"/>
      <c r="C343" s="5"/>
    </row>
    <row r="344" spans="1:3" x14ac:dyDescent="0.25">
      <c r="A344" s="21"/>
      <c r="B344" s="5"/>
      <c r="C344" s="5"/>
    </row>
    <row r="345" spans="1:3" x14ac:dyDescent="0.25">
      <c r="A345" s="21"/>
      <c r="B345" s="5"/>
      <c r="C345" s="5"/>
    </row>
    <row r="346" spans="1:3" x14ac:dyDescent="0.25">
      <c r="A346" s="21"/>
      <c r="B346" s="5"/>
      <c r="C346" s="5"/>
    </row>
    <row r="347" spans="1:3" x14ac:dyDescent="0.25">
      <c r="A347" s="21"/>
      <c r="B347" s="5"/>
      <c r="C347" s="5"/>
    </row>
    <row r="348" spans="1:3" x14ac:dyDescent="0.25">
      <c r="A348" s="21"/>
      <c r="B348" s="5"/>
      <c r="C348" s="5"/>
    </row>
    <row r="349" spans="1:3" x14ac:dyDescent="0.25">
      <c r="A349" s="21"/>
      <c r="B349" s="5"/>
      <c r="C349" s="5"/>
    </row>
    <row r="350" spans="1:3" x14ac:dyDescent="0.25">
      <c r="A350" s="21"/>
      <c r="B350" s="5"/>
      <c r="C350" s="5"/>
    </row>
    <row r="351" spans="1:3" x14ac:dyDescent="0.25">
      <c r="A351" s="21"/>
      <c r="B351" s="5"/>
      <c r="C351" s="5"/>
    </row>
    <row r="352" spans="1:3" x14ac:dyDescent="0.25">
      <c r="A352" s="21"/>
      <c r="B352" s="5"/>
      <c r="C352" s="5"/>
    </row>
    <row r="353" spans="1:3" x14ac:dyDescent="0.25">
      <c r="A353" s="21"/>
      <c r="B353" s="5"/>
      <c r="C353" s="5"/>
    </row>
    <row r="354" spans="1:3" x14ac:dyDescent="0.25">
      <c r="A354" s="21"/>
      <c r="B354" s="5"/>
      <c r="C354" s="5"/>
    </row>
    <row r="355" spans="1:3" x14ac:dyDescent="0.25">
      <c r="A355" s="21"/>
      <c r="B355" s="5"/>
      <c r="C355" s="5"/>
    </row>
    <row r="356" spans="1:3" x14ac:dyDescent="0.25">
      <c r="A356" s="21"/>
      <c r="B356" s="5"/>
      <c r="C356" s="5"/>
    </row>
    <row r="357" spans="1:3" x14ac:dyDescent="0.25">
      <c r="A357" s="21"/>
      <c r="B357" s="5"/>
      <c r="C357" s="5"/>
    </row>
    <row r="358" spans="1:3" x14ac:dyDescent="0.25">
      <c r="A358" s="21"/>
      <c r="B358" s="5"/>
      <c r="C358" s="5"/>
    </row>
    <row r="359" spans="1:3" x14ac:dyDescent="0.25">
      <c r="A359" s="21"/>
      <c r="B359" s="5"/>
      <c r="C359" s="5"/>
    </row>
    <row r="360" spans="1:3" x14ac:dyDescent="0.25">
      <c r="A360" s="21"/>
      <c r="B360" s="5"/>
      <c r="C360" s="5"/>
    </row>
    <row r="361" spans="1:3" x14ac:dyDescent="0.25">
      <c r="A361" s="21"/>
      <c r="B361" s="5"/>
      <c r="C361" s="5"/>
    </row>
    <row r="362" spans="1:3" x14ac:dyDescent="0.25">
      <c r="A362" s="21"/>
      <c r="B362" s="5"/>
      <c r="C362" s="5"/>
    </row>
    <row r="363" spans="1:3" x14ac:dyDescent="0.25">
      <c r="A363" s="21"/>
      <c r="B363" s="5"/>
      <c r="C363" s="5"/>
    </row>
    <row r="364" spans="1:3" x14ac:dyDescent="0.25">
      <c r="A364" s="21"/>
      <c r="B364" s="5"/>
      <c r="C364" s="5"/>
    </row>
    <row r="365" spans="1:3" x14ac:dyDescent="0.25">
      <c r="A365" s="21"/>
      <c r="B365" s="5"/>
      <c r="C365" s="5"/>
    </row>
    <row r="366" spans="1:3" x14ac:dyDescent="0.25">
      <c r="A366" s="21"/>
      <c r="B366" s="5"/>
      <c r="C366" s="5"/>
    </row>
    <row r="367" spans="1:3" x14ac:dyDescent="0.25">
      <c r="A367" s="21"/>
      <c r="B367" s="5"/>
      <c r="C367" s="5"/>
    </row>
    <row r="368" spans="1:3" x14ac:dyDescent="0.25">
      <c r="A368" s="21"/>
      <c r="B368" s="5"/>
      <c r="C368" s="5"/>
    </row>
    <row r="369" spans="1:3" x14ac:dyDescent="0.25">
      <c r="A369" s="21"/>
      <c r="B369" s="5"/>
      <c r="C369" s="5"/>
    </row>
    <row r="370" spans="1:3" x14ac:dyDescent="0.25">
      <c r="A370" s="21"/>
      <c r="B370" s="5"/>
      <c r="C370" s="5"/>
    </row>
    <row r="371" spans="1:3" x14ac:dyDescent="0.25">
      <c r="A371" s="21"/>
      <c r="B371" s="5"/>
      <c r="C371" s="5"/>
    </row>
    <row r="372" spans="1:3" x14ac:dyDescent="0.25">
      <c r="A372" s="21"/>
      <c r="B372" s="5"/>
      <c r="C372" s="5"/>
    </row>
    <row r="373" spans="1:3" x14ac:dyDescent="0.25">
      <c r="A373" s="21"/>
      <c r="B373" s="5"/>
      <c r="C373" s="5"/>
    </row>
    <row r="374" spans="1:3" x14ac:dyDescent="0.25">
      <c r="A374" s="21"/>
      <c r="B374" s="5"/>
      <c r="C374" s="5"/>
    </row>
    <row r="375" spans="1:3" x14ac:dyDescent="0.25">
      <c r="A375" s="21"/>
      <c r="B375" s="5"/>
      <c r="C375" s="5"/>
    </row>
    <row r="376" spans="1:3" x14ac:dyDescent="0.25">
      <c r="A376" s="21"/>
      <c r="B376" s="5"/>
      <c r="C376" s="5"/>
    </row>
    <row r="377" spans="1:3" x14ac:dyDescent="0.25">
      <c r="A377" s="21"/>
      <c r="B377" s="5"/>
      <c r="C377" s="5"/>
    </row>
    <row r="378" spans="1:3" x14ac:dyDescent="0.25">
      <c r="A378" s="21"/>
      <c r="B378" s="5"/>
      <c r="C378" s="5"/>
    </row>
    <row r="379" spans="1:3" x14ac:dyDescent="0.25">
      <c r="A379" s="21"/>
      <c r="B379" s="5"/>
      <c r="C379" s="5"/>
    </row>
    <row r="380" spans="1:3" x14ac:dyDescent="0.25">
      <c r="A380" s="21"/>
      <c r="B380" s="5"/>
      <c r="C380" s="5"/>
    </row>
    <row r="381" spans="1:3" x14ac:dyDescent="0.25">
      <c r="A381" s="21"/>
      <c r="B381" s="5"/>
      <c r="C381" s="5"/>
    </row>
    <row r="382" spans="1:3" x14ac:dyDescent="0.25">
      <c r="A382" s="21"/>
      <c r="B382" s="5"/>
      <c r="C382" s="5"/>
    </row>
    <row r="383" spans="1:3" x14ac:dyDescent="0.25">
      <c r="A383" s="21"/>
      <c r="B383" s="5"/>
      <c r="C383" s="5"/>
    </row>
    <row r="384" spans="1:3" x14ac:dyDescent="0.25">
      <c r="A384" s="21"/>
      <c r="B384" s="5"/>
      <c r="C384" s="5"/>
    </row>
    <row r="385" spans="1:3" x14ac:dyDescent="0.25">
      <c r="A385" s="21"/>
      <c r="B385" s="5"/>
      <c r="C385" s="5"/>
    </row>
    <row r="386" spans="1:3" x14ac:dyDescent="0.25">
      <c r="A386" s="21"/>
      <c r="B386" s="5"/>
      <c r="C386" s="5"/>
    </row>
    <row r="387" spans="1:3" x14ac:dyDescent="0.25">
      <c r="A387" s="21"/>
      <c r="B387" s="5"/>
      <c r="C387" s="5"/>
    </row>
    <row r="388" spans="1:3" x14ac:dyDescent="0.25">
      <c r="A388" s="21"/>
      <c r="B388" s="5"/>
      <c r="C388" s="5"/>
    </row>
    <row r="389" spans="1:3" x14ac:dyDescent="0.25">
      <c r="A389" s="21"/>
      <c r="B389" s="5"/>
      <c r="C389" s="5"/>
    </row>
    <row r="390" spans="1:3" x14ac:dyDescent="0.25">
      <c r="A390" s="21"/>
      <c r="B390" s="5"/>
      <c r="C390" s="5"/>
    </row>
    <row r="391" spans="1:3" x14ac:dyDescent="0.25">
      <c r="A391" s="21"/>
      <c r="B391" s="5"/>
      <c r="C391" s="5"/>
    </row>
    <row r="392" spans="1:3" x14ac:dyDescent="0.25">
      <c r="A392" s="21"/>
      <c r="B392" s="5"/>
      <c r="C392" s="5"/>
    </row>
    <row r="393" spans="1:3" x14ac:dyDescent="0.25">
      <c r="A393" s="5"/>
      <c r="B393" s="5"/>
      <c r="C393" s="5"/>
    </row>
    <row r="394" spans="1:3" x14ac:dyDescent="0.25">
      <c r="A394" s="5"/>
      <c r="B394" s="5"/>
      <c r="C394" s="5"/>
    </row>
    <row r="395" spans="1:3" x14ac:dyDescent="0.25">
      <c r="A395" s="5"/>
      <c r="B395" s="5"/>
      <c r="C395" s="5"/>
    </row>
    <row r="396" spans="1:3" x14ac:dyDescent="0.25">
      <c r="A396" s="5"/>
      <c r="B396" s="5"/>
      <c r="C396" s="5"/>
    </row>
    <row r="397" spans="1:3" x14ac:dyDescent="0.25">
      <c r="A397" s="5"/>
      <c r="B397" s="5"/>
      <c r="C397" s="5"/>
    </row>
    <row r="398" spans="1:3" x14ac:dyDescent="0.25">
      <c r="A398" s="5"/>
      <c r="B398" s="5"/>
      <c r="C398" s="5"/>
    </row>
    <row r="399" spans="1:3" x14ac:dyDescent="0.25">
      <c r="A399" s="5"/>
      <c r="B399" s="5"/>
      <c r="C399" s="5"/>
    </row>
    <row r="400" spans="1:3" x14ac:dyDescent="0.25">
      <c r="A400" s="5"/>
      <c r="B400" s="5"/>
      <c r="C400" s="5"/>
    </row>
    <row r="401" spans="1:3" x14ac:dyDescent="0.25">
      <c r="A401" s="5"/>
      <c r="B401" s="5"/>
      <c r="C401" s="5"/>
    </row>
    <row r="402" spans="1:3" x14ac:dyDescent="0.25">
      <c r="A402" s="5"/>
      <c r="B402" s="5"/>
      <c r="C402" s="5"/>
    </row>
    <row r="403" spans="1:3" x14ac:dyDescent="0.25">
      <c r="A403" s="5"/>
      <c r="B403" s="5"/>
      <c r="C403" s="5"/>
    </row>
    <row r="404" spans="1:3" x14ac:dyDescent="0.25">
      <c r="A404" s="5"/>
      <c r="B404" s="5"/>
      <c r="C404" s="5"/>
    </row>
    <row r="405" spans="1:3" x14ac:dyDescent="0.25">
      <c r="A405" s="5"/>
      <c r="B405" s="5"/>
      <c r="C405" s="5"/>
    </row>
    <row r="406" spans="1:3" x14ac:dyDescent="0.25">
      <c r="A406" s="5"/>
      <c r="B406" s="5"/>
      <c r="C406" s="5"/>
    </row>
    <row r="407" spans="1:3" x14ac:dyDescent="0.25">
      <c r="A407" s="5"/>
      <c r="B407" s="5"/>
      <c r="C407" s="5"/>
    </row>
    <row r="408" spans="1:3" x14ac:dyDescent="0.25">
      <c r="A408" s="5"/>
      <c r="B408" s="5"/>
      <c r="C408" s="5"/>
    </row>
    <row r="409" spans="1:3" x14ac:dyDescent="0.25">
      <c r="A409" s="5"/>
      <c r="B409" s="5"/>
      <c r="C409" s="5"/>
    </row>
    <row r="410" spans="1:3" x14ac:dyDescent="0.25">
      <c r="A410" s="5"/>
      <c r="B410" s="5"/>
      <c r="C410" s="5"/>
    </row>
    <row r="411" spans="1:3" x14ac:dyDescent="0.25">
      <c r="A411" s="5"/>
      <c r="B411" s="5"/>
      <c r="C411" s="5"/>
    </row>
    <row r="412" spans="1:3" x14ac:dyDescent="0.25">
      <c r="A412" s="5"/>
      <c r="B412" s="5"/>
      <c r="C412" s="5"/>
    </row>
    <row r="413" spans="1:3" x14ac:dyDescent="0.25">
      <c r="A413" s="5"/>
      <c r="B413" s="5"/>
      <c r="C413" s="5"/>
    </row>
    <row r="414" spans="1:3" x14ac:dyDescent="0.25">
      <c r="A414" s="5"/>
      <c r="B414" s="5"/>
      <c r="C414" s="5"/>
    </row>
    <row r="415" spans="1:3" x14ac:dyDescent="0.25">
      <c r="A415" s="5"/>
      <c r="B415" s="5"/>
      <c r="C415" s="5"/>
    </row>
    <row r="416" spans="1:3" x14ac:dyDescent="0.25">
      <c r="A416" s="5"/>
      <c r="B416" s="5"/>
      <c r="C416" s="5"/>
    </row>
    <row r="417" spans="1:3" x14ac:dyDescent="0.25">
      <c r="A417" s="5"/>
      <c r="B417" s="5"/>
      <c r="C417" s="5"/>
    </row>
    <row r="418" spans="1:3" x14ac:dyDescent="0.25">
      <c r="A418" s="5"/>
      <c r="B418" s="5"/>
      <c r="C418" s="5"/>
    </row>
    <row r="419" spans="1:3" x14ac:dyDescent="0.25">
      <c r="A419" s="5"/>
      <c r="B419" s="5"/>
      <c r="C419" s="5"/>
    </row>
    <row r="420" spans="1:3" x14ac:dyDescent="0.25">
      <c r="A420" s="5"/>
      <c r="B420" s="5"/>
      <c r="C420" s="5"/>
    </row>
    <row r="421" spans="1:3" x14ac:dyDescent="0.25">
      <c r="A421" s="5"/>
      <c r="B421" s="5"/>
      <c r="C421" s="5"/>
    </row>
    <row r="422" spans="1:3" x14ac:dyDescent="0.25">
      <c r="A422" s="5"/>
      <c r="B422" s="5"/>
      <c r="C422" s="5"/>
    </row>
    <row r="423" spans="1:3" x14ac:dyDescent="0.25">
      <c r="A423" s="5"/>
      <c r="B423" s="5"/>
      <c r="C423" s="5"/>
    </row>
    <row r="424" spans="1:3" x14ac:dyDescent="0.25">
      <c r="A424" s="5"/>
      <c r="B424" s="5"/>
      <c r="C424" s="5"/>
    </row>
    <row r="425" spans="1:3" x14ac:dyDescent="0.25">
      <c r="A425" s="5"/>
      <c r="B425" s="5"/>
      <c r="C425" s="5"/>
    </row>
    <row r="426" spans="1:3" x14ac:dyDescent="0.25">
      <c r="A426" s="5"/>
      <c r="B426" s="5"/>
      <c r="C426" s="5"/>
    </row>
    <row r="427" spans="1:3" x14ac:dyDescent="0.25">
      <c r="A427" s="5"/>
      <c r="B427" s="5"/>
      <c r="C427" s="5"/>
    </row>
    <row r="428" spans="1:3" x14ac:dyDescent="0.25">
      <c r="A428" s="5"/>
      <c r="B428" s="5"/>
      <c r="C428" s="5"/>
    </row>
    <row r="429" spans="1:3" x14ac:dyDescent="0.25">
      <c r="A429" s="5"/>
      <c r="B429" s="5"/>
      <c r="C429" s="5"/>
    </row>
    <row r="430" spans="1:3" x14ac:dyDescent="0.25">
      <c r="A430" s="5"/>
      <c r="B430" s="5"/>
      <c r="C430" s="5"/>
    </row>
    <row r="431" spans="1:3" x14ac:dyDescent="0.25">
      <c r="A431" s="5"/>
      <c r="B431" s="5"/>
      <c r="C431" s="5"/>
    </row>
    <row r="432" spans="1:3" x14ac:dyDescent="0.25">
      <c r="A432" s="5"/>
      <c r="B432" s="5"/>
      <c r="C432" s="5"/>
    </row>
    <row r="433" spans="1:3" x14ac:dyDescent="0.25">
      <c r="A433" s="5"/>
      <c r="B433" s="5"/>
      <c r="C433" s="5"/>
    </row>
    <row r="434" spans="1:3" x14ac:dyDescent="0.25">
      <c r="A434" s="5"/>
      <c r="B434" s="5"/>
      <c r="C434" s="5"/>
    </row>
    <row r="435" spans="1:3" x14ac:dyDescent="0.25">
      <c r="A435" s="5"/>
      <c r="B435" s="5"/>
      <c r="C435" s="5"/>
    </row>
    <row r="436" spans="1:3" x14ac:dyDescent="0.25">
      <c r="A436" s="5"/>
      <c r="B436" s="5"/>
      <c r="C436" s="5"/>
    </row>
    <row r="437" spans="1:3" x14ac:dyDescent="0.25">
      <c r="A437" s="5"/>
      <c r="B437" s="5"/>
      <c r="C437" s="5"/>
    </row>
    <row r="438" spans="1:3" x14ac:dyDescent="0.25">
      <c r="A438" s="5"/>
      <c r="B438" s="5"/>
      <c r="C438" s="5"/>
    </row>
    <row r="439" spans="1:3" x14ac:dyDescent="0.25">
      <c r="A439" s="5"/>
      <c r="B439" s="5"/>
      <c r="C439" s="5"/>
    </row>
    <row r="440" spans="1:3" x14ac:dyDescent="0.25">
      <c r="A440" s="5"/>
      <c r="B440" s="5"/>
      <c r="C440" s="5"/>
    </row>
    <row r="441" spans="1:3" x14ac:dyDescent="0.25">
      <c r="A441" s="5"/>
      <c r="B441" s="5"/>
      <c r="C441" s="5"/>
    </row>
    <row r="442" spans="1:3" x14ac:dyDescent="0.25">
      <c r="A442" s="5"/>
      <c r="B442" s="5"/>
      <c r="C442" s="5"/>
    </row>
    <row r="443" spans="1:3" x14ac:dyDescent="0.25">
      <c r="A443" s="5"/>
      <c r="B443" s="5"/>
      <c r="C443" s="5"/>
    </row>
    <row r="444" spans="1:3" x14ac:dyDescent="0.25">
      <c r="A444" s="5"/>
      <c r="B444" s="5"/>
      <c r="C444" s="5"/>
    </row>
    <row r="445" spans="1:3" x14ac:dyDescent="0.25">
      <c r="A445" s="5"/>
      <c r="B445" s="5"/>
      <c r="C445" s="5"/>
    </row>
    <row r="446" spans="1:3" x14ac:dyDescent="0.25">
      <c r="A446" s="5"/>
      <c r="B446" s="5"/>
      <c r="C446" s="5"/>
    </row>
    <row r="447" spans="1:3" x14ac:dyDescent="0.25">
      <c r="A447" s="5"/>
      <c r="B447" s="5"/>
      <c r="C447" s="5"/>
    </row>
    <row r="448" spans="1:3" x14ac:dyDescent="0.25">
      <c r="A448" s="5"/>
      <c r="B448" s="5"/>
      <c r="C448" s="5"/>
    </row>
    <row r="449" spans="1:3" x14ac:dyDescent="0.25">
      <c r="A449" s="5"/>
      <c r="B449" s="5"/>
      <c r="C449" s="5"/>
    </row>
    <row r="450" spans="1:3" x14ac:dyDescent="0.25">
      <c r="A450" s="5"/>
      <c r="B450" s="5"/>
      <c r="C450" s="5"/>
    </row>
    <row r="451" spans="1:3" x14ac:dyDescent="0.25">
      <c r="A451" s="5"/>
      <c r="B451" s="5"/>
      <c r="C451" s="5"/>
    </row>
    <row r="452" spans="1:3" x14ac:dyDescent="0.25">
      <c r="A452" s="5"/>
      <c r="B452" s="5"/>
      <c r="C452" s="5"/>
    </row>
    <row r="453" spans="1:3" x14ac:dyDescent="0.25">
      <c r="A453" s="5"/>
      <c r="B453" s="5"/>
      <c r="C453" s="5"/>
    </row>
    <row r="454" spans="1:3" x14ac:dyDescent="0.25">
      <c r="A454" s="5"/>
      <c r="B454" s="5"/>
      <c r="C454" s="5"/>
    </row>
    <row r="455" spans="1:3" x14ac:dyDescent="0.25">
      <c r="A455" s="5"/>
      <c r="B455" s="5"/>
      <c r="C455" s="5"/>
    </row>
    <row r="456" spans="1:3" x14ac:dyDescent="0.25">
      <c r="A456" s="5"/>
      <c r="B456" s="5"/>
      <c r="C456" s="5"/>
    </row>
    <row r="457" spans="1:3" x14ac:dyDescent="0.25">
      <c r="A457" s="5"/>
      <c r="B457" s="5"/>
      <c r="C457" s="5"/>
    </row>
    <row r="458" spans="1:3" x14ac:dyDescent="0.25">
      <c r="A458" s="5"/>
      <c r="B458" s="5"/>
      <c r="C458" s="5"/>
    </row>
    <row r="459" spans="1:3" x14ac:dyDescent="0.25">
      <c r="A459" s="5"/>
      <c r="B459" s="5"/>
      <c r="C459" s="5"/>
    </row>
    <row r="460" spans="1:3" x14ac:dyDescent="0.25">
      <c r="A460" s="5"/>
      <c r="B460" s="5"/>
      <c r="C460" s="5"/>
    </row>
    <row r="461" spans="1:3" x14ac:dyDescent="0.25">
      <c r="A461" s="5"/>
      <c r="B461" s="5"/>
      <c r="C461" s="5"/>
    </row>
    <row r="462" spans="1:3" x14ac:dyDescent="0.25">
      <c r="A462" s="5"/>
      <c r="B462" s="5"/>
      <c r="C462" s="5"/>
    </row>
    <row r="463" spans="1:3" x14ac:dyDescent="0.25">
      <c r="A463" s="5"/>
      <c r="B463" s="5"/>
      <c r="C463" s="5"/>
    </row>
    <row r="464" spans="1:3" x14ac:dyDescent="0.25">
      <c r="A464" s="5"/>
      <c r="B464" s="5"/>
      <c r="C464" s="5"/>
    </row>
    <row r="465" spans="1:3" x14ac:dyDescent="0.25">
      <c r="A465" s="5"/>
      <c r="B465" s="5"/>
      <c r="C465" s="5"/>
    </row>
    <row r="466" spans="1:3" x14ac:dyDescent="0.25">
      <c r="A466" s="5"/>
      <c r="B466" s="5"/>
      <c r="C466" s="5"/>
    </row>
    <row r="467" spans="1:3" x14ac:dyDescent="0.25">
      <c r="A467" s="5"/>
      <c r="B467" s="5"/>
      <c r="C467" s="5"/>
    </row>
    <row r="468" spans="1:3" x14ac:dyDescent="0.25">
      <c r="A468" s="5"/>
      <c r="B468" s="5"/>
      <c r="C468" s="5"/>
    </row>
    <row r="469" spans="1:3" x14ac:dyDescent="0.25">
      <c r="A469" s="5"/>
      <c r="B469" s="5"/>
      <c r="C469" s="5"/>
    </row>
    <row r="470" spans="1:3" x14ac:dyDescent="0.25">
      <c r="A470" s="5"/>
      <c r="B470" s="5"/>
      <c r="C470" s="5"/>
    </row>
    <row r="471" spans="1:3" x14ac:dyDescent="0.25">
      <c r="A471" s="5"/>
      <c r="B471" s="5"/>
      <c r="C471" s="5"/>
    </row>
    <row r="472" spans="1:3" x14ac:dyDescent="0.25">
      <c r="A472" s="5"/>
      <c r="B472" s="5"/>
      <c r="C472" s="5"/>
    </row>
    <row r="473" spans="1:3" x14ac:dyDescent="0.25">
      <c r="A473" s="5"/>
      <c r="B473" s="5"/>
      <c r="C473" s="5"/>
    </row>
    <row r="474" spans="1:3" x14ac:dyDescent="0.25">
      <c r="A474" s="5"/>
      <c r="B474" s="5"/>
      <c r="C474" s="5"/>
    </row>
    <row r="475" spans="1:3" x14ac:dyDescent="0.25">
      <c r="A475" s="5"/>
      <c r="B475" s="5"/>
      <c r="C475" s="5"/>
    </row>
    <row r="476" spans="1:3" x14ac:dyDescent="0.25">
      <c r="A476" s="5"/>
      <c r="B476" s="5"/>
      <c r="C476" s="5"/>
    </row>
    <row r="477" spans="1:3" x14ac:dyDescent="0.25">
      <c r="A477" s="5"/>
      <c r="B477" s="5"/>
      <c r="C477" s="5"/>
    </row>
    <row r="478" spans="1:3" x14ac:dyDescent="0.25">
      <c r="A478" s="5"/>
      <c r="B478" s="5"/>
      <c r="C478" s="5"/>
    </row>
    <row r="479" spans="1:3" x14ac:dyDescent="0.25">
      <c r="A479" s="5"/>
      <c r="B479" s="5"/>
      <c r="C479" s="5"/>
    </row>
    <row r="480" spans="1:3" x14ac:dyDescent="0.25">
      <c r="A480" s="5"/>
      <c r="B480" s="5"/>
      <c r="C480" s="5"/>
    </row>
    <row r="481" spans="1:3" x14ac:dyDescent="0.25">
      <c r="A481" s="5"/>
      <c r="B481" s="5"/>
      <c r="C481" s="5"/>
    </row>
    <row r="482" spans="1:3" x14ac:dyDescent="0.25">
      <c r="A482" s="5"/>
      <c r="B482" s="5"/>
      <c r="C482" s="5"/>
    </row>
    <row r="483" spans="1:3" x14ac:dyDescent="0.25">
      <c r="A483" s="5"/>
      <c r="B483" s="5"/>
      <c r="C483" s="5"/>
    </row>
    <row r="484" spans="1:3" x14ac:dyDescent="0.25">
      <c r="A484" s="5"/>
      <c r="B484" s="5"/>
      <c r="C484" s="5"/>
    </row>
    <row r="485" spans="1:3" x14ac:dyDescent="0.25">
      <c r="A485" s="5"/>
      <c r="B485" s="5"/>
      <c r="C485" s="5"/>
    </row>
    <row r="486" spans="1:3" x14ac:dyDescent="0.25">
      <c r="A486" s="5"/>
      <c r="B486" s="5"/>
      <c r="C486" s="5"/>
    </row>
    <row r="487" spans="1:3" x14ac:dyDescent="0.25">
      <c r="A487" s="5"/>
      <c r="B487" s="5"/>
      <c r="C487" s="5"/>
    </row>
    <row r="488" spans="1:3" x14ac:dyDescent="0.25">
      <c r="A488" s="5"/>
      <c r="B488" s="5"/>
      <c r="C488" s="5"/>
    </row>
    <row r="489" spans="1:3" x14ac:dyDescent="0.25">
      <c r="A489" s="5"/>
      <c r="B489" s="5"/>
      <c r="C489" s="5"/>
    </row>
    <row r="490" spans="1:3" x14ac:dyDescent="0.25">
      <c r="A490" s="5"/>
      <c r="B490" s="5"/>
      <c r="C490" s="5"/>
    </row>
    <row r="491" spans="1:3" x14ac:dyDescent="0.25">
      <c r="A491" s="5"/>
      <c r="B491" s="5"/>
      <c r="C491" s="5"/>
    </row>
    <row r="492" spans="1:3" x14ac:dyDescent="0.25">
      <c r="A492" s="5"/>
      <c r="B492" s="5"/>
      <c r="C492" s="5"/>
    </row>
    <row r="493" spans="1:3" x14ac:dyDescent="0.25">
      <c r="A493" s="5"/>
      <c r="B493" s="5"/>
      <c r="C493" s="5"/>
    </row>
    <row r="494" spans="1:3" x14ac:dyDescent="0.25">
      <c r="A494" s="5"/>
      <c r="B494" s="5"/>
      <c r="C494" s="5"/>
    </row>
    <row r="495" spans="1:3" x14ac:dyDescent="0.25">
      <c r="A495" s="5"/>
      <c r="B495" s="5"/>
      <c r="C495" s="5"/>
    </row>
    <row r="496" spans="1:3" x14ac:dyDescent="0.25">
      <c r="A496" s="5"/>
      <c r="B496" s="5"/>
      <c r="C496" s="5"/>
    </row>
    <row r="497" spans="1:3" x14ac:dyDescent="0.25">
      <c r="A497" s="5"/>
      <c r="B497" s="5"/>
      <c r="C497" s="5"/>
    </row>
    <row r="498" spans="1:3" x14ac:dyDescent="0.25">
      <c r="A498" s="5"/>
      <c r="B498" s="5"/>
      <c r="C498" s="5"/>
    </row>
    <row r="499" spans="1:3" x14ac:dyDescent="0.25">
      <c r="A499" s="5"/>
      <c r="B499" s="5"/>
      <c r="C499" s="5"/>
    </row>
    <row r="500" spans="1:3" x14ac:dyDescent="0.25">
      <c r="A500" s="5"/>
      <c r="B500" s="5"/>
      <c r="C500" s="5"/>
    </row>
    <row r="501" spans="1:3" x14ac:dyDescent="0.25">
      <c r="A501" s="5"/>
      <c r="B501" s="5"/>
      <c r="C501" s="5"/>
    </row>
    <row r="502" spans="1:3" x14ac:dyDescent="0.25">
      <c r="A502" s="5"/>
      <c r="B502" s="5"/>
      <c r="C502" s="5"/>
    </row>
    <row r="503" spans="1:3" x14ac:dyDescent="0.25">
      <c r="A503" s="5"/>
      <c r="B503" s="5"/>
      <c r="C503" s="5"/>
    </row>
    <row r="504" spans="1:3" x14ac:dyDescent="0.25">
      <c r="A504" s="5"/>
      <c r="B504" s="5"/>
      <c r="C504" s="5"/>
    </row>
    <row r="505" spans="1:3" x14ac:dyDescent="0.25">
      <c r="A505" s="5"/>
      <c r="B505" s="5"/>
      <c r="C505" s="5"/>
    </row>
    <row r="506" spans="1:3" x14ac:dyDescent="0.25">
      <c r="A506" s="5"/>
      <c r="B506" s="5"/>
      <c r="C506" s="5"/>
    </row>
    <row r="507" spans="1:3" x14ac:dyDescent="0.25">
      <c r="A507" s="5"/>
      <c r="B507" s="5"/>
      <c r="C507" s="5"/>
    </row>
    <row r="508" spans="1:3" x14ac:dyDescent="0.25">
      <c r="A508" s="5"/>
      <c r="B508" s="5"/>
      <c r="C508" s="5"/>
    </row>
    <row r="509" spans="1:3" x14ac:dyDescent="0.25">
      <c r="A509" s="5"/>
      <c r="B509" s="5"/>
      <c r="C509" s="5"/>
    </row>
    <row r="510" spans="1:3" x14ac:dyDescent="0.25">
      <c r="A510" s="5"/>
      <c r="B510" s="5"/>
      <c r="C510" s="5"/>
    </row>
    <row r="511" spans="1:3" x14ac:dyDescent="0.25">
      <c r="A511" s="5"/>
      <c r="B511" s="5"/>
      <c r="C511" s="5"/>
    </row>
    <row r="512" spans="1:3" x14ac:dyDescent="0.25">
      <c r="A512" s="5"/>
      <c r="B512" s="5"/>
      <c r="C512" s="5"/>
    </row>
    <row r="513" spans="1:3" x14ac:dyDescent="0.25">
      <c r="A513" s="5"/>
      <c r="B513" s="5"/>
      <c r="C513" s="5"/>
    </row>
    <row r="514" spans="1:3" x14ac:dyDescent="0.25">
      <c r="A514" s="5"/>
      <c r="B514" s="5"/>
      <c r="C514" s="5"/>
    </row>
    <row r="515" spans="1:3" x14ac:dyDescent="0.25">
      <c r="A515" s="5"/>
      <c r="B515" s="5"/>
      <c r="C515" s="5"/>
    </row>
    <row r="516" spans="1:3" x14ac:dyDescent="0.25">
      <c r="A516" s="5"/>
      <c r="B516" s="5"/>
      <c r="C516" s="5"/>
    </row>
    <row r="517" spans="1:3" x14ac:dyDescent="0.25">
      <c r="A517" s="5"/>
      <c r="B517" s="5"/>
      <c r="C517" s="5"/>
    </row>
    <row r="518" spans="1:3" x14ac:dyDescent="0.25">
      <c r="A518" s="5"/>
      <c r="B518" s="5"/>
      <c r="C518" s="5"/>
    </row>
    <row r="519" spans="1:3" x14ac:dyDescent="0.25">
      <c r="A519" s="5"/>
      <c r="B519" s="5"/>
      <c r="C519" s="5"/>
    </row>
    <row r="520" spans="1:3" x14ac:dyDescent="0.25">
      <c r="A520" s="5"/>
      <c r="B520" s="5"/>
      <c r="C520" s="5"/>
    </row>
    <row r="521" spans="1:3" x14ac:dyDescent="0.25">
      <c r="A521" s="5"/>
      <c r="B521" s="5"/>
      <c r="C521" s="5"/>
    </row>
    <row r="522" spans="1:3" x14ac:dyDescent="0.25">
      <c r="A522" s="5"/>
      <c r="B522" s="5"/>
      <c r="C522" s="5"/>
    </row>
    <row r="523" spans="1:3" x14ac:dyDescent="0.25">
      <c r="A523" s="5"/>
      <c r="B523" s="5"/>
      <c r="C523" s="5"/>
    </row>
    <row r="524" spans="1:3" x14ac:dyDescent="0.25">
      <c r="A524" s="5"/>
      <c r="B524" s="5"/>
      <c r="C524" s="5"/>
    </row>
    <row r="525" spans="1:3" x14ac:dyDescent="0.25">
      <c r="A525" s="5"/>
      <c r="B525" s="5"/>
      <c r="C525" s="5"/>
    </row>
    <row r="526" spans="1:3" x14ac:dyDescent="0.25">
      <c r="A526" s="5"/>
      <c r="B526" s="5"/>
      <c r="C526" s="5"/>
    </row>
    <row r="527" spans="1:3" x14ac:dyDescent="0.25">
      <c r="A527" s="5"/>
      <c r="B527" s="5"/>
      <c r="C527" s="5"/>
    </row>
    <row r="528" spans="1:3" x14ac:dyDescent="0.25">
      <c r="A528" s="5"/>
      <c r="B528" s="5"/>
      <c r="C528" s="5"/>
    </row>
    <row r="529" spans="1:3" x14ac:dyDescent="0.25">
      <c r="A529" s="5"/>
      <c r="B529" s="5"/>
      <c r="C529" s="5"/>
    </row>
    <row r="530" spans="1:3" x14ac:dyDescent="0.25">
      <c r="A530" s="5"/>
      <c r="B530" s="5"/>
      <c r="C530" s="5"/>
    </row>
    <row r="531" spans="1:3" x14ac:dyDescent="0.25">
      <c r="A531" s="5"/>
      <c r="B531" s="5"/>
      <c r="C531" s="5"/>
    </row>
    <row r="532" spans="1:3" x14ac:dyDescent="0.25">
      <c r="A532" s="5"/>
      <c r="B532" s="5"/>
      <c r="C532" s="5"/>
    </row>
    <row r="533" spans="1:3" x14ac:dyDescent="0.25">
      <c r="A533" s="5"/>
      <c r="B533" s="5"/>
      <c r="C533" s="5"/>
    </row>
    <row r="534" spans="1:3" x14ac:dyDescent="0.25">
      <c r="A534" s="5"/>
      <c r="B534" s="5"/>
      <c r="C534" s="5"/>
    </row>
    <row r="535" spans="1:3" x14ac:dyDescent="0.25">
      <c r="A535" s="5"/>
      <c r="B535" s="5"/>
      <c r="C535" s="5"/>
    </row>
    <row r="536" spans="1:3" x14ac:dyDescent="0.25">
      <c r="A536" s="5"/>
      <c r="B536" s="5"/>
      <c r="C536" s="5"/>
    </row>
    <row r="537" spans="1:3" x14ac:dyDescent="0.25">
      <c r="A537" s="5"/>
      <c r="B537" s="5"/>
      <c r="C537" s="5"/>
    </row>
    <row r="538" spans="1:3" x14ac:dyDescent="0.25">
      <c r="A538" s="5"/>
      <c r="B538" s="5"/>
      <c r="C538" s="5"/>
    </row>
    <row r="539" spans="1:3" x14ac:dyDescent="0.25">
      <c r="A539" s="5"/>
      <c r="B539" s="5"/>
      <c r="C539" s="5"/>
    </row>
    <row r="540" spans="1:3" x14ac:dyDescent="0.25">
      <c r="A540" s="5"/>
      <c r="B540" s="5"/>
      <c r="C540" s="5"/>
    </row>
    <row r="541" spans="1:3" x14ac:dyDescent="0.25">
      <c r="A541" s="5"/>
      <c r="B541" s="5"/>
      <c r="C541" s="5"/>
    </row>
    <row r="542" spans="1:3" x14ac:dyDescent="0.25">
      <c r="A542" s="5"/>
      <c r="B542" s="5"/>
      <c r="C542" s="5"/>
    </row>
    <row r="543" spans="1:3" x14ac:dyDescent="0.25">
      <c r="A543" s="5"/>
      <c r="B543" s="5"/>
      <c r="C543" s="5"/>
    </row>
    <row r="544" spans="1:3" x14ac:dyDescent="0.25">
      <c r="A544" s="5"/>
      <c r="B544" s="5"/>
      <c r="C544" s="5"/>
    </row>
    <row r="545" spans="1:3" x14ac:dyDescent="0.25">
      <c r="A545" s="5"/>
      <c r="B545" s="5"/>
      <c r="C545" s="5"/>
    </row>
    <row r="546" spans="1:3" x14ac:dyDescent="0.25">
      <c r="A546" s="5"/>
      <c r="B546" s="5"/>
      <c r="C546" s="5"/>
    </row>
    <row r="547" spans="1:3" x14ac:dyDescent="0.25">
      <c r="A547" s="5"/>
      <c r="B547" s="5"/>
      <c r="C547" s="5"/>
    </row>
    <row r="548" spans="1:3" x14ac:dyDescent="0.25">
      <c r="A548" s="5"/>
      <c r="B548" s="5"/>
      <c r="C548" s="5"/>
    </row>
    <row r="549" spans="1:3" x14ac:dyDescent="0.25">
      <c r="A549" s="5"/>
      <c r="B549" s="5"/>
      <c r="C549" s="5"/>
    </row>
    <row r="550" spans="1:3" x14ac:dyDescent="0.25">
      <c r="A550" s="5"/>
      <c r="B550" s="5"/>
      <c r="C550" s="5"/>
    </row>
    <row r="551" spans="1:3" x14ac:dyDescent="0.25">
      <c r="A551" s="5"/>
      <c r="B551" s="5"/>
      <c r="C551" s="5"/>
    </row>
    <row r="552" spans="1:3" x14ac:dyDescent="0.25">
      <c r="A552" s="5"/>
      <c r="B552" s="5"/>
      <c r="C552" s="5"/>
    </row>
    <row r="553" spans="1:3" x14ac:dyDescent="0.25">
      <c r="A553" s="5"/>
      <c r="B553" s="5"/>
      <c r="C553" s="5"/>
    </row>
    <row r="554" spans="1:3" x14ac:dyDescent="0.25">
      <c r="A554" s="5"/>
      <c r="B554" s="5"/>
      <c r="C554" s="5"/>
    </row>
    <row r="555" spans="1:3" x14ac:dyDescent="0.25">
      <c r="A555" s="5"/>
      <c r="B555" s="5"/>
      <c r="C555" s="5"/>
    </row>
    <row r="556" spans="1:3" x14ac:dyDescent="0.25">
      <c r="A556" s="5"/>
      <c r="B556" s="5"/>
      <c r="C556" s="5"/>
    </row>
    <row r="557" spans="1:3" x14ac:dyDescent="0.25">
      <c r="A557" s="5"/>
      <c r="B557" s="5"/>
      <c r="C557" s="5"/>
    </row>
    <row r="558" spans="1:3" x14ac:dyDescent="0.25">
      <c r="A558" s="5"/>
      <c r="B558" s="5"/>
      <c r="C558" s="5"/>
    </row>
    <row r="559" spans="1:3" x14ac:dyDescent="0.25">
      <c r="A559" s="5"/>
      <c r="B559" s="5"/>
      <c r="C559" s="5"/>
    </row>
    <row r="560" spans="1:3" x14ac:dyDescent="0.25">
      <c r="A560" s="5"/>
      <c r="B560" s="5"/>
      <c r="C560" s="5"/>
    </row>
    <row r="561" spans="1:3" x14ac:dyDescent="0.25">
      <c r="A561" s="5"/>
      <c r="B561" s="5"/>
      <c r="C561" s="5"/>
    </row>
    <row r="562" spans="1:3" x14ac:dyDescent="0.25">
      <c r="A562" s="5"/>
      <c r="B562" s="5"/>
      <c r="C562" s="5"/>
    </row>
    <row r="563" spans="1:3" x14ac:dyDescent="0.25">
      <c r="A563" s="5"/>
      <c r="B563" s="5"/>
      <c r="C563" s="5"/>
    </row>
    <row r="564" spans="1:3" x14ac:dyDescent="0.25">
      <c r="A564" s="5"/>
      <c r="B564" s="5"/>
      <c r="C564" s="5"/>
    </row>
    <row r="565" spans="1:3" x14ac:dyDescent="0.25">
      <c r="A565" s="5"/>
      <c r="B565" s="5"/>
      <c r="C565" s="5"/>
    </row>
    <row r="566" spans="1:3" x14ac:dyDescent="0.25">
      <c r="A566" s="5"/>
      <c r="B566" s="5"/>
      <c r="C566" s="5"/>
    </row>
    <row r="567" spans="1:3" x14ac:dyDescent="0.25">
      <c r="A567" s="5"/>
      <c r="B567" s="5"/>
      <c r="C567" s="5"/>
    </row>
    <row r="568" spans="1:3" x14ac:dyDescent="0.25">
      <c r="A568" s="5"/>
      <c r="B568" s="5"/>
      <c r="C568" s="5"/>
    </row>
    <row r="569" spans="1:3" x14ac:dyDescent="0.25">
      <c r="A569" s="5"/>
      <c r="B569" s="5"/>
      <c r="C569" s="5"/>
    </row>
    <row r="570" spans="1:3" x14ac:dyDescent="0.25">
      <c r="A570" s="5"/>
      <c r="B570" s="5"/>
      <c r="C570" s="5"/>
    </row>
    <row r="571" spans="1:3" x14ac:dyDescent="0.25">
      <c r="A571" s="5"/>
      <c r="B571" s="5"/>
      <c r="C571" s="5"/>
    </row>
    <row r="572" spans="1:3" x14ac:dyDescent="0.25">
      <c r="A572" s="5"/>
      <c r="B572" s="5"/>
      <c r="C572" s="5"/>
    </row>
    <row r="573" spans="1:3" x14ac:dyDescent="0.25">
      <c r="A573" s="5"/>
      <c r="B573" s="5"/>
      <c r="C573" s="5"/>
    </row>
    <row r="574" spans="1:3" x14ac:dyDescent="0.25">
      <c r="A574" s="5"/>
      <c r="B574" s="5"/>
      <c r="C574" s="5"/>
    </row>
    <row r="575" spans="1:3" x14ac:dyDescent="0.25">
      <c r="A575" s="5"/>
      <c r="B575" s="5"/>
      <c r="C575" s="5"/>
    </row>
    <row r="576" spans="1:3" x14ac:dyDescent="0.25">
      <c r="A576" s="5"/>
      <c r="B576" s="5"/>
      <c r="C576" s="5"/>
    </row>
    <row r="577" spans="1:3" x14ac:dyDescent="0.25">
      <c r="A577" s="5"/>
      <c r="B577" s="5"/>
      <c r="C577" s="5"/>
    </row>
    <row r="578" spans="1:3" x14ac:dyDescent="0.25">
      <c r="A578" s="5"/>
      <c r="B578" s="5"/>
      <c r="C578" s="5"/>
    </row>
    <row r="579" spans="1:3" x14ac:dyDescent="0.25">
      <c r="A579" s="5"/>
      <c r="B579" s="5"/>
      <c r="C579" s="5"/>
    </row>
    <row r="580" spans="1:3" x14ac:dyDescent="0.25">
      <c r="A580" s="5"/>
      <c r="B580" s="5"/>
      <c r="C580" s="5"/>
    </row>
    <row r="581" spans="1:3" x14ac:dyDescent="0.25">
      <c r="A581" s="5"/>
      <c r="B581" s="5"/>
      <c r="C581" s="5"/>
    </row>
    <row r="582" spans="1:3" x14ac:dyDescent="0.25">
      <c r="A582" s="5"/>
      <c r="B582" s="5"/>
      <c r="C582" s="5"/>
    </row>
    <row r="583" spans="1:3" x14ac:dyDescent="0.25">
      <c r="A583" s="5"/>
      <c r="B583" s="5"/>
      <c r="C583" s="5"/>
    </row>
    <row r="584" spans="1:3" x14ac:dyDescent="0.25">
      <c r="A584" s="5"/>
      <c r="B584" s="5"/>
      <c r="C584" s="5"/>
    </row>
    <row r="585" spans="1:3" x14ac:dyDescent="0.25">
      <c r="A585" s="5"/>
      <c r="B585" s="5"/>
      <c r="C585" s="5"/>
    </row>
    <row r="586" spans="1:3" x14ac:dyDescent="0.25">
      <c r="A586" s="5"/>
      <c r="B586" s="5"/>
      <c r="C586" s="5"/>
    </row>
    <row r="587" spans="1:3" x14ac:dyDescent="0.25">
      <c r="A587" s="5"/>
      <c r="B587" s="5"/>
      <c r="C587" s="5"/>
    </row>
    <row r="588" spans="1:3" x14ac:dyDescent="0.25">
      <c r="A588" s="5"/>
      <c r="B588" s="5"/>
      <c r="C588" s="5"/>
    </row>
    <row r="589" spans="1:3" x14ac:dyDescent="0.25">
      <c r="A589" s="5"/>
      <c r="B589" s="5"/>
      <c r="C589" s="5"/>
    </row>
    <row r="590" spans="1:3" x14ac:dyDescent="0.25">
      <c r="A590" s="5"/>
      <c r="B590" s="5"/>
      <c r="C590" s="5"/>
    </row>
    <row r="591" spans="1:3" x14ac:dyDescent="0.25">
      <c r="A591" s="5"/>
      <c r="B591" s="5"/>
      <c r="C591" s="5"/>
    </row>
    <row r="592" spans="1:3" x14ac:dyDescent="0.25">
      <c r="A592" s="5"/>
      <c r="B592" s="5"/>
      <c r="C592" s="5"/>
    </row>
    <row r="593" spans="1:3" x14ac:dyDescent="0.25">
      <c r="A593" s="5"/>
      <c r="B593" s="5"/>
      <c r="C593" s="5"/>
    </row>
    <row r="594" spans="1:3" x14ac:dyDescent="0.25">
      <c r="A594" s="5"/>
      <c r="B594" s="5"/>
      <c r="C594" s="5"/>
    </row>
    <row r="595" spans="1:3" x14ac:dyDescent="0.25">
      <c r="A595" s="5"/>
      <c r="B595" s="5"/>
      <c r="C595" s="5"/>
    </row>
    <row r="596" spans="1:3" x14ac:dyDescent="0.25">
      <c r="A596" s="5"/>
      <c r="B596" s="5"/>
      <c r="C596" s="5"/>
    </row>
    <row r="597" spans="1:3" x14ac:dyDescent="0.25">
      <c r="A597" s="5"/>
      <c r="B597" s="5"/>
      <c r="C597" s="5"/>
    </row>
    <row r="598" spans="1:3" x14ac:dyDescent="0.25">
      <c r="A598" s="5"/>
      <c r="B598" s="5"/>
      <c r="C598" s="5"/>
    </row>
    <row r="599" spans="1:3" x14ac:dyDescent="0.25">
      <c r="A599" s="5"/>
      <c r="B599" s="5"/>
      <c r="C599" s="5"/>
    </row>
    <row r="600" spans="1:3" x14ac:dyDescent="0.25">
      <c r="A600" s="5"/>
      <c r="B600" s="5"/>
      <c r="C600" s="5"/>
    </row>
    <row r="601" spans="1:3" x14ac:dyDescent="0.25">
      <c r="A601" s="5"/>
      <c r="B601" s="5"/>
      <c r="C601" s="5"/>
    </row>
    <row r="602" spans="1:3" x14ac:dyDescent="0.25">
      <c r="A602" s="5"/>
      <c r="B602" s="5"/>
      <c r="C602" s="5"/>
    </row>
    <row r="603" spans="1:3" x14ac:dyDescent="0.25">
      <c r="A603" s="5"/>
      <c r="B603" s="5"/>
      <c r="C603" s="5"/>
    </row>
    <row r="604" spans="1:3" x14ac:dyDescent="0.25">
      <c r="A604" s="5"/>
      <c r="B604" s="5"/>
      <c r="C604" s="5"/>
    </row>
    <row r="605" spans="1:3" x14ac:dyDescent="0.25">
      <c r="A605" s="5"/>
      <c r="B605" s="5"/>
      <c r="C605" s="5"/>
    </row>
    <row r="606" spans="1:3" x14ac:dyDescent="0.25">
      <c r="A606" s="5"/>
      <c r="B606" s="5"/>
      <c r="C606" s="5"/>
    </row>
    <row r="607" spans="1:3" x14ac:dyDescent="0.25">
      <c r="A607" s="5"/>
      <c r="B607" s="5"/>
      <c r="C607" s="5"/>
    </row>
    <row r="608" spans="1:3" x14ac:dyDescent="0.25">
      <c r="A608" s="5"/>
      <c r="B608" s="5"/>
      <c r="C608" s="5"/>
    </row>
    <row r="609" spans="1:3" x14ac:dyDescent="0.25">
      <c r="A609" s="5"/>
      <c r="B609" s="5"/>
      <c r="C609" s="5"/>
    </row>
    <row r="610" spans="1:3" x14ac:dyDescent="0.25">
      <c r="A610" s="5"/>
      <c r="B610" s="5"/>
      <c r="C610" s="5"/>
    </row>
    <row r="611" spans="1:3" x14ac:dyDescent="0.25">
      <c r="A611" s="5"/>
      <c r="B611" s="5"/>
      <c r="C611" s="5"/>
    </row>
    <row r="612" spans="1:3" x14ac:dyDescent="0.25">
      <c r="A612" s="5"/>
      <c r="B612" s="5"/>
      <c r="C612" s="5"/>
    </row>
    <row r="613" spans="1:3" x14ac:dyDescent="0.25">
      <c r="A613" s="5"/>
      <c r="B613" s="5"/>
      <c r="C613" s="5"/>
    </row>
    <row r="614" spans="1:3" x14ac:dyDescent="0.25">
      <c r="A614" s="5"/>
      <c r="B614" s="5"/>
      <c r="C614" s="5"/>
    </row>
    <row r="615" spans="1:3" x14ac:dyDescent="0.25">
      <c r="A615" s="5"/>
      <c r="B615" s="5"/>
      <c r="C615" s="5"/>
    </row>
    <row r="616" spans="1:3" x14ac:dyDescent="0.25">
      <c r="A616" s="5"/>
      <c r="B616" s="5"/>
      <c r="C616" s="5"/>
    </row>
    <row r="617" spans="1:3" x14ac:dyDescent="0.25">
      <c r="A617" s="5"/>
      <c r="B617" s="5"/>
      <c r="C617" s="5"/>
    </row>
    <row r="618" spans="1:3" x14ac:dyDescent="0.25">
      <c r="A618" s="5"/>
      <c r="B618" s="5"/>
      <c r="C618" s="5"/>
    </row>
    <row r="619" spans="1:3" x14ac:dyDescent="0.25">
      <c r="A619" s="5"/>
      <c r="B619" s="5"/>
      <c r="C619" s="5"/>
    </row>
    <row r="620" spans="1:3" x14ac:dyDescent="0.25">
      <c r="A620" s="5"/>
      <c r="B620" s="5"/>
      <c r="C620" s="5"/>
    </row>
    <row r="621" spans="1:3" x14ac:dyDescent="0.25">
      <c r="A621" s="5"/>
      <c r="B621" s="5"/>
      <c r="C621" s="5"/>
    </row>
    <row r="622" spans="1:3" x14ac:dyDescent="0.25">
      <c r="A622" s="5"/>
      <c r="B622" s="5"/>
      <c r="C622" s="5"/>
    </row>
    <row r="623" spans="1:3" x14ac:dyDescent="0.25">
      <c r="A623" s="5"/>
      <c r="B623" s="5"/>
      <c r="C623" s="5"/>
    </row>
    <row r="624" spans="1:3" x14ac:dyDescent="0.25">
      <c r="A624" s="5"/>
      <c r="B624" s="5"/>
      <c r="C624" s="5"/>
    </row>
    <row r="625" spans="1:3" x14ac:dyDescent="0.25">
      <c r="A625" s="5"/>
      <c r="B625" s="5"/>
      <c r="C625" s="5"/>
    </row>
    <row r="626" spans="1:3" x14ac:dyDescent="0.25">
      <c r="A626" s="5"/>
      <c r="B626" s="5"/>
      <c r="C626" s="5"/>
    </row>
    <row r="627" spans="1:3" x14ac:dyDescent="0.25">
      <c r="A627" s="5"/>
      <c r="B627" s="5"/>
      <c r="C627" s="5"/>
    </row>
    <row r="628" spans="1:3" x14ac:dyDescent="0.25">
      <c r="A628" s="5"/>
      <c r="B628" s="5"/>
      <c r="C628" s="5"/>
    </row>
    <row r="629" spans="1:3" x14ac:dyDescent="0.25">
      <c r="A629" s="5"/>
      <c r="B629" s="5"/>
      <c r="C629" s="5"/>
    </row>
    <row r="630" spans="1:3" x14ac:dyDescent="0.25">
      <c r="A630" s="5"/>
      <c r="B630" s="5"/>
      <c r="C630" s="5"/>
    </row>
    <row r="631" spans="1:3" x14ac:dyDescent="0.25">
      <c r="A631" s="5"/>
      <c r="B631" s="5"/>
      <c r="C631" s="5"/>
    </row>
    <row r="632" spans="1:3" x14ac:dyDescent="0.25">
      <c r="A632" s="5"/>
      <c r="B632" s="5"/>
      <c r="C632" s="5"/>
    </row>
    <row r="633" spans="1:3" x14ac:dyDescent="0.25">
      <c r="A633" s="5"/>
      <c r="B633" s="5"/>
      <c r="C633" s="5"/>
    </row>
    <row r="634" spans="1:3" x14ac:dyDescent="0.25">
      <c r="A634" s="5"/>
      <c r="B634" s="5"/>
      <c r="C634" s="5"/>
    </row>
    <row r="635" spans="1:3" x14ac:dyDescent="0.25">
      <c r="A635" s="5"/>
      <c r="B635" s="5"/>
      <c r="C635" s="5"/>
    </row>
    <row r="636" spans="1:3" x14ac:dyDescent="0.25">
      <c r="A636" s="5"/>
      <c r="B636" s="5"/>
      <c r="C636" s="5"/>
    </row>
    <row r="637" spans="1:3" x14ac:dyDescent="0.25">
      <c r="A637" s="5"/>
      <c r="B637" s="5"/>
      <c r="C637" s="5"/>
    </row>
    <row r="638" spans="1:3" x14ac:dyDescent="0.25">
      <c r="A638" s="5"/>
      <c r="B638" s="5"/>
      <c r="C638" s="5"/>
    </row>
    <row r="639" spans="1:3" x14ac:dyDescent="0.25">
      <c r="A639" s="5"/>
      <c r="B639" s="5"/>
      <c r="C639" s="5"/>
    </row>
    <row r="640" spans="1:3" x14ac:dyDescent="0.25">
      <c r="A640" s="5"/>
      <c r="B640" s="5"/>
      <c r="C640" s="5"/>
    </row>
    <row r="641" spans="1:3" x14ac:dyDescent="0.25">
      <c r="A641" s="5"/>
      <c r="B641" s="5"/>
      <c r="C641" s="5"/>
    </row>
    <row r="642" spans="1:3" x14ac:dyDescent="0.25">
      <c r="A642" s="5"/>
      <c r="B642" s="5"/>
      <c r="C642" s="5"/>
    </row>
    <row r="643" spans="1:3" x14ac:dyDescent="0.25">
      <c r="A643" s="5"/>
      <c r="B643" s="5"/>
      <c r="C643" s="5"/>
    </row>
    <row r="644" spans="1:3" x14ac:dyDescent="0.25">
      <c r="A644" s="5"/>
      <c r="B644" s="5"/>
      <c r="C644" s="5"/>
    </row>
    <row r="645" spans="1:3" x14ac:dyDescent="0.25">
      <c r="A645" s="5"/>
      <c r="B645" s="5"/>
      <c r="C645" s="5"/>
    </row>
    <row r="646" spans="1:3" x14ac:dyDescent="0.25">
      <c r="A646" s="5"/>
      <c r="B646" s="5"/>
      <c r="C646" s="5"/>
    </row>
    <row r="647" spans="1:3" x14ac:dyDescent="0.25">
      <c r="A647" s="5"/>
      <c r="B647" s="5"/>
      <c r="C647" s="5"/>
    </row>
    <row r="648" spans="1:3" x14ac:dyDescent="0.25">
      <c r="A648" s="5"/>
      <c r="B648" s="5"/>
      <c r="C648" s="5"/>
    </row>
    <row r="649" spans="1:3" x14ac:dyDescent="0.25">
      <c r="A649" s="5"/>
      <c r="B649" s="5"/>
      <c r="C649" s="5"/>
    </row>
    <row r="650" spans="1:3" x14ac:dyDescent="0.25">
      <c r="A650" s="5"/>
      <c r="B650" s="5"/>
      <c r="C650" s="5"/>
    </row>
    <row r="651" spans="1:3" x14ac:dyDescent="0.25">
      <c r="A651" s="5"/>
      <c r="B651" s="5"/>
      <c r="C651" s="5"/>
    </row>
    <row r="652" spans="1:3" x14ac:dyDescent="0.25">
      <c r="A652" s="5"/>
      <c r="B652" s="5"/>
      <c r="C652" s="5"/>
    </row>
    <row r="653" spans="1:3" x14ac:dyDescent="0.25">
      <c r="A653" s="5"/>
      <c r="B653" s="5"/>
      <c r="C653" s="5"/>
    </row>
    <row r="654" spans="1:3" x14ac:dyDescent="0.25">
      <c r="A654" s="5"/>
      <c r="B654" s="5"/>
      <c r="C654" s="5"/>
    </row>
    <row r="655" spans="1:3" x14ac:dyDescent="0.25">
      <c r="A655" s="5"/>
      <c r="B655" s="5"/>
      <c r="C655" s="5"/>
    </row>
    <row r="656" spans="1:3" x14ac:dyDescent="0.25">
      <c r="A656" s="5"/>
      <c r="B656" s="5"/>
      <c r="C656" s="5"/>
    </row>
    <row r="657" spans="1:3" x14ac:dyDescent="0.25">
      <c r="A657" s="5"/>
      <c r="B657" s="5"/>
      <c r="C657" s="5"/>
    </row>
    <row r="658" spans="1:3" x14ac:dyDescent="0.25">
      <c r="A658" s="5"/>
      <c r="B658" s="5"/>
      <c r="C658" s="5"/>
    </row>
    <row r="659" spans="1:3" x14ac:dyDescent="0.25">
      <c r="A659" s="5"/>
      <c r="B659" s="5"/>
      <c r="C659" s="5"/>
    </row>
    <row r="660" spans="1:3" x14ac:dyDescent="0.25">
      <c r="A660" s="5"/>
      <c r="B660" s="5"/>
      <c r="C660" s="5"/>
    </row>
    <row r="661" spans="1:3" x14ac:dyDescent="0.25">
      <c r="A661" s="5"/>
      <c r="B661" s="5"/>
      <c r="C661" s="5"/>
    </row>
    <row r="662" spans="1:3" x14ac:dyDescent="0.25">
      <c r="A662" s="5"/>
      <c r="B662" s="5"/>
      <c r="C662" s="5"/>
    </row>
    <row r="663" spans="1:3" x14ac:dyDescent="0.25">
      <c r="A663" s="5"/>
      <c r="B663" s="5"/>
      <c r="C663" s="5"/>
    </row>
    <row r="664" spans="1:3" x14ac:dyDescent="0.25">
      <c r="A664" s="5"/>
      <c r="B664" s="5"/>
      <c r="C664" s="5"/>
    </row>
    <row r="665" spans="1:3" x14ac:dyDescent="0.25">
      <c r="A665" s="5"/>
      <c r="B665" s="5"/>
      <c r="C665" s="5"/>
    </row>
    <row r="666" spans="1:3" x14ac:dyDescent="0.25">
      <c r="A666" s="5"/>
      <c r="B666" s="5"/>
      <c r="C666" s="5"/>
    </row>
    <row r="667" spans="1:3" x14ac:dyDescent="0.25">
      <c r="A667" s="5"/>
      <c r="B667" s="5"/>
      <c r="C667" s="5"/>
    </row>
    <row r="668" spans="1:3" x14ac:dyDescent="0.25">
      <c r="A668" s="5"/>
      <c r="B668" s="5"/>
      <c r="C668" s="5"/>
    </row>
    <row r="669" spans="1:3" x14ac:dyDescent="0.25">
      <c r="A669" s="5"/>
      <c r="B669" s="5"/>
      <c r="C669" s="5"/>
    </row>
    <row r="670" spans="1:3" x14ac:dyDescent="0.25">
      <c r="A670" s="5"/>
      <c r="B670" s="5"/>
      <c r="C670" s="5"/>
    </row>
    <row r="671" spans="1:3" x14ac:dyDescent="0.25">
      <c r="A671" s="5"/>
      <c r="B671" s="5"/>
      <c r="C671" s="5"/>
    </row>
    <row r="672" spans="1:3" x14ac:dyDescent="0.25">
      <c r="A672" s="5"/>
      <c r="B672" s="5"/>
      <c r="C672" s="5"/>
    </row>
    <row r="673" spans="1:3" x14ac:dyDescent="0.25">
      <c r="A673" s="5"/>
      <c r="B673" s="5"/>
      <c r="C673" s="5"/>
    </row>
    <row r="674" spans="1:3" x14ac:dyDescent="0.25">
      <c r="A674" s="5"/>
      <c r="B674" s="5"/>
      <c r="C674" s="5"/>
    </row>
    <row r="675" spans="1:3" x14ac:dyDescent="0.25">
      <c r="A675" s="5"/>
      <c r="B675" s="5"/>
      <c r="C675" s="5"/>
    </row>
    <row r="676" spans="1:3" x14ac:dyDescent="0.25">
      <c r="A676" s="5"/>
      <c r="B676" s="5"/>
      <c r="C676" s="5"/>
    </row>
    <row r="677" spans="1:3" x14ac:dyDescent="0.25">
      <c r="A677" s="5"/>
      <c r="B677" s="5"/>
      <c r="C677" s="5"/>
    </row>
    <row r="678" spans="1:3" x14ac:dyDescent="0.25">
      <c r="A678" s="5"/>
      <c r="B678" s="5"/>
      <c r="C678" s="5"/>
    </row>
    <row r="679" spans="1:3" x14ac:dyDescent="0.25">
      <c r="A679" s="5"/>
      <c r="B679" s="5"/>
      <c r="C679" s="5"/>
    </row>
    <row r="680" spans="1:3" x14ac:dyDescent="0.25">
      <c r="A680" s="5"/>
      <c r="B680" s="5"/>
      <c r="C680" s="5"/>
    </row>
    <row r="681" spans="1:3" x14ac:dyDescent="0.25">
      <c r="A681" s="5"/>
      <c r="B681" s="5"/>
      <c r="C681" s="5"/>
    </row>
    <row r="682" spans="1:3" x14ac:dyDescent="0.25">
      <c r="A682" s="5"/>
      <c r="B682" s="5"/>
      <c r="C682" s="5"/>
    </row>
    <row r="683" spans="1:3" x14ac:dyDescent="0.25">
      <c r="A683" s="5"/>
      <c r="B683" s="5"/>
      <c r="C683" s="5"/>
    </row>
    <row r="684" spans="1:3" x14ac:dyDescent="0.25">
      <c r="A684" s="5"/>
      <c r="B684" s="5"/>
      <c r="C684" s="5"/>
    </row>
    <row r="685" spans="1:3" x14ac:dyDescent="0.25">
      <c r="A685" s="5"/>
      <c r="B685" s="5"/>
      <c r="C685" s="5"/>
    </row>
    <row r="686" spans="1:3" x14ac:dyDescent="0.25">
      <c r="A686" s="5"/>
      <c r="B686" s="5"/>
      <c r="C686" s="5"/>
    </row>
    <row r="687" spans="1:3" x14ac:dyDescent="0.25">
      <c r="A687" s="5"/>
      <c r="B687" s="5"/>
      <c r="C687" s="5"/>
    </row>
    <row r="688" spans="1:3" x14ac:dyDescent="0.25">
      <c r="A688" s="5"/>
      <c r="B688" s="5"/>
      <c r="C688" s="5"/>
    </row>
    <row r="689" spans="1:3" x14ac:dyDescent="0.25">
      <c r="A689" s="5"/>
      <c r="B689" s="5"/>
      <c r="C689" s="5"/>
    </row>
    <row r="690" spans="1:3" x14ac:dyDescent="0.25">
      <c r="A690" s="5"/>
      <c r="B690" s="5"/>
      <c r="C690" s="5"/>
    </row>
    <row r="691" spans="1:3" x14ac:dyDescent="0.25">
      <c r="A691" s="5"/>
      <c r="B691" s="5"/>
      <c r="C691" s="5"/>
    </row>
    <row r="692" spans="1:3" x14ac:dyDescent="0.25">
      <c r="A692" s="5"/>
      <c r="B692" s="5"/>
      <c r="C692" s="5"/>
    </row>
    <row r="693" spans="1:3" x14ac:dyDescent="0.25">
      <c r="A693" s="5"/>
      <c r="B693" s="5"/>
      <c r="C693" s="5"/>
    </row>
    <row r="694" spans="1:3" x14ac:dyDescent="0.25">
      <c r="A694" s="5"/>
      <c r="B694" s="5"/>
      <c r="C694" s="5"/>
    </row>
    <row r="695" spans="1:3" x14ac:dyDescent="0.25">
      <c r="A695" s="5"/>
      <c r="B695" s="5"/>
      <c r="C695" s="5"/>
    </row>
    <row r="696" spans="1:3" x14ac:dyDescent="0.25">
      <c r="A696" s="5"/>
      <c r="B696" s="5"/>
      <c r="C696" s="5"/>
    </row>
    <row r="697" spans="1:3" x14ac:dyDescent="0.25">
      <c r="A697" s="5"/>
      <c r="B697" s="5"/>
      <c r="C697" s="5"/>
    </row>
    <row r="698" spans="1:3" x14ac:dyDescent="0.25">
      <c r="A698" s="5"/>
      <c r="B698" s="5"/>
      <c r="C698" s="5"/>
    </row>
    <row r="699" spans="1:3" x14ac:dyDescent="0.25">
      <c r="A699" s="5"/>
      <c r="B699" s="5"/>
      <c r="C699" s="5"/>
    </row>
    <row r="700" spans="1:3" x14ac:dyDescent="0.25">
      <c r="A700" s="5"/>
      <c r="B700" s="5"/>
      <c r="C700" s="5"/>
    </row>
    <row r="701" spans="1:3" x14ac:dyDescent="0.25">
      <c r="A701" s="5"/>
      <c r="B701" s="5"/>
      <c r="C701" s="5"/>
    </row>
    <row r="702" spans="1:3" x14ac:dyDescent="0.25">
      <c r="A702" s="5"/>
      <c r="B702" s="5"/>
      <c r="C702" s="5"/>
    </row>
    <row r="703" spans="1:3" x14ac:dyDescent="0.25">
      <c r="A703" s="5"/>
      <c r="B703" s="5"/>
      <c r="C703" s="5"/>
    </row>
    <row r="704" spans="1:3" x14ac:dyDescent="0.25">
      <c r="A704" s="5"/>
      <c r="B704" s="5"/>
      <c r="C704" s="5"/>
    </row>
    <row r="705" spans="1:3" x14ac:dyDescent="0.25">
      <c r="A705" s="5"/>
      <c r="B705" s="5"/>
      <c r="C705" s="5"/>
    </row>
    <row r="706" spans="1:3" x14ac:dyDescent="0.25">
      <c r="A706" s="5"/>
      <c r="B706" s="5"/>
      <c r="C706" s="5"/>
    </row>
    <row r="707" spans="1:3" x14ac:dyDescent="0.25">
      <c r="A707" s="5"/>
      <c r="B707" s="5"/>
      <c r="C707" s="5"/>
    </row>
    <row r="708" spans="1:3" x14ac:dyDescent="0.25">
      <c r="A708" s="5"/>
      <c r="B708" s="5"/>
      <c r="C708" s="5"/>
    </row>
    <row r="709" spans="1:3" x14ac:dyDescent="0.25">
      <c r="A709" s="5"/>
      <c r="B709" s="5"/>
      <c r="C709" s="5"/>
    </row>
    <row r="710" spans="1:3" x14ac:dyDescent="0.25">
      <c r="A710" s="5"/>
      <c r="B710" s="5"/>
      <c r="C710" s="5"/>
    </row>
    <row r="711" spans="1:3" x14ac:dyDescent="0.25">
      <c r="A711" s="5"/>
      <c r="B711" s="5"/>
      <c r="C711" s="5"/>
    </row>
    <row r="712" spans="1:3" x14ac:dyDescent="0.25">
      <c r="A712" s="5"/>
      <c r="B712" s="5"/>
      <c r="C712" s="5"/>
    </row>
    <row r="713" spans="1:3" x14ac:dyDescent="0.25">
      <c r="A713" s="5"/>
      <c r="B713" s="5"/>
      <c r="C713" s="5"/>
    </row>
    <row r="714" spans="1:3" x14ac:dyDescent="0.25">
      <c r="A714" s="5"/>
      <c r="B714" s="5"/>
      <c r="C714" s="5"/>
    </row>
    <row r="715" spans="1:3" x14ac:dyDescent="0.25">
      <c r="A715" s="5"/>
      <c r="B715" s="5"/>
      <c r="C715" s="5"/>
    </row>
    <row r="716" spans="1:3" x14ac:dyDescent="0.25">
      <c r="A716" s="5"/>
      <c r="B716" s="5"/>
      <c r="C716" s="5"/>
    </row>
    <row r="717" spans="1:3" x14ac:dyDescent="0.25">
      <c r="A717" s="5"/>
      <c r="B717" s="5"/>
      <c r="C717" s="5"/>
    </row>
    <row r="718" spans="1:3" x14ac:dyDescent="0.25">
      <c r="A718" s="5"/>
      <c r="B718" s="5"/>
      <c r="C718" s="5"/>
    </row>
    <row r="719" spans="1:3" x14ac:dyDescent="0.25">
      <c r="A719" s="5"/>
      <c r="B719" s="5"/>
      <c r="C719" s="5"/>
    </row>
    <row r="720" spans="1:3" x14ac:dyDescent="0.25">
      <c r="A720" s="5"/>
      <c r="B720" s="5"/>
      <c r="C720" s="5"/>
    </row>
    <row r="721" spans="1:3" x14ac:dyDescent="0.25">
      <c r="A721" s="5"/>
      <c r="B721" s="5"/>
      <c r="C721" s="5"/>
    </row>
    <row r="722" spans="1:3" x14ac:dyDescent="0.25">
      <c r="A722" s="5"/>
      <c r="B722" s="5"/>
      <c r="C722" s="5"/>
    </row>
    <row r="723" spans="1:3" x14ac:dyDescent="0.25">
      <c r="A723" s="5"/>
      <c r="B723" s="5"/>
      <c r="C723" s="5"/>
    </row>
    <row r="724" spans="1:3" x14ac:dyDescent="0.25">
      <c r="A724" s="5"/>
      <c r="B724" s="5"/>
      <c r="C724" s="5"/>
    </row>
    <row r="725" spans="1:3" x14ac:dyDescent="0.25">
      <c r="A725" s="5"/>
      <c r="B725" s="5"/>
      <c r="C725" s="5"/>
    </row>
    <row r="726" spans="1:3" x14ac:dyDescent="0.25">
      <c r="A726" s="5"/>
      <c r="B726" s="5"/>
      <c r="C726" s="5"/>
    </row>
    <row r="727" spans="1:3" x14ac:dyDescent="0.25">
      <c r="A727" s="5"/>
      <c r="B727" s="5"/>
      <c r="C727" s="5"/>
    </row>
    <row r="728" spans="1:3" x14ac:dyDescent="0.25">
      <c r="A728" s="5"/>
      <c r="B728" s="5"/>
      <c r="C728" s="5"/>
    </row>
    <row r="729" spans="1:3" x14ac:dyDescent="0.25">
      <c r="A729" s="5"/>
      <c r="B729" s="5"/>
      <c r="C729" s="5"/>
    </row>
    <row r="730" spans="1:3" x14ac:dyDescent="0.25">
      <c r="A730" s="5"/>
      <c r="B730" s="5"/>
      <c r="C730" s="5"/>
    </row>
    <row r="731" spans="1:3" x14ac:dyDescent="0.25">
      <c r="A731" s="5"/>
      <c r="B731" s="5"/>
      <c r="C731" s="5"/>
    </row>
    <row r="732" spans="1:3" x14ac:dyDescent="0.25">
      <c r="A732" s="5"/>
      <c r="B732" s="5"/>
      <c r="C732" s="5"/>
    </row>
    <row r="733" spans="1:3" x14ac:dyDescent="0.25">
      <c r="A733" s="5"/>
      <c r="B733" s="5"/>
      <c r="C733" s="5"/>
    </row>
    <row r="734" spans="1:3" x14ac:dyDescent="0.25">
      <c r="A734" s="5"/>
      <c r="B734" s="5"/>
      <c r="C734" s="5"/>
    </row>
    <row r="735" spans="1:3" x14ac:dyDescent="0.25">
      <c r="A735" s="5"/>
      <c r="B735" s="5"/>
      <c r="C735" s="5"/>
    </row>
    <row r="736" spans="1:3" x14ac:dyDescent="0.25">
      <c r="A736" s="5"/>
      <c r="B736" s="5"/>
      <c r="C736" s="5"/>
    </row>
    <row r="737" spans="1:3" x14ac:dyDescent="0.25">
      <c r="A737" s="5"/>
      <c r="B737" s="5"/>
      <c r="C737" s="5"/>
    </row>
    <row r="738" spans="1:3" x14ac:dyDescent="0.25">
      <c r="A738" s="5"/>
      <c r="B738" s="5"/>
      <c r="C738" s="5"/>
    </row>
    <row r="739" spans="1:3" x14ac:dyDescent="0.25">
      <c r="A739" s="5"/>
      <c r="B739" s="5"/>
      <c r="C739" s="5"/>
    </row>
    <row r="740" spans="1:3" x14ac:dyDescent="0.25">
      <c r="A740" s="5"/>
      <c r="B740" s="5"/>
      <c r="C740" s="5"/>
    </row>
    <row r="741" spans="1:3" x14ac:dyDescent="0.25">
      <c r="A741" s="5"/>
      <c r="B741" s="5"/>
      <c r="C741" s="5"/>
    </row>
    <row r="742" spans="1:3" x14ac:dyDescent="0.25">
      <c r="A742" s="5"/>
      <c r="B742" s="5"/>
      <c r="C742" s="5"/>
    </row>
    <row r="743" spans="1:3" x14ac:dyDescent="0.25">
      <c r="A743" s="5"/>
      <c r="B743" s="5"/>
      <c r="C743" s="5"/>
    </row>
    <row r="744" spans="1:3" x14ac:dyDescent="0.25">
      <c r="A744" s="5"/>
      <c r="B744" s="5"/>
      <c r="C744" s="5"/>
    </row>
    <row r="745" spans="1:3" x14ac:dyDescent="0.25">
      <c r="A745" s="5"/>
      <c r="B745" s="5"/>
      <c r="C745" s="5"/>
    </row>
    <row r="746" spans="1:3" x14ac:dyDescent="0.25">
      <c r="A746" s="5"/>
      <c r="B746" s="5"/>
      <c r="C746" s="5"/>
    </row>
    <row r="747" spans="1:3" x14ac:dyDescent="0.25">
      <c r="A747" s="5"/>
      <c r="B747" s="5"/>
      <c r="C747" s="5"/>
    </row>
    <row r="748" spans="1:3" x14ac:dyDescent="0.25">
      <c r="A748" s="5"/>
      <c r="B748" s="5"/>
      <c r="C748" s="5"/>
    </row>
    <row r="749" spans="1:3" x14ac:dyDescent="0.25">
      <c r="A749" s="5"/>
      <c r="B749" s="5"/>
      <c r="C749" s="5"/>
    </row>
    <row r="750" spans="1:3" x14ac:dyDescent="0.25">
      <c r="A750" s="5"/>
      <c r="B750" s="5"/>
      <c r="C750" s="5"/>
    </row>
    <row r="751" spans="1:3" x14ac:dyDescent="0.25">
      <c r="A751" s="5"/>
      <c r="B751" s="5"/>
      <c r="C751" s="5"/>
    </row>
    <row r="752" spans="1:3" x14ac:dyDescent="0.25">
      <c r="A752" s="5"/>
      <c r="B752" s="5"/>
      <c r="C752" s="5"/>
    </row>
    <row r="753" spans="1:3" x14ac:dyDescent="0.25">
      <c r="A753" s="5"/>
      <c r="B753" s="5"/>
      <c r="C753" s="5"/>
    </row>
    <row r="754" spans="1:3" x14ac:dyDescent="0.25">
      <c r="A754" s="5"/>
      <c r="B754" s="5"/>
      <c r="C754" s="5"/>
    </row>
    <row r="755" spans="1:3" x14ac:dyDescent="0.25">
      <c r="A755" s="5"/>
      <c r="B755" s="5"/>
      <c r="C755" s="5"/>
    </row>
    <row r="756" spans="1:3" x14ac:dyDescent="0.25">
      <c r="A756" s="5"/>
      <c r="B756" s="5"/>
      <c r="C756" s="5"/>
    </row>
    <row r="757" spans="1:3" x14ac:dyDescent="0.25">
      <c r="A757" s="5"/>
      <c r="B757" s="5"/>
      <c r="C757" s="5"/>
    </row>
    <row r="758" spans="1:3" x14ac:dyDescent="0.25">
      <c r="A758" s="5"/>
      <c r="B758" s="5"/>
      <c r="C758" s="5"/>
    </row>
    <row r="759" spans="1:3" x14ac:dyDescent="0.25">
      <c r="A759" s="5"/>
      <c r="B759" s="5"/>
      <c r="C759" s="5"/>
    </row>
    <row r="760" spans="1:3" x14ac:dyDescent="0.25">
      <c r="A760" s="5"/>
      <c r="B760" s="5"/>
      <c r="C760" s="5"/>
    </row>
    <row r="761" spans="1:3" x14ac:dyDescent="0.25">
      <c r="A761" s="5"/>
      <c r="B761" s="5"/>
      <c r="C761" s="5"/>
    </row>
    <row r="762" spans="1:3" x14ac:dyDescent="0.25">
      <c r="A762" s="5"/>
      <c r="B762" s="5"/>
      <c r="C762" s="5"/>
    </row>
    <row r="763" spans="1:3" x14ac:dyDescent="0.25">
      <c r="A763" s="5"/>
      <c r="B763" s="5"/>
      <c r="C763" s="5"/>
    </row>
    <row r="764" spans="1:3" x14ac:dyDescent="0.25">
      <c r="A764" s="5"/>
      <c r="B764" s="5"/>
      <c r="C764" s="5"/>
    </row>
    <row r="765" spans="1:3" x14ac:dyDescent="0.25">
      <c r="A765" s="5"/>
      <c r="B765" s="5"/>
      <c r="C765" s="5"/>
    </row>
    <row r="766" spans="1:3" x14ac:dyDescent="0.25">
      <c r="A766" s="5"/>
      <c r="B766" s="5"/>
      <c r="C766" s="5"/>
    </row>
    <row r="767" spans="1:3" x14ac:dyDescent="0.25">
      <c r="A767" s="5"/>
      <c r="B767" s="5"/>
      <c r="C767" s="5"/>
    </row>
    <row r="768" spans="1:3" x14ac:dyDescent="0.25">
      <c r="A768" s="5"/>
      <c r="B768" s="5"/>
      <c r="C768" s="5"/>
    </row>
    <row r="769" spans="1:3" x14ac:dyDescent="0.25">
      <c r="A769" s="5"/>
      <c r="B769" s="5"/>
      <c r="C769" s="5"/>
    </row>
    <row r="770" spans="1:3" x14ac:dyDescent="0.25">
      <c r="A770" s="5"/>
      <c r="B770" s="5"/>
      <c r="C770" s="5"/>
    </row>
    <row r="771" spans="1:3" x14ac:dyDescent="0.25">
      <c r="A771" s="5"/>
      <c r="B771" s="5"/>
      <c r="C771" s="5"/>
    </row>
    <row r="772" spans="1:3" x14ac:dyDescent="0.25">
      <c r="A772" s="5"/>
      <c r="B772" s="5"/>
      <c r="C772" s="5"/>
    </row>
    <row r="773" spans="1:3" x14ac:dyDescent="0.25">
      <c r="A773" s="5"/>
      <c r="B773" s="5"/>
      <c r="C773" s="5"/>
    </row>
    <row r="774" spans="1:3" x14ac:dyDescent="0.25">
      <c r="A774" s="5"/>
      <c r="B774" s="5"/>
      <c r="C774" s="5"/>
    </row>
    <row r="775" spans="1:3" x14ac:dyDescent="0.25">
      <c r="A775" s="5"/>
      <c r="B775" s="5"/>
      <c r="C775" s="5"/>
    </row>
    <row r="776" spans="1:3" x14ac:dyDescent="0.25">
      <c r="A776" s="5"/>
      <c r="B776" s="5"/>
      <c r="C776" s="5"/>
    </row>
    <row r="777" spans="1:3" x14ac:dyDescent="0.25">
      <c r="A777" s="5"/>
      <c r="B777" s="5"/>
      <c r="C777" s="5"/>
    </row>
    <row r="778" spans="1:3" x14ac:dyDescent="0.25">
      <c r="A778" s="5"/>
      <c r="B778" s="5"/>
      <c r="C778" s="5"/>
    </row>
    <row r="779" spans="1:3" x14ac:dyDescent="0.25">
      <c r="A779" s="5"/>
      <c r="B779" s="5"/>
      <c r="C779" s="5"/>
    </row>
    <row r="780" spans="1:3" x14ac:dyDescent="0.25">
      <c r="A780" s="5"/>
      <c r="B780" s="5"/>
      <c r="C780" s="5"/>
    </row>
    <row r="781" spans="1:3" x14ac:dyDescent="0.25">
      <c r="A781" s="5"/>
      <c r="B781" s="5"/>
      <c r="C781" s="5"/>
    </row>
    <row r="782" spans="1:3" x14ac:dyDescent="0.25">
      <c r="A782" s="5"/>
      <c r="B782" s="5"/>
      <c r="C782" s="5"/>
    </row>
    <row r="783" spans="1:3" x14ac:dyDescent="0.25">
      <c r="A783" s="5"/>
      <c r="B783" s="5"/>
      <c r="C783" s="5"/>
    </row>
    <row r="784" spans="1:3" x14ac:dyDescent="0.25">
      <c r="A784" s="5"/>
      <c r="B784" s="5"/>
      <c r="C784" s="5"/>
    </row>
    <row r="785" spans="1:3" x14ac:dyDescent="0.25">
      <c r="A785" s="5"/>
      <c r="B785" s="5"/>
      <c r="C785" s="5"/>
    </row>
    <row r="786" spans="1:3" x14ac:dyDescent="0.25">
      <c r="A786" s="5"/>
      <c r="B786" s="5"/>
      <c r="C786" s="5"/>
    </row>
    <row r="787" spans="1:3" x14ac:dyDescent="0.25">
      <c r="A787" s="5"/>
      <c r="B787" s="5"/>
      <c r="C787" s="5"/>
    </row>
    <row r="788" spans="1:3" x14ac:dyDescent="0.25">
      <c r="A788" s="5"/>
      <c r="B788" s="5"/>
      <c r="C788" s="5"/>
    </row>
    <row r="789" spans="1:3" x14ac:dyDescent="0.25">
      <c r="A789" s="5"/>
      <c r="B789" s="5"/>
      <c r="C789" s="5"/>
    </row>
    <row r="790" spans="1:3" x14ac:dyDescent="0.25">
      <c r="A790" s="5"/>
      <c r="B790" s="5"/>
      <c r="C790" s="5"/>
    </row>
    <row r="791" spans="1:3" x14ac:dyDescent="0.25">
      <c r="A791" s="5"/>
      <c r="B791" s="5"/>
      <c r="C791" s="5"/>
    </row>
    <row r="792" spans="1:3" x14ac:dyDescent="0.25">
      <c r="A792" s="5"/>
      <c r="B792" s="5"/>
      <c r="C792" s="5"/>
    </row>
    <row r="793" spans="1:3" x14ac:dyDescent="0.25">
      <c r="A793" s="5"/>
      <c r="B793" s="5"/>
      <c r="C793" s="5"/>
    </row>
    <row r="794" spans="1:3" x14ac:dyDescent="0.25">
      <c r="A794" s="5"/>
      <c r="B794" s="5"/>
      <c r="C794" s="5"/>
    </row>
    <row r="795" spans="1:3" x14ac:dyDescent="0.25">
      <c r="A795" s="5"/>
      <c r="B795" s="5"/>
      <c r="C795" s="5"/>
    </row>
    <row r="796" spans="1:3" x14ac:dyDescent="0.25">
      <c r="A796" s="5"/>
      <c r="B796" s="5"/>
      <c r="C796" s="5"/>
    </row>
    <row r="797" spans="1:3" x14ac:dyDescent="0.25">
      <c r="A797" s="5"/>
      <c r="B797" s="5"/>
      <c r="C797" s="5"/>
    </row>
    <row r="798" spans="1:3" x14ac:dyDescent="0.25">
      <c r="A798" s="5"/>
      <c r="B798" s="5"/>
      <c r="C798" s="5"/>
    </row>
    <row r="799" spans="1:3" x14ac:dyDescent="0.25">
      <c r="A799" s="5"/>
      <c r="B799" s="5"/>
      <c r="C799" s="5"/>
    </row>
    <row r="800" spans="1:3" x14ac:dyDescent="0.25">
      <c r="A800" s="5"/>
      <c r="B800" s="5"/>
      <c r="C800" s="5"/>
    </row>
    <row r="801" spans="1:3" x14ac:dyDescent="0.25">
      <c r="A801" s="5"/>
      <c r="B801" s="5"/>
      <c r="C801" s="5"/>
    </row>
    <row r="802" spans="1:3" x14ac:dyDescent="0.25">
      <c r="A802" s="5"/>
      <c r="B802" s="5"/>
      <c r="C802" s="5"/>
    </row>
    <row r="803" spans="1:3" x14ac:dyDescent="0.25">
      <c r="A803" s="5"/>
      <c r="B803" s="5"/>
      <c r="C803" s="5"/>
    </row>
    <row r="804" spans="1:3" x14ac:dyDescent="0.25">
      <c r="A804" s="5"/>
      <c r="B804" s="5"/>
      <c r="C804" s="5"/>
    </row>
    <row r="805" spans="1:3" x14ac:dyDescent="0.25">
      <c r="A805" s="5"/>
      <c r="B805" s="5"/>
      <c r="C805" s="5"/>
    </row>
    <row r="806" spans="1:3" x14ac:dyDescent="0.25">
      <c r="A806" s="5"/>
      <c r="B806" s="5"/>
      <c r="C806" s="5"/>
    </row>
    <row r="807" spans="1:3" x14ac:dyDescent="0.25">
      <c r="A807" s="5"/>
      <c r="B807" s="5"/>
      <c r="C807" s="5"/>
    </row>
    <row r="808" spans="1:3" x14ac:dyDescent="0.25">
      <c r="A808" s="5"/>
      <c r="B808" s="5"/>
      <c r="C808" s="5"/>
    </row>
    <row r="809" spans="1:3" x14ac:dyDescent="0.25">
      <c r="A809" s="5"/>
      <c r="B809" s="5"/>
      <c r="C809" s="5"/>
    </row>
    <row r="810" spans="1:3" x14ac:dyDescent="0.25">
      <c r="A810" s="5"/>
      <c r="B810" s="5"/>
      <c r="C810" s="5"/>
    </row>
    <row r="811" spans="1:3" x14ac:dyDescent="0.25">
      <c r="A811" s="5"/>
      <c r="B811" s="5"/>
      <c r="C811" s="5"/>
    </row>
    <row r="812" spans="1:3" x14ac:dyDescent="0.25">
      <c r="A812" s="5"/>
      <c r="B812" s="5"/>
      <c r="C812" s="5"/>
    </row>
    <row r="813" spans="1:3" x14ac:dyDescent="0.25">
      <c r="A813" s="5"/>
      <c r="B813" s="5"/>
      <c r="C813" s="5"/>
    </row>
    <row r="814" spans="1:3" x14ac:dyDescent="0.25">
      <c r="A814" s="5"/>
      <c r="B814" s="5"/>
      <c r="C814" s="5"/>
    </row>
    <row r="815" spans="1:3" x14ac:dyDescent="0.25">
      <c r="A815" s="5"/>
      <c r="B815" s="5"/>
      <c r="C815" s="5"/>
    </row>
    <row r="816" spans="1:3" x14ac:dyDescent="0.25">
      <c r="A816" s="5"/>
      <c r="B816" s="5"/>
      <c r="C816" s="5"/>
    </row>
    <row r="817" spans="1:3" x14ac:dyDescent="0.25">
      <c r="A817" s="5"/>
      <c r="B817" s="5"/>
      <c r="C817" s="5"/>
    </row>
    <row r="818" spans="1:3" x14ac:dyDescent="0.25">
      <c r="A818" s="5"/>
      <c r="B818" s="5"/>
      <c r="C818" s="5"/>
    </row>
    <row r="819" spans="1:3" x14ac:dyDescent="0.25">
      <c r="A819" s="5"/>
      <c r="B819" s="5"/>
      <c r="C819" s="5"/>
    </row>
    <row r="820" spans="1:3" x14ac:dyDescent="0.25">
      <c r="A820" s="5"/>
      <c r="B820" s="5"/>
      <c r="C820" s="5"/>
    </row>
    <row r="821" spans="1:3" x14ac:dyDescent="0.25">
      <c r="A821" s="5"/>
      <c r="B821" s="5"/>
      <c r="C821" s="5"/>
    </row>
    <row r="822" spans="1:3" x14ac:dyDescent="0.25">
      <c r="A822" s="5"/>
      <c r="B822" s="5"/>
      <c r="C822" s="5"/>
    </row>
    <row r="823" spans="1:3" x14ac:dyDescent="0.25">
      <c r="A823" s="5"/>
      <c r="B823" s="5"/>
      <c r="C823" s="5"/>
    </row>
    <row r="824" spans="1:3" x14ac:dyDescent="0.25">
      <c r="A824" s="5"/>
      <c r="B824" s="5"/>
      <c r="C824" s="5"/>
    </row>
    <row r="825" spans="1:3" x14ac:dyDescent="0.25">
      <c r="A825" s="5"/>
      <c r="B825" s="5"/>
      <c r="C825" s="5"/>
    </row>
    <row r="826" spans="1:3" x14ac:dyDescent="0.25">
      <c r="A826" s="5"/>
      <c r="B826" s="5"/>
      <c r="C826" s="5"/>
    </row>
    <row r="827" spans="1:3" x14ac:dyDescent="0.25">
      <c r="A827" s="5"/>
      <c r="B827" s="5"/>
      <c r="C827" s="5"/>
    </row>
    <row r="828" spans="1:3" x14ac:dyDescent="0.25">
      <c r="A828" s="5"/>
      <c r="B828" s="5"/>
      <c r="C828" s="5"/>
    </row>
    <row r="829" spans="1:3" x14ac:dyDescent="0.25">
      <c r="A829" s="5"/>
      <c r="B829" s="5"/>
      <c r="C829" s="5"/>
    </row>
    <row r="830" spans="1:3" x14ac:dyDescent="0.25">
      <c r="A830" s="5"/>
      <c r="B830" s="5"/>
      <c r="C830" s="5"/>
    </row>
    <row r="831" spans="1:3" x14ac:dyDescent="0.25">
      <c r="A831" s="5"/>
      <c r="B831" s="5"/>
      <c r="C831" s="5"/>
    </row>
    <row r="832" spans="1:3" x14ac:dyDescent="0.25">
      <c r="A832" s="5"/>
      <c r="B832" s="5"/>
      <c r="C832" s="5"/>
    </row>
    <row r="833" spans="1:3" x14ac:dyDescent="0.25">
      <c r="A833" s="5"/>
      <c r="B833" s="5"/>
      <c r="C833" s="5"/>
    </row>
    <row r="834" spans="1:3" x14ac:dyDescent="0.25">
      <c r="A834" s="5"/>
      <c r="B834" s="5"/>
      <c r="C834" s="5"/>
    </row>
    <row r="835" spans="1:3" x14ac:dyDescent="0.25">
      <c r="A835" s="5"/>
      <c r="B835" s="5"/>
      <c r="C835" s="5"/>
    </row>
    <row r="836" spans="1:3" x14ac:dyDescent="0.25">
      <c r="A836" s="5"/>
      <c r="B836" s="5"/>
      <c r="C836" s="5"/>
    </row>
    <row r="837" spans="1:3" x14ac:dyDescent="0.25">
      <c r="A837" s="5"/>
      <c r="B837" s="5"/>
      <c r="C837" s="5"/>
    </row>
    <row r="838" spans="1:3" x14ac:dyDescent="0.25">
      <c r="A838" s="5"/>
      <c r="B838" s="5"/>
      <c r="C838" s="5"/>
    </row>
    <row r="839" spans="1:3" x14ac:dyDescent="0.25">
      <c r="A839" s="5"/>
      <c r="B839" s="5"/>
      <c r="C839" s="5"/>
    </row>
    <row r="840" spans="1:3" x14ac:dyDescent="0.25">
      <c r="A840" s="5"/>
      <c r="B840" s="5"/>
      <c r="C840" s="5"/>
    </row>
    <row r="841" spans="1:3" x14ac:dyDescent="0.25">
      <c r="A841" s="5"/>
      <c r="B841" s="5"/>
      <c r="C841" s="5"/>
    </row>
    <row r="842" spans="1:3" x14ac:dyDescent="0.25">
      <c r="A842" s="5"/>
      <c r="B842" s="5"/>
      <c r="C842" s="5"/>
    </row>
    <row r="843" spans="1:3" x14ac:dyDescent="0.25">
      <c r="A843" s="5"/>
      <c r="B843" s="5"/>
      <c r="C843" s="5"/>
    </row>
    <row r="844" spans="1:3" x14ac:dyDescent="0.25">
      <c r="A844" s="5"/>
      <c r="B844" s="5"/>
      <c r="C844" s="5"/>
    </row>
    <row r="845" spans="1:3" x14ac:dyDescent="0.25">
      <c r="A845" s="5"/>
      <c r="B845" s="5"/>
      <c r="C845" s="5"/>
    </row>
    <row r="846" spans="1:3" x14ac:dyDescent="0.25">
      <c r="A846" s="5"/>
      <c r="B846" s="5"/>
      <c r="C846" s="5"/>
    </row>
    <row r="847" spans="1:3" x14ac:dyDescent="0.25">
      <c r="A847" s="5"/>
      <c r="B847" s="5"/>
      <c r="C847" s="5"/>
    </row>
    <row r="848" spans="1:3" x14ac:dyDescent="0.25">
      <c r="A848" s="5"/>
      <c r="B848" s="5"/>
      <c r="C848" s="5"/>
    </row>
    <row r="849" spans="1:3" x14ac:dyDescent="0.25">
      <c r="A849" s="5"/>
      <c r="B849" s="5"/>
      <c r="C849" s="5"/>
    </row>
    <row r="850" spans="1:3" x14ac:dyDescent="0.25">
      <c r="A850" s="5"/>
      <c r="B850" s="5"/>
      <c r="C850" s="5"/>
    </row>
    <row r="851" spans="1:3" x14ac:dyDescent="0.25">
      <c r="A851" s="5"/>
      <c r="B851" s="5"/>
      <c r="C851" s="5"/>
    </row>
    <row r="852" spans="1:3" x14ac:dyDescent="0.25">
      <c r="A852" s="5"/>
      <c r="B852" s="5"/>
      <c r="C852" s="5"/>
    </row>
    <row r="853" spans="1:3" x14ac:dyDescent="0.25">
      <c r="A853" s="5"/>
      <c r="B853" s="5"/>
      <c r="C853" s="5"/>
    </row>
    <row r="854" spans="1:3" x14ac:dyDescent="0.25">
      <c r="A854" s="5"/>
      <c r="B854" s="5"/>
      <c r="C854" s="5"/>
    </row>
    <row r="855" spans="1:3" x14ac:dyDescent="0.25">
      <c r="A855" s="5"/>
      <c r="B855" s="5"/>
      <c r="C855" s="5"/>
    </row>
    <row r="856" spans="1:3" x14ac:dyDescent="0.25">
      <c r="A856" s="5"/>
      <c r="B856" s="5"/>
      <c r="C856" s="5"/>
    </row>
    <row r="857" spans="1:3" x14ac:dyDescent="0.25">
      <c r="A857" s="5"/>
      <c r="B857" s="5"/>
      <c r="C857" s="5"/>
    </row>
    <row r="858" spans="1:3" x14ac:dyDescent="0.25">
      <c r="A858" s="5"/>
      <c r="B858" s="5"/>
      <c r="C858" s="5"/>
    </row>
    <row r="859" spans="1:3" x14ac:dyDescent="0.25">
      <c r="A859" s="5"/>
      <c r="B859" s="5"/>
      <c r="C859" s="5"/>
    </row>
    <row r="860" spans="1:3" x14ac:dyDescent="0.25">
      <c r="A860" s="5"/>
      <c r="B860" s="5"/>
      <c r="C860" s="5"/>
    </row>
    <row r="861" spans="1:3" x14ac:dyDescent="0.25">
      <c r="A861" s="5"/>
      <c r="B861" s="5"/>
      <c r="C861" s="5"/>
    </row>
    <row r="862" spans="1:3" x14ac:dyDescent="0.25">
      <c r="A862" s="5"/>
      <c r="B862" s="5"/>
      <c r="C862" s="5"/>
    </row>
    <row r="863" spans="1:3" x14ac:dyDescent="0.25">
      <c r="A863" s="5"/>
      <c r="B863" s="5"/>
      <c r="C863" s="5"/>
    </row>
    <row r="864" spans="1:3" x14ac:dyDescent="0.25">
      <c r="A864" s="5"/>
      <c r="B864" s="5"/>
      <c r="C864" s="5"/>
    </row>
    <row r="865" spans="1:3" x14ac:dyDescent="0.25">
      <c r="A865" s="5"/>
      <c r="B865" s="5"/>
      <c r="C865" s="5"/>
    </row>
    <row r="866" spans="1:3" x14ac:dyDescent="0.25">
      <c r="A866" s="5"/>
      <c r="B866" s="5"/>
      <c r="C866" s="5"/>
    </row>
    <row r="867" spans="1:3" x14ac:dyDescent="0.25">
      <c r="A867" s="5"/>
      <c r="B867" s="5"/>
      <c r="C867" s="5"/>
    </row>
    <row r="868" spans="1:3" x14ac:dyDescent="0.25">
      <c r="A868" s="5"/>
      <c r="B868" s="5"/>
      <c r="C868" s="5"/>
    </row>
    <row r="869" spans="1:3" x14ac:dyDescent="0.25">
      <c r="A869" s="5"/>
      <c r="B869" s="5"/>
      <c r="C869" s="5"/>
    </row>
    <row r="870" spans="1:3" x14ac:dyDescent="0.25">
      <c r="A870" s="5"/>
      <c r="B870" s="5"/>
      <c r="C870" s="5"/>
    </row>
    <row r="871" spans="1:3" x14ac:dyDescent="0.25">
      <c r="A871" s="5"/>
      <c r="B871" s="5"/>
      <c r="C871" s="5"/>
    </row>
    <row r="872" spans="1:3" x14ac:dyDescent="0.25">
      <c r="A872" s="5"/>
      <c r="B872" s="5"/>
      <c r="C872" s="5"/>
    </row>
    <row r="873" spans="1:3" x14ac:dyDescent="0.25">
      <c r="A873" s="5"/>
      <c r="B873" s="5"/>
      <c r="C873" s="5"/>
    </row>
    <row r="874" spans="1:3" x14ac:dyDescent="0.25">
      <c r="A874" s="5"/>
      <c r="B874" s="5"/>
      <c r="C874" s="5"/>
    </row>
    <row r="875" spans="1:3" x14ac:dyDescent="0.25">
      <c r="A875" s="5"/>
      <c r="B875" s="5"/>
      <c r="C875" s="5"/>
    </row>
    <row r="876" spans="1:3" x14ac:dyDescent="0.25">
      <c r="A876" s="5"/>
      <c r="B876" s="5"/>
      <c r="C876" s="5"/>
    </row>
    <row r="877" spans="1:3" x14ac:dyDescent="0.25">
      <c r="A877" s="5"/>
      <c r="B877" s="5"/>
      <c r="C877" s="5"/>
    </row>
    <row r="878" spans="1:3" x14ac:dyDescent="0.25">
      <c r="A878" s="5"/>
      <c r="B878" s="5"/>
      <c r="C878" s="5"/>
    </row>
    <row r="879" spans="1:3" x14ac:dyDescent="0.25">
      <c r="A879" s="5"/>
      <c r="B879" s="5"/>
      <c r="C879" s="5"/>
    </row>
    <row r="880" spans="1:3" x14ac:dyDescent="0.25">
      <c r="A880" s="5"/>
      <c r="B880" s="5"/>
      <c r="C880" s="5"/>
    </row>
    <row r="881" spans="1:3" x14ac:dyDescent="0.25">
      <c r="A881" s="5"/>
      <c r="B881" s="5"/>
      <c r="C881" s="5"/>
    </row>
    <row r="882" spans="1:3" x14ac:dyDescent="0.25">
      <c r="A882" s="5"/>
      <c r="B882" s="5"/>
      <c r="C882" s="5"/>
    </row>
    <row r="883" spans="1:3" x14ac:dyDescent="0.25">
      <c r="A883" s="5"/>
      <c r="B883" s="5"/>
      <c r="C883" s="5"/>
    </row>
    <row r="884" spans="1:3" x14ac:dyDescent="0.25">
      <c r="A884" s="5"/>
      <c r="B884" s="5"/>
      <c r="C884" s="5"/>
    </row>
    <row r="885" spans="1:3" x14ac:dyDescent="0.25">
      <c r="A885" s="5"/>
      <c r="B885" s="5"/>
      <c r="C885" s="5"/>
    </row>
    <row r="886" spans="1:3" x14ac:dyDescent="0.25">
      <c r="A886" s="5"/>
      <c r="B886" s="5"/>
      <c r="C886" s="5"/>
    </row>
    <row r="887" spans="1:3" x14ac:dyDescent="0.25">
      <c r="A887" s="5"/>
      <c r="B887" s="5"/>
      <c r="C887" s="5"/>
    </row>
    <row r="888" spans="1:3" x14ac:dyDescent="0.25">
      <c r="A888" s="5"/>
      <c r="B888" s="5"/>
      <c r="C888" s="5"/>
    </row>
    <row r="889" spans="1:3" x14ac:dyDescent="0.25">
      <c r="A889" s="5"/>
      <c r="B889" s="5"/>
      <c r="C889" s="5"/>
    </row>
    <row r="890" spans="1:3" x14ac:dyDescent="0.25">
      <c r="A890" s="5"/>
      <c r="B890" s="5"/>
      <c r="C890" s="5"/>
    </row>
    <row r="891" spans="1:3" x14ac:dyDescent="0.25">
      <c r="A891" s="5"/>
      <c r="B891" s="5"/>
      <c r="C891" s="5"/>
    </row>
    <row r="892" spans="1:3" x14ac:dyDescent="0.25">
      <c r="A892" s="5"/>
      <c r="B892" s="5"/>
      <c r="C892" s="5"/>
    </row>
    <row r="893" spans="1:3" x14ac:dyDescent="0.25">
      <c r="A893" s="5"/>
      <c r="B893" s="5"/>
      <c r="C893" s="5"/>
    </row>
    <row r="894" spans="1:3" x14ac:dyDescent="0.25">
      <c r="A894" s="5"/>
      <c r="B894" s="5"/>
      <c r="C894" s="5"/>
    </row>
    <row r="895" spans="1:3" x14ac:dyDescent="0.25">
      <c r="A895" s="5"/>
      <c r="B895" s="5"/>
      <c r="C895" s="5"/>
    </row>
    <row r="896" spans="1:3" x14ac:dyDescent="0.25">
      <c r="A896" s="5"/>
      <c r="B896" s="5"/>
      <c r="C896" s="5"/>
    </row>
    <row r="897" spans="1:3" x14ac:dyDescent="0.25">
      <c r="A897" s="5"/>
      <c r="B897" s="5"/>
      <c r="C897" s="5"/>
    </row>
    <row r="898" spans="1:3" x14ac:dyDescent="0.25">
      <c r="A898" s="5"/>
      <c r="B898" s="5"/>
      <c r="C898" s="5"/>
    </row>
    <row r="899" spans="1:3" x14ac:dyDescent="0.25">
      <c r="A899" s="5"/>
      <c r="B899" s="5"/>
      <c r="C899" s="5"/>
    </row>
    <row r="900" spans="1:3" x14ac:dyDescent="0.25">
      <c r="A900" s="5"/>
      <c r="B900" s="5"/>
      <c r="C900" s="5"/>
    </row>
    <row r="901" spans="1:3" x14ac:dyDescent="0.25">
      <c r="A901" s="5"/>
      <c r="B901" s="5"/>
      <c r="C901" s="5"/>
    </row>
    <row r="902" spans="1:3" x14ac:dyDescent="0.25">
      <c r="A902" s="5"/>
      <c r="B902" s="5"/>
      <c r="C902" s="5"/>
    </row>
    <row r="903" spans="1:3" x14ac:dyDescent="0.25">
      <c r="A903" s="5"/>
      <c r="B903" s="5"/>
      <c r="C903" s="5"/>
    </row>
    <row r="904" spans="1:3" x14ac:dyDescent="0.25">
      <c r="A904" s="5"/>
      <c r="B904" s="5"/>
      <c r="C904" s="5"/>
    </row>
    <row r="905" spans="1:3" x14ac:dyDescent="0.25">
      <c r="A905" s="5"/>
      <c r="B905" s="5"/>
      <c r="C905" s="5"/>
    </row>
    <row r="906" spans="1:3" x14ac:dyDescent="0.25">
      <c r="A906" s="5"/>
      <c r="B906" s="5"/>
      <c r="C906" s="5"/>
    </row>
    <row r="907" spans="1:3" x14ac:dyDescent="0.25">
      <c r="A907" s="5"/>
      <c r="B907" s="5"/>
      <c r="C907" s="5"/>
    </row>
    <row r="908" spans="1:3" x14ac:dyDescent="0.25">
      <c r="A908" s="5"/>
      <c r="B908" s="5"/>
      <c r="C908" s="5"/>
    </row>
    <row r="909" spans="1:3" x14ac:dyDescent="0.25">
      <c r="A909" s="5"/>
      <c r="B909" s="5"/>
      <c r="C909" s="5"/>
    </row>
    <row r="910" spans="1:3" x14ac:dyDescent="0.25">
      <c r="A910" s="5"/>
      <c r="B910" s="5"/>
      <c r="C910" s="5"/>
    </row>
    <row r="911" spans="1:3" x14ac:dyDescent="0.25">
      <c r="A911" s="5"/>
      <c r="B911" s="5"/>
      <c r="C911" s="5"/>
    </row>
    <row r="912" spans="1:3" x14ac:dyDescent="0.25">
      <c r="A912" s="5"/>
      <c r="B912" s="5"/>
      <c r="C912" s="5"/>
    </row>
    <row r="913" spans="1:3" x14ac:dyDescent="0.25">
      <c r="A913" s="5"/>
      <c r="B913" s="5"/>
      <c r="C913" s="5"/>
    </row>
    <row r="914" spans="1:3" x14ac:dyDescent="0.25">
      <c r="A914" s="5"/>
      <c r="B914" s="5"/>
      <c r="C914" s="5"/>
    </row>
    <row r="915" spans="1:3" x14ac:dyDescent="0.25">
      <c r="A915" s="5"/>
      <c r="B915" s="5"/>
      <c r="C915" s="5"/>
    </row>
    <row r="916" spans="1:3" x14ac:dyDescent="0.25">
      <c r="A916" s="5"/>
      <c r="B916" s="5"/>
      <c r="C916" s="5"/>
    </row>
    <row r="917" spans="1:3" x14ac:dyDescent="0.25">
      <c r="A917" s="5"/>
      <c r="B917" s="5"/>
      <c r="C917" s="5"/>
    </row>
    <row r="918" spans="1:3" x14ac:dyDescent="0.25">
      <c r="A918" s="5"/>
      <c r="B918" s="5"/>
      <c r="C918" s="5"/>
    </row>
    <row r="919" spans="1:3" x14ac:dyDescent="0.25">
      <c r="A919" s="5"/>
      <c r="B919" s="5"/>
      <c r="C919" s="5"/>
    </row>
    <row r="920" spans="1:3" x14ac:dyDescent="0.25">
      <c r="A920" s="5"/>
      <c r="B920" s="5"/>
      <c r="C920" s="5"/>
    </row>
    <row r="921" spans="1:3" x14ac:dyDescent="0.25">
      <c r="A921" s="5"/>
      <c r="B921" s="5"/>
      <c r="C921" s="5"/>
    </row>
    <row r="922" spans="1:3" x14ac:dyDescent="0.25">
      <c r="A922" s="5"/>
      <c r="B922" s="5"/>
      <c r="C922" s="5"/>
    </row>
    <row r="923" spans="1:3" x14ac:dyDescent="0.25">
      <c r="A923" s="5"/>
      <c r="B923" s="5"/>
      <c r="C923" s="5"/>
    </row>
    <row r="924" spans="1:3" x14ac:dyDescent="0.25">
      <c r="A924" s="5"/>
      <c r="B924" s="5"/>
      <c r="C924" s="5"/>
    </row>
    <row r="925" spans="1:3" x14ac:dyDescent="0.25">
      <c r="A925" s="5"/>
      <c r="B925" s="5"/>
      <c r="C925" s="5"/>
    </row>
    <row r="926" spans="1:3" x14ac:dyDescent="0.25">
      <c r="A926" s="5"/>
      <c r="B926" s="5"/>
      <c r="C926" s="5"/>
    </row>
    <row r="927" spans="1:3" x14ac:dyDescent="0.25">
      <c r="A927" s="5"/>
      <c r="B927" s="5"/>
      <c r="C927" s="5"/>
    </row>
    <row r="928" spans="1:3" x14ac:dyDescent="0.25">
      <c r="A928" s="5"/>
      <c r="B928" s="5"/>
      <c r="C928" s="5"/>
    </row>
    <row r="929" spans="1:3" x14ac:dyDescent="0.25">
      <c r="A929" s="5"/>
      <c r="B929" s="5"/>
      <c r="C929" s="5"/>
    </row>
    <row r="930" spans="1:3" x14ac:dyDescent="0.25">
      <c r="A930" s="5"/>
      <c r="B930" s="5"/>
      <c r="C930" s="5"/>
    </row>
    <row r="931" spans="1:3" x14ac:dyDescent="0.25">
      <c r="A931" s="5"/>
      <c r="B931" s="5"/>
      <c r="C931" s="5"/>
    </row>
    <row r="932" spans="1:3" x14ac:dyDescent="0.25">
      <c r="A932" s="5"/>
      <c r="B932" s="5"/>
      <c r="C932" s="5"/>
    </row>
    <row r="933" spans="1:3" x14ac:dyDescent="0.25">
      <c r="A933" s="5"/>
      <c r="B933" s="5"/>
      <c r="C933" s="5"/>
    </row>
    <row r="934" spans="1:3" x14ac:dyDescent="0.25">
      <c r="A934" s="5"/>
      <c r="B934" s="5"/>
      <c r="C934" s="5"/>
    </row>
    <row r="935" spans="1:3" x14ac:dyDescent="0.25">
      <c r="A935" s="5"/>
      <c r="B935" s="5"/>
      <c r="C935" s="5"/>
    </row>
    <row r="936" spans="1:3" x14ac:dyDescent="0.25">
      <c r="A936" s="5"/>
      <c r="B936" s="5"/>
      <c r="C936" s="5"/>
    </row>
    <row r="937" spans="1:3" x14ac:dyDescent="0.25">
      <c r="A937" s="5"/>
      <c r="B937" s="5"/>
      <c r="C937" s="5"/>
    </row>
    <row r="938" spans="1:3" x14ac:dyDescent="0.25">
      <c r="A938" s="5"/>
      <c r="B938" s="5"/>
      <c r="C938" s="5"/>
    </row>
    <row r="939" spans="1:3" x14ac:dyDescent="0.25">
      <c r="A939" s="5"/>
      <c r="B939" s="5"/>
      <c r="C939" s="5"/>
    </row>
    <row r="940" spans="1:3" x14ac:dyDescent="0.25">
      <c r="A940" s="5"/>
      <c r="B940" s="5"/>
      <c r="C940" s="5"/>
    </row>
    <row r="941" spans="1:3" x14ac:dyDescent="0.25">
      <c r="A941" s="5"/>
      <c r="B941" s="5"/>
      <c r="C941" s="5"/>
    </row>
    <row r="942" spans="1:3" x14ac:dyDescent="0.25">
      <c r="A942" s="5"/>
      <c r="B942" s="5"/>
      <c r="C942" s="5"/>
    </row>
    <row r="943" spans="1:3" x14ac:dyDescent="0.25">
      <c r="A943" s="5"/>
      <c r="B943" s="5"/>
      <c r="C943" s="5"/>
    </row>
    <row r="944" spans="1:3" x14ac:dyDescent="0.25">
      <c r="A944" s="5"/>
      <c r="B944" s="5"/>
      <c r="C944" s="5"/>
    </row>
    <row r="945" spans="1:3" x14ac:dyDescent="0.25">
      <c r="A945" s="5"/>
      <c r="B945" s="5"/>
      <c r="C945" s="5"/>
    </row>
    <row r="946" spans="1:3" x14ac:dyDescent="0.25">
      <c r="A946" s="5"/>
      <c r="B946" s="5"/>
      <c r="C946" s="5"/>
    </row>
    <row r="947" spans="1:3" x14ac:dyDescent="0.25">
      <c r="A947" s="5"/>
      <c r="B947" s="5"/>
      <c r="C947" s="5"/>
    </row>
    <row r="948" spans="1:3" x14ac:dyDescent="0.25">
      <c r="A948" s="5"/>
      <c r="B948" s="5"/>
      <c r="C948" s="5"/>
    </row>
    <row r="949" spans="1:3" x14ac:dyDescent="0.25">
      <c r="A949" s="5"/>
      <c r="B949" s="5"/>
      <c r="C949" s="5"/>
    </row>
    <row r="950" spans="1:3" x14ac:dyDescent="0.25">
      <c r="A950" s="5"/>
      <c r="B950" s="5"/>
      <c r="C950" s="5"/>
    </row>
    <row r="951" spans="1:3" x14ac:dyDescent="0.25">
      <c r="A951" s="5"/>
      <c r="B951" s="5"/>
      <c r="C951" s="5"/>
    </row>
    <row r="952" spans="1:3" x14ac:dyDescent="0.25">
      <c r="A952" s="5"/>
      <c r="B952" s="5"/>
      <c r="C952" s="5"/>
    </row>
    <row r="953" spans="1:3" x14ac:dyDescent="0.25">
      <c r="A953" s="5"/>
      <c r="B953" s="5"/>
      <c r="C953" s="5"/>
    </row>
    <row r="954" spans="1:3" x14ac:dyDescent="0.25">
      <c r="A954" s="5"/>
      <c r="B954" s="5"/>
      <c r="C954" s="5"/>
    </row>
    <row r="955" spans="1:3" x14ac:dyDescent="0.25">
      <c r="A955" s="5"/>
      <c r="B955" s="5"/>
      <c r="C955" s="5"/>
    </row>
    <row r="956" spans="1:3" x14ac:dyDescent="0.25">
      <c r="A956" s="5"/>
      <c r="B956" s="5"/>
      <c r="C956" s="5"/>
    </row>
    <row r="957" spans="1:3" x14ac:dyDescent="0.25">
      <c r="A957" s="5"/>
      <c r="B957" s="5"/>
      <c r="C957" s="5"/>
    </row>
    <row r="958" spans="1:3" x14ac:dyDescent="0.25">
      <c r="A958" s="5"/>
      <c r="B958" s="5"/>
      <c r="C958" s="5"/>
    </row>
    <row r="959" spans="1:3" x14ac:dyDescent="0.25">
      <c r="A959" s="5"/>
      <c r="B959" s="5"/>
      <c r="C959" s="5"/>
    </row>
    <row r="960" spans="1:3" x14ac:dyDescent="0.25">
      <c r="A960" s="5"/>
      <c r="B960" s="5"/>
      <c r="C960" s="5"/>
    </row>
    <row r="961" spans="1:3" x14ac:dyDescent="0.25">
      <c r="A961" s="5"/>
      <c r="B961" s="5"/>
      <c r="C961" s="5"/>
    </row>
    <row r="962" spans="1:3" x14ac:dyDescent="0.25">
      <c r="A962" s="5"/>
      <c r="B962" s="5"/>
      <c r="C962" s="5"/>
    </row>
    <row r="963" spans="1:3" x14ac:dyDescent="0.25">
      <c r="A963" s="5"/>
      <c r="B963" s="5"/>
      <c r="C963" s="5"/>
    </row>
    <row r="964" spans="1:3" x14ac:dyDescent="0.25">
      <c r="A964" s="5"/>
      <c r="B964" s="5"/>
      <c r="C964" s="5"/>
    </row>
    <row r="965" spans="1:3" x14ac:dyDescent="0.25">
      <c r="A965" s="5"/>
      <c r="B965" s="5"/>
      <c r="C965" s="5"/>
    </row>
    <row r="966" spans="1:3" x14ac:dyDescent="0.25">
      <c r="A966" s="5"/>
      <c r="B966" s="5"/>
      <c r="C966" s="5"/>
    </row>
    <row r="967" spans="1:3" x14ac:dyDescent="0.25">
      <c r="A967" s="5"/>
      <c r="B967" s="5"/>
      <c r="C967" s="5"/>
    </row>
    <row r="968" spans="1:3" x14ac:dyDescent="0.25">
      <c r="A968" s="5"/>
      <c r="B968" s="5"/>
      <c r="C968" s="5"/>
    </row>
    <row r="969" spans="1:3" x14ac:dyDescent="0.25">
      <c r="A969" s="5"/>
      <c r="B969" s="5"/>
      <c r="C969" s="5"/>
    </row>
    <row r="970" spans="1:3" x14ac:dyDescent="0.25">
      <c r="A970" s="5"/>
      <c r="B970" s="5"/>
      <c r="C970" s="5"/>
    </row>
    <row r="971" spans="1:3" x14ac:dyDescent="0.25">
      <c r="A971" s="5"/>
      <c r="B971" s="5"/>
      <c r="C971" s="5"/>
    </row>
    <row r="972" spans="1:3" x14ac:dyDescent="0.25">
      <c r="A972" s="5"/>
      <c r="B972" s="5"/>
      <c r="C972" s="5"/>
    </row>
    <row r="973" spans="1:3" x14ac:dyDescent="0.25">
      <c r="A973" s="5"/>
      <c r="B973" s="5"/>
      <c r="C973" s="5"/>
    </row>
    <row r="974" spans="1:3" x14ac:dyDescent="0.25">
      <c r="A974" s="5"/>
      <c r="B974" s="5"/>
      <c r="C974" s="5"/>
    </row>
    <row r="975" spans="1:3" x14ac:dyDescent="0.25">
      <c r="A975" s="5"/>
      <c r="B975" s="5"/>
      <c r="C975" s="5"/>
    </row>
    <row r="976" spans="1:3" x14ac:dyDescent="0.25">
      <c r="A976" s="5"/>
      <c r="B976" s="5"/>
      <c r="C976" s="5"/>
    </row>
    <row r="977" spans="1:3" x14ac:dyDescent="0.25">
      <c r="A977" s="5"/>
      <c r="B977" s="5"/>
      <c r="C977" s="5"/>
    </row>
    <row r="978" spans="1:3" x14ac:dyDescent="0.25">
      <c r="A978" s="5"/>
      <c r="B978" s="5"/>
      <c r="C978" s="5"/>
    </row>
    <row r="979" spans="1:3" x14ac:dyDescent="0.25">
      <c r="A979" s="5"/>
      <c r="B979" s="5"/>
      <c r="C979" s="5"/>
    </row>
    <row r="980" spans="1:3" x14ac:dyDescent="0.25">
      <c r="A980" s="5"/>
      <c r="B980" s="5"/>
      <c r="C980" s="5"/>
    </row>
    <row r="981" spans="1:3" x14ac:dyDescent="0.25">
      <c r="A981" s="5"/>
      <c r="B981" s="5"/>
      <c r="C981" s="5"/>
    </row>
    <row r="982" spans="1:3" x14ac:dyDescent="0.25">
      <c r="A982" s="5"/>
      <c r="B982" s="5"/>
      <c r="C982" s="5"/>
    </row>
    <row r="983" spans="1:3" x14ac:dyDescent="0.25">
      <c r="A983" s="5"/>
      <c r="B983" s="5"/>
      <c r="C983" s="5"/>
    </row>
    <row r="984" spans="1:3" x14ac:dyDescent="0.25">
      <c r="A984" s="5"/>
      <c r="B984" s="5"/>
      <c r="C984" s="5"/>
    </row>
    <row r="985" spans="1:3" x14ac:dyDescent="0.25">
      <c r="A985" s="5"/>
      <c r="B985" s="5"/>
      <c r="C985" s="5"/>
    </row>
    <row r="986" spans="1:3" x14ac:dyDescent="0.25">
      <c r="A986" s="5"/>
      <c r="B986" s="5"/>
      <c r="C986" s="5"/>
    </row>
    <row r="987" spans="1:3" x14ac:dyDescent="0.25">
      <c r="A987" s="5"/>
      <c r="B987" s="5"/>
      <c r="C987" s="5"/>
    </row>
    <row r="988" spans="1:3" x14ac:dyDescent="0.25">
      <c r="A988" s="5"/>
      <c r="B988" s="5"/>
      <c r="C988" s="5"/>
    </row>
    <row r="989" spans="1:3" x14ac:dyDescent="0.25">
      <c r="A989" s="5"/>
      <c r="B989" s="5"/>
      <c r="C989" s="5"/>
    </row>
    <row r="990" spans="1:3" x14ac:dyDescent="0.25">
      <c r="A990" s="5"/>
      <c r="B990" s="5"/>
      <c r="C990" s="5"/>
    </row>
    <row r="991" spans="1:3" x14ac:dyDescent="0.25">
      <c r="A991" s="5"/>
      <c r="B991" s="5"/>
      <c r="C991" s="5"/>
    </row>
    <row r="992" spans="1:3" x14ac:dyDescent="0.25">
      <c r="A992" s="5"/>
      <c r="B992" s="5"/>
      <c r="C992" s="5"/>
    </row>
    <row r="993" spans="1:3" x14ac:dyDescent="0.25">
      <c r="A993" s="5"/>
      <c r="B993" s="5"/>
      <c r="C993" s="5"/>
    </row>
    <row r="994" spans="1:3" x14ac:dyDescent="0.25">
      <c r="A994" s="5"/>
      <c r="B994" s="5"/>
      <c r="C994" s="5"/>
    </row>
    <row r="995" spans="1:3" x14ac:dyDescent="0.25">
      <c r="A995" s="5"/>
      <c r="B995" s="5"/>
      <c r="C995" s="5"/>
    </row>
    <row r="996" spans="1:3" x14ac:dyDescent="0.25">
      <c r="A996" s="5"/>
      <c r="B996" s="5"/>
      <c r="C996" s="5"/>
    </row>
    <row r="997" spans="1:3" x14ac:dyDescent="0.25">
      <c r="A997" s="5"/>
      <c r="B997" s="5"/>
      <c r="C997" s="5"/>
    </row>
    <row r="998" spans="1:3" x14ac:dyDescent="0.25">
      <c r="A998" s="5"/>
      <c r="B998" s="5"/>
      <c r="C998" s="5"/>
    </row>
    <row r="999" spans="1:3" x14ac:dyDescent="0.25">
      <c r="A999" s="5"/>
      <c r="B999" s="5"/>
      <c r="C999" s="5"/>
    </row>
    <row r="1000" spans="1:3" x14ac:dyDescent="0.25">
      <c r="A1000" s="5"/>
      <c r="B1000" s="5"/>
      <c r="C1000" s="5"/>
    </row>
    <row r="1001" spans="1:3" x14ac:dyDescent="0.25">
      <c r="A1001" s="5"/>
      <c r="B1001" s="5"/>
      <c r="C1001" s="5"/>
    </row>
    <row r="1002" spans="1:3" x14ac:dyDescent="0.25">
      <c r="A1002" s="5"/>
      <c r="B1002" s="5"/>
      <c r="C1002" s="5"/>
    </row>
    <row r="1003" spans="1:3" x14ac:dyDescent="0.25">
      <c r="A1003" s="5"/>
      <c r="B1003" s="5"/>
      <c r="C1003" s="5"/>
    </row>
    <row r="1004" spans="1:3" x14ac:dyDescent="0.25">
      <c r="A1004" s="5"/>
      <c r="B1004" s="5"/>
      <c r="C1004" s="5"/>
    </row>
    <row r="1005" spans="1:3" x14ac:dyDescent="0.25">
      <c r="A1005" s="5"/>
      <c r="B1005" s="5"/>
      <c r="C1005" s="5"/>
    </row>
    <row r="1006" spans="1:3" x14ac:dyDescent="0.25">
      <c r="A1006" s="5"/>
      <c r="B1006" s="5"/>
      <c r="C1006" s="5"/>
    </row>
    <row r="1007" spans="1:3" x14ac:dyDescent="0.25">
      <c r="A1007" s="5"/>
      <c r="B1007" s="5"/>
      <c r="C1007" s="5"/>
    </row>
    <row r="1008" spans="1:3" x14ac:dyDescent="0.25">
      <c r="A1008" s="5"/>
      <c r="B1008" s="5"/>
      <c r="C1008" s="5"/>
    </row>
    <row r="1009" spans="1:3" x14ac:dyDescent="0.25">
      <c r="A1009" s="5"/>
      <c r="B1009" s="5"/>
      <c r="C1009" s="5"/>
    </row>
    <row r="1010" spans="1:3" x14ac:dyDescent="0.25">
      <c r="A1010" s="5"/>
      <c r="B1010" s="5"/>
      <c r="C1010" s="5"/>
    </row>
    <row r="1011" spans="1:3" x14ac:dyDescent="0.25">
      <c r="A1011" s="5"/>
      <c r="B1011" s="5"/>
      <c r="C1011" s="5"/>
    </row>
    <row r="1012" spans="1:3" x14ac:dyDescent="0.25">
      <c r="A1012" s="5"/>
      <c r="B1012" s="5"/>
      <c r="C1012" s="5"/>
    </row>
    <row r="1013" spans="1:3" x14ac:dyDescent="0.25">
      <c r="A1013" s="5"/>
      <c r="B1013" s="5"/>
      <c r="C1013" s="5"/>
    </row>
    <row r="1014" spans="1:3" x14ac:dyDescent="0.25">
      <c r="A1014" s="5"/>
      <c r="B1014" s="5"/>
      <c r="C1014" s="5"/>
    </row>
    <row r="1015" spans="1:3" x14ac:dyDescent="0.25">
      <c r="A1015" s="5"/>
      <c r="B1015" s="5"/>
      <c r="C1015" s="5"/>
    </row>
    <row r="1016" spans="1:3" x14ac:dyDescent="0.25">
      <c r="A1016" s="5"/>
      <c r="B1016" s="5"/>
      <c r="C1016" s="5"/>
    </row>
    <row r="1017" spans="1:3" x14ac:dyDescent="0.25">
      <c r="A1017" s="5"/>
      <c r="B1017" s="5"/>
      <c r="C1017" s="5"/>
    </row>
    <row r="1018" spans="1:3" x14ac:dyDescent="0.25">
      <c r="A1018" s="5"/>
      <c r="B1018" s="5"/>
      <c r="C1018" s="5"/>
    </row>
    <row r="1019" spans="1:3" x14ac:dyDescent="0.25">
      <c r="A1019" s="5"/>
      <c r="B1019" s="5"/>
      <c r="C1019" s="5"/>
    </row>
    <row r="1020" spans="1:3" x14ac:dyDescent="0.25">
      <c r="A1020" s="5"/>
      <c r="B1020" s="5"/>
      <c r="C1020" s="5"/>
    </row>
    <row r="1021" spans="1:3" x14ac:dyDescent="0.25">
      <c r="A1021" s="5"/>
      <c r="B1021" s="5"/>
      <c r="C1021" s="5"/>
    </row>
    <row r="1022" spans="1:3" x14ac:dyDescent="0.25">
      <c r="A1022" s="5"/>
      <c r="B1022" s="5"/>
      <c r="C1022" s="5"/>
    </row>
    <row r="1023" spans="1:3" x14ac:dyDescent="0.25">
      <c r="A1023" s="5"/>
      <c r="B1023" s="5"/>
      <c r="C1023" s="5"/>
    </row>
    <row r="1024" spans="1:3" x14ac:dyDescent="0.25">
      <c r="A1024" s="5"/>
      <c r="B1024" s="5"/>
      <c r="C1024" s="5"/>
    </row>
    <row r="1025" spans="1:3" x14ac:dyDescent="0.25">
      <c r="A1025" s="5"/>
      <c r="B1025" s="5"/>
      <c r="C1025" s="5"/>
    </row>
    <row r="1026" spans="1:3" x14ac:dyDescent="0.25">
      <c r="A1026" s="5"/>
      <c r="B1026" s="5"/>
      <c r="C1026" s="5"/>
    </row>
    <row r="1027" spans="1:3" x14ac:dyDescent="0.25">
      <c r="A1027" s="5"/>
      <c r="B1027" s="5"/>
      <c r="C1027" s="5"/>
    </row>
    <row r="1028" spans="1:3" x14ac:dyDescent="0.25">
      <c r="A1028" s="5"/>
      <c r="B1028" s="5"/>
      <c r="C1028" s="5"/>
    </row>
    <row r="1029" spans="1:3" x14ac:dyDescent="0.25">
      <c r="A1029" s="5"/>
      <c r="B1029" s="5"/>
      <c r="C1029" s="5"/>
    </row>
    <row r="1030" spans="1:3" x14ac:dyDescent="0.25">
      <c r="A1030" s="5"/>
      <c r="B1030" s="5"/>
      <c r="C1030" s="5"/>
    </row>
    <row r="1031" spans="1:3" x14ac:dyDescent="0.25">
      <c r="A1031" s="5"/>
      <c r="B1031" s="5"/>
      <c r="C1031" s="5"/>
    </row>
    <row r="1032" spans="1:3" x14ac:dyDescent="0.25">
      <c r="A1032" s="5"/>
      <c r="B1032" s="5"/>
      <c r="C1032" s="5"/>
    </row>
    <row r="1033" spans="1:3" x14ac:dyDescent="0.25">
      <c r="A1033" s="5"/>
      <c r="B1033" s="5"/>
      <c r="C1033" s="5"/>
    </row>
    <row r="1034" spans="1:3" x14ac:dyDescent="0.25">
      <c r="A1034" s="5"/>
      <c r="B1034" s="5"/>
      <c r="C1034" s="5"/>
    </row>
    <row r="1035" spans="1:3" x14ac:dyDescent="0.25">
      <c r="A1035" s="5"/>
      <c r="B1035" s="5"/>
      <c r="C1035" s="5"/>
    </row>
    <row r="1036" spans="1:3" x14ac:dyDescent="0.25">
      <c r="A1036" s="5"/>
      <c r="B1036" s="5"/>
      <c r="C1036" s="5"/>
    </row>
    <row r="1037" spans="1:3" x14ac:dyDescent="0.25">
      <c r="A1037" s="5"/>
      <c r="B1037" s="5"/>
      <c r="C1037" s="5"/>
    </row>
    <row r="1038" spans="1:3" x14ac:dyDescent="0.25">
      <c r="A1038" s="5"/>
      <c r="B1038" s="5"/>
      <c r="C1038" s="5"/>
    </row>
    <row r="1039" spans="1:3" x14ac:dyDescent="0.25">
      <c r="A1039" s="5"/>
      <c r="B1039" s="5"/>
      <c r="C1039" s="5"/>
    </row>
    <row r="1040" spans="1:3" x14ac:dyDescent="0.25">
      <c r="A1040" s="5"/>
      <c r="B1040" s="5"/>
      <c r="C1040" s="5"/>
    </row>
    <row r="1041" spans="1:3" x14ac:dyDescent="0.25">
      <c r="A1041" s="5"/>
      <c r="B1041" s="5"/>
      <c r="C1041" s="5"/>
    </row>
    <row r="1042" spans="1:3" x14ac:dyDescent="0.25">
      <c r="A1042" s="5"/>
      <c r="B1042" s="5"/>
      <c r="C1042" s="5"/>
    </row>
    <row r="1043" spans="1:3" x14ac:dyDescent="0.25">
      <c r="A1043" s="5"/>
      <c r="B1043" s="5"/>
      <c r="C1043" s="5"/>
    </row>
    <row r="1044" spans="1:3" x14ac:dyDescent="0.25">
      <c r="A1044" s="5"/>
      <c r="B1044" s="5"/>
      <c r="C1044" s="5"/>
    </row>
    <row r="1045" spans="1:3" x14ac:dyDescent="0.25">
      <c r="A1045" s="5"/>
      <c r="B1045" s="5"/>
      <c r="C1045" s="5"/>
    </row>
    <row r="1046" spans="1:3" x14ac:dyDescent="0.25">
      <c r="A1046" s="5"/>
      <c r="B1046" s="5"/>
      <c r="C1046" s="5"/>
    </row>
    <row r="1047" spans="1:3" x14ac:dyDescent="0.25">
      <c r="A1047" s="5"/>
      <c r="B1047" s="5"/>
      <c r="C1047" s="5"/>
    </row>
    <row r="1048" spans="1:3" x14ac:dyDescent="0.25">
      <c r="A1048" s="5"/>
      <c r="B1048" s="5"/>
      <c r="C1048" s="5"/>
    </row>
    <row r="1049" spans="1:3" x14ac:dyDescent="0.25">
      <c r="A1049" s="5"/>
      <c r="B1049" s="5"/>
      <c r="C1049" s="5"/>
    </row>
    <row r="1050" spans="1:3" x14ac:dyDescent="0.25">
      <c r="A1050" s="5"/>
      <c r="B1050" s="5"/>
      <c r="C1050" s="5"/>
    </row>
    <row r="1051" spans="1:3" x14ac:dyDescent="0.25">
      <c r="A1051" s="5"/>
      <c r="B1051" s="5"/>
      <c r="C1051" s="5"/>
    </row>
    <row r="1052" spans="1:3" x14ac:dyDescent="0.25">
      <c r="A1052" s="5"/>
      <c r="B1052" s="5"/>
      <c r="C1052" s="5"/>
    </row>
    <row r="1053" spans="1:3" x14ac:dyDescent="0.25">
      <c r="A1053" s="5"/>
      <c r="B1053" s="5"/>
      <c r="C1053" s="5"/>
    </row>
    <row r="1054" spans="1:3" x14ac:dyDescent="0.25">
      <c r="A1054" s="5"/>
      <c r="B1054" s="5"/>
      <c r="C1054" s="5"/>
    </row>
    <row r="1055" spans="1:3" x14ac:dyDescent="0.25">
      <c r="A1055" s="5"/>
      <c r="B1055" s="5"/>
      <c r="C1055" s="5"/>
    </row>
    <row r="1056" spans="1:3" x14ac:dyDescent="0.25">
      <c r="A1056" s="5"/>
      <c r="B1056" s="5"/>
      <c r="C1056" s="5"/>
    </row>
    <row r="1057" spans="1:3" x14ac:dyDescent="0.25">
      <c r="A1057" s="5"/>
      <c r="B1057" s="5"/>
      <c r="C1057" s="5"/>
    </row>
    <row r="1058" spans="1:3" x14ac:dyDescent="0.25">
      <c r="A1058" s="5"/>
      <c r="B1058" s="5"/>
      <c r="C1058" s="5"/>
    </row>
    <row r="1059" spans="1:3" x14ac:dyDescent="0.25">
      <c r="A1059" s="5"/>
      <c r="B1059" s="5"/>
      <c r="C1059" s="5"/>
    </row>
    <row r="1060" spans="1:3" x14ac:dyDescent="0.25">
      <c r="A1060" s="5"/>
      <c r="B1060" s="5"/>
      <c r="C1060" s="5"/>
    </row>
    <row r="1061" spans="1:3" x14ac:dyDescent="0.25">
      <c r="A1061" s="5"/>
      <c r="B1061" s="5"/>
      <c r="C1061" s="5"/>
    </row>
    <row r="1062" spans="1:3" x14ac:dyDescent="0.25">
      <c r="A1062" s="5"/>
      <c r="B1062" s="5"/>
      <c r="C1062" s="5"/>
    </row>
    <row r="1063" spans="1:3" x14ac:dyDescent="0.25">
      <c r="A1063" s="5"/>
      <c r="B1063" s="5"/>
      <c r="C1063" s="5"/>
    </row>
    <row r="1064" spans="1:3" x14ac:dyDescent="0.25">
      <c r="A1064" s="5"/>
      <c r="B1064" s="5"/>
      <c r="C1064" s="5"/>
    </row>
    <row r="1065" spans="1:3" x14ac:dyDescent="0.25">
      <c r="A1065" s="5"/>
      <c r="B1065" s="5"/>
      <c r="C1065" s="5"/>
    </row>
    <row r="1066" spans="1:3" x14ac:dyDescent="0.25">
      <c r="A1066" s="5"/>
      <c r="B1066" s="5"/>
      <c r="C1066" s="5"/>
    </row>
    <row r="1067" spans="1:3" x14ac:dyDescent="0.25">
      <c r="A1067" s="5"/>
      <c r="B1067" s="5"/>
      <c r="C1067" s="5"/>
    </row>
    <row r="1068" spans="1:3" x14ac:dyDescent="0.25">
      <c r="A1068" s="5"/>
      <c r="B1068" s="5"/>
      <c r="C1068" s="5"/>
    </row>
    <row r="1069" spans="1:3" x14ac:dyDescent="0.25">
      <c r="A1069" s="5"/>
      <c r="B1069" s="5"/>
      <c r="C1069" s="5"/>
    </row>
    <row r="1070" spans="1:3" x14ac:dyDescent="0.25">
      <c r="A1070" s="5"/>
      <c r="B1070" s="5"/>
      <c r="C1070" s="5"/>
    </row>
    <row r="1071" spans="1:3" x14ac:dyDescent="0.25">
      <c r="A1071" s="5"/>
      <c r="B1071" s="5"/>
      <c r="C1071" s="5"/>
    </row>
    <row r="1072" spans="1:3" x14ac:dyDescent="0.25">
      <c r="A1072" s="5"/>
      <c r="B1072" s="5"/>
      <c r="C1072" s="5"/>
    </row>
    <row r="1073" spans="1:3" x14ac:dyDescent="0.25">
      <c r="A1073" s="5"/>
      <c r="B1073" s="5"/>
      <c r="C1073" s="5"/>
    </row>
    <row r="1074" spans="1:3" x14ac:dyDescent="0.25">
      <c r="A1074" s="5"/>
      <c r="B1074" s="5"/>
      <c r="C1074" s="5"/>
    </row>
    <row r="1075" spans="1:3" x14ac:dyDescent="0.25">
      <c r="A1075" s="5"/>
      <c r="B1075" s="5"/>
      <c r="C1075" s="5"/>
    </row>
    <row r="1076" spans="1:3" x14ac:dyDescent="0.25">
      <c r="A1076" s="5"/>
      <c r="B1076" s="5"/>
      <c r="C1076" s="5"/>
    </row>
    <row r="1077" spans="1:3" x14ac:dyDescent="0.25">
      <c r="A1077" s="5"/>
      <c r="B1077" s="5"/>
      <c r="C1077" s="5"/>
    </row>
    <row r="1078" spans="1:3" x14ac:dyDescent="0.25">
      <c r="A1078" s="5"/>
      <c r="B1078" s="5"/>
      <c r="C1078" s="5"/>
    </row>
    <row r="1079" spans="1:3" x14ac:dyDescent="0.25">
      <c r="A1079" s="5"/>
      <c r="B1079" s="5"/>
      <c r="C1079" s="5"/>
    </row>
    <row r="1080" spans="1:3" x14ac:dyDescent="0.25">
      <c r="A1080" s="5"/>
      <c r="B1080" s="5"/>
      <c r="C1080" s="5"/>
    </row>
    <row r="1081" spans="1:3" x14ac:dyDescent="0.25">
      <c r="A1081" s="5"/>
      <c r="B1081" s="5"/>
      <c r="C1081" s="5"/>
    </row>
    <row r="1082" spans="1:3" x14ac:dyDescent="0.25">
      <c r="A1082" s="5"/>
      <c r="B1082" s="5"/>
      <c r="C1082" s="5"/>
    </row>
    <row r="1083" spans="1:3" x14ac:dyDescent="0.25">
      <c r="A1083" s="5"/>
      <c r="B1083" s="5"/>
      <c r="C1083" s="5"/>
    </row>
    <row r="1084" spans="1:3" x14ac:dyDescent="0.25">
      <c r="A1084" s="5"/>
      <c r="B1084" s="5"/>
      <c r="C1084" s="5"/>
    </row>
    <row r="1085" spans="1:3" x14ac:dyDescent="0.25">
      <c r="A1085" s="5"/>
      <c r="B1085" s="5"/>
      <c r="C1085" s="5"/>
    </row>
    <row r="1086" spans="1:3" x14ac:dyDescent="0.25">
      <c r="A1086" s="5"/>
      <c r="B1086" s="5"/>
      <c r="C1086" s="5"/>
    </row>
    <row r="1087" spans="1:3" x14ac:dyDescent="0.25">
      <c r="A1087" s="5"/>
      <c r="B1087" s="5"/>
      <c r="C1087" s="5"/>
    </row>
    <row r="1088" spans="1:3" x14ac:dyDescent="0.25">
      <c r="A1088" s="5"/>
      <c r="B1088" s="5"/>
      <c r="C1088" s="5"/>
    </row>
    <row r="1089" spans="1:3" x14ac:dyDescent="0.25">
      <c r="A1089" s="5"/>
      <c r="B1089" s="5"/>
      <c r="C1089" s="5"/>
    </row>
    <row r="1090" spans="1:3" x14ac:dyDescent="0.25">
      <c r="A1090" s="5"/>
      <c r="B1090" s="5"/>
      <c r="C1090" s="5"/>
    </row>
    <row r="1091" spans="1:3" x14ac:dyDescent="0.25">
      <c r="A1091" s="5"/>
      <c r="B1091" s="5"/>
      <c r="C1091" s="5"/>
    </row>
    <row r="1092" spans="1:3" x14ac:dyDescent="0.25">
      <c r="A1092" s="5"/>
      <c r="B1092" s="5"/>
      <c r="C1092" s="5"/>
    </row>
    <row r="1093" spans="1:3" x14ac:dyDescent="0.25">
      <c r="A1093" s="5"/>
      <c r="B1093" s="5"/>
      <c r="C1093" s="5"/>
    </row>
    <row r="1094" spans="1:3" x14ac:dyDescent="0.25">
      <c r="A1094" s="5"/>
      <c r="B1094" s="5"/>
      <c r="C1094" s="5"/>
    </row>
    <row r="1095" spans="1:3" x14ac:dyDescent="0.25">
      <c r="A1095" s="5"/>
      <c r="B1095" s="5"/>
      <c r="C1095" s="5"/>
    </row>
    <row r="1096" spans="1:3" x14ac:dyDescent="0.25">
      <c r="A1096" s="5"/>
      <c r="B1096" s="5"/>
      <c r="C1096" s="5"/>
    </row>
    <row r="1097" spans="1:3" x14ac:dyDescent="0.25">
      <c r="A1097" s="5"/>
      <c r="B1097" s="5"/>
      <c r="C1097" s="5"/>
    </row>
    <row r="1098" spans="1:3" x14ac:dyDescent="0.25">
      <c r="A1098" s="5"/>
      <c r="B1098" s="5"/>
      <c r="C1098" s="5"/>
    </row>
    <row r="1099" spans="1:3" x14ac:dyDescent="0.25">
      <c r="A1099" s="5"/>
      <c r="B1099" s="5"/>
      <c r="C1099" s="5"/>
    </row>
    <row r="1100" spans="1:3" x14ac:dyDescent="0.25">
      <c r="A1100" s="5"/>
      <c r="B1100" s="5"/>
      <c r="C1100" s="5"/>
    </row>
    <row r="1101" spans="1:3" x14ac:dyDescent="0.25">
      <c r="A1101" s="5"/>
      <c r="B1101" s="5"/>
      <c r="C1101" s="5"/>
    </row>
    <row r="1102" spans="1:3" x14ac:dyDescent="0.25">
      <c r="A1102" s="5"/>
      <c r="B1102" s="5"/>
      <c r="C1102" s="5"/>
    </row>
    <row r="1103" spans="1:3" x14ac:dyDescent="0.25">
      <c r="A1103" s="5"/>
      <c r="B1103" s="5"/>
      <c r="C1103" s="5"/>
    </row>
    <row r="1104" spans="1:3" x14ac:dyDescent="0.25">
      <c r="A1104" s="5"/>
      <c r="B1104" s="5"/>
      <c r="C1104" s="5"/>
    </row>
    <row r="1105" spans="1:3" x14ac:dyDescent="0.25">
      <c r="A1105" s="5"/>
      <c r="B1105" s="5"/>
      <c r="C1105" s="5"/>
    </row>
    <row r="1106" spans="1:3" x14ac:dyDescent="0.25">
      <c r="A1106" s="5"/>
      <c r="B1106" s="5"/>
      <c r="C1106" s="5"/>
    </row>
    <row r="1107" spans="1:3" x14ac:dyDescent="0.25">
      <c r="A1107" s="5"/>
      <c r="B1107" s="5"/>
      <c r="C1107" s="5"/>
    </row>
    <row r="1108" spans="1:3" x14ac:dyDescent="0.25">
      <c r="A1108" s="5"/>
      <c r="B1108" s="5"/>
      <c r="C1108" s="5"/>
    </row>
    <row r="1109" spans="1:3" x14ac:dyDescent="0.25">
      <c r="A1109" s="5"/>
      <c r="B1109" s="5"/>
      <c r="C1109" s="5"/>
    </row>
    <row r="1110" spans="1:3" x14ac:dyDescent="0.25">
      <c r="A1110" s="5"/>
      <c r="B1110" s="5"/>
      <c r="C1110" s="5"/>
    </row>
    <row r="1111" spans="1:3" x14ac:dyDescent="0.25">
      <c r="A1111" s="5"/>
      <c r="B1111" s="5"/>
      <c r="C1111" s="5"/>
    </row>
    <row r="1112" spans="1:3" x14ac:dyDescent="0.25">
      <c r="A1112" s="5"/>
      <c r="B1112" s="5"/>
      <c r="C1112" s="5"/>
    </row>
    <row r="1113" spans="1:3" x14ac:dyDescent="0.25">
      <c r="A1113" s="5"/>
      <c r="B1113" s="5"/>
      <c r="C1113" s="5"/>
    </row>
    <row r="1114" spans="1:3" x14ac:dyDescent="0.25">
      <c r="A1114" s="5"/>
      <c r="B1114" s="5"/>
      <c r="C1114" s="5"/>
    </row>
    <row r="1115" spans="1:3" x14ac:dyDescent="0.25">
      <c r="A1115" s="5"/>
      <c r="B1115" s="5"/>
      <c r="C1115" s="5"/>
    </row>
    <row r="1116" spans="1:3" x14ac:dyDescent="0.25">
      <c r="A1116" s="5"/>
      <c r="B1116" s="5"/>
      <c r="C1116" s="5"/>
    </row>
    <row r="1117" spans="1:3" x14ac:dyDescent="0.25">
      <c r="A1117" s="5"/>
      <c r="B1117" s="5"/>
      <c r="C1117" s="5"/>
    </row>
    <row r="1118" spans="1:3" x14ac:dyDescent="0.25">
      <c r="A1118" s="5"/>
      <c r="B1118" s="5"/>
      <c r="C1118" s="5"/>
    </row>
    <row r="1119" spans="1:3" x14ac:dyDescent="0.25">
      <c r="A1119" s="5"/>
      <c r="B1119" s="5"/>
      <c r="C1119" s="5"/>
    </row>
    <row r="1120" spans="1:3" x14ac:dyDescent="0.25">
      <c r="A1120" s="5"/>
      <c r="B1120" s="5"/>
      <c r="C1120" s="5"/>
    </row>
    <row r="1121" spans="1:3" x14ac:dyDescent="0.25">
      <c r="A1121" s="5"/>
      <c r="B1121" s="5"/>
      <c r="C1121" s="5"/>
    </row>
    <row r="1122" spans="1:3" x14ac:dyDescent="0.25">
      <c r="A1122" s="5"/>
      <c r="B1122" s="5"/>
      <c r="C1122" s="5"/>
    </row>
    <row r="1123" spans="1:3" x14ac:dyDescent="0.25">
      <c r="A1123" s="5"/>
      <c r="B1123" s="5"/>
      <c r="C1123" s="5"/>
    </row>
    <row r="1124" spans="1:3" x14ac:dyDescent="0.25">
      <c r="A1124" s="5"/>
      <c r="B1124" s="5"/>
      <c r="C1124" s="5"/>
    </row>
    <row r="1125" spans="1:3" x14ac:dyDescent="0.25">
      <c r="A1125" s="5"/>
      <c r="B1125" s="5"/>
      <c r="C1125" s="5"/>
    </row>
    <row r="1126" spans="1:3" x14ac:dyDescent="0.25">
      <c r="A1126" s="5"/>
      <c r="B1126" s="5"/>
      <c r="C1126" s="5"/>
    </row>
    <row r="1127" spans="1:3" x14ac:dyDescent="0.25">
      <c r="A1127" s="5"/>
      <c r="B1127" s="5"/>
      <c r="C1127" s="5"/>
    </row>
    <row r="1128" spans="1:3" x14ac:dyDescent="0.25">
      <c r="A1128" s="5"/>
      <c r="B1128" s="5"/>
      <c r="C1128" s="5"/>
    </row>
    <row r="1129" spans="1:3" x14ac:dyDescent="0.25">
      <c r="A1129" s="5"/>
      <c r="B1129" s="5"/>
      <c r="C1129" s="5"/>
    </row>
    <row r="1130" spans="1:3" x14ac:dyDescent="0.25">
      <c r="A1130" s="5"/>
      <c r="B1130" s="5"/>
      <c r="C1130" s="5"/>
    </row>
    <row r="1131" spans="1:3" x14ac:dyDescent="0.25">
      <c r="A1131" s="5"/>
      <c r="B1131" s="5"/>
      <c r="C1131" s="5"/>
    </row>
    <row r="1132" spans="1:3" x14ac:dyDescent="0.25">
      <c r="A1132" s="5"/>
      <c r="B1132" s="5"/>
      <c r="C1132" s="5"/>
    </row>
    <row r="1133" spans="1:3" x14ac:dyDescent="0.25">
      <c r="A1133" s="5"/>
      <c r="B1133" s="5"/>
      <c r="C1133" s="5"/>
    </row>
    <row r="1134" spans="1:3" x14ac:dyDescent="0.25">
      <c r="A1134" s="5"/>
      <c r="B1134" s="5"/>
      <c r="C1134" s="5"/>
    </row>
    <row r="1135" spans="1:3" x14ac:dyDescent="0.25">
      <c r="A1135" s="5"/>
      <c r="B1135" s="5"/>
      <c r="C1135" s="5"/>
    </row>
    <row r="1136" spans="1:3" x14ac:dyDescent="0.25">
      <c r="A1136" s="5"/>
      <c r="B1136" s="5"/>
      <c r="C1136" s="5"/>
    </row>
    <row r="1137" spans="1:3" x14ac:dyDescent="0.25">
      <c r="A1137" s="5"/>
      <c r="B1137" s="5"/>
      <c r="C1137" s="5"/>
    </row>
    <row r="1138" spans="1:3" x14ac:dyDescent="0.25">
      <c r="A1138" s="5"/>
      <c r="B1138" s="5"/>
      <c r="C1138" s="5"/>
    </row>
    <row r="1139" spans="1:3" x14ac:dyDescent="0.25">
      <c r="A1139" s="5"/>
      <c r="B1139" s="5"/>
      <c r="C1139" s="5"/>
    </row>
    <row r="1140" spans="1:3" x14ac:dyDescent="0.25">
      <c r="A1140" s="5"/>
      <c r="B1140" s="5"/>
      <c r="C1140" s="5"/>
    </row>
    <row r="1141" spans="1:3" x14ac:dyDescent="0.25">
      <c r="A1141" s="5"/>
      <c r="B1141" s="5"/>
      <c r="C1141" s="5"/>
    </row>
    <row r="1142" spans="1:3" x14ac:dyDescent="0.25">
      <c r="A1142" s="5"/>
      <c r="B1142" s="5"/>
      <c r="C1142" s="5"/>
    </row>
    <row r="1143" spans="1:3" x14ac:dyDescent="0.25">
      <c r="A1143" s="5"/>
      <c r="B1143" s="5"/>
      <c r="C1143" s="5"/>
    </row>
    <row r="1144" spans="1:3" x14ac:dyDescent="0.25">
      <c r="A1144" s="5"/>
      <c r="B1144" s="5"/>
      <c r="C1144" s="5"/>
    </row>
    <row r="1145" spans="1:3" x14ac:dyDescent="0.25">
      <c r="A1145" s="5"/>
      <c r="B1145" s="5"/>
      <c r="C1145" s="5"/>
    </row>
    <row r="1146" spans="1:3" x14ac:dyDescent="0.25">
      <c r="A1146" s="5"/>
      <c r="B1146" s="5"/>
      <c r="C1146" s="5"/>
    </row>
    <row r="1147" spans="1:3" x14ac:dyDescent="0.25">
      <c r="A1147" s="5"/>
      <c r="B1147" s="5"/>
      <c r="C1147" s="5"/>
    </row>
    <row r="1148" spans="1:3" x14ac:dyDescent="0.25">
      <c r="A1148" s="5"/>
      <c r="B1148" s="5"/>
      <c r="C1148" s="5"/>
    </row>
    <row r="1149" spans="1:3" x14ac:dyDescent="0.25">
      <c r="A1149" s="5"/>
      <c r="B1149" s="5"/>
      <c r="C1149" s="5"/>
    </row>
    <row r="1150" spans="1:3" x14ac:dyDescent="0.25">
      <c r="A1150" s="5"/>
      <c r="B1150" s="5"/>
      <c r="C1150" s="5"/>
    </row>
    <row r="1151" spans="1:3" x14ac:dyDescent="0.25">
      <c r="A1151" s="5"/>
      <c r="B1151" s="5"/>
      <c r="C1151" s="5"/>
    </row>
    <row r="1152" spans="1:3" x14ac:dyDescent="0.25">
      <c r="A1152" s="5"/>
      <c r="B1152" s="5"/>
      <c r="C1152" s="5"/>
    </row>
    <row r="1153" spans="1:3" x14ac:dyDescent="0.25">
      <c r="A1153" s="5"/>
      <c r="B1153" s="5"/>
      <c r="C1153" s="5"/>
    </row>
    <row r="1154" spans="1:3" x14ac:dyDescent="0.25">
      <c r="A1154" s="5"/>
      <c r="B1154" s="5"/>
      <c r="C1154" s="5"/>
    </row>
    <row r="1155" spans="1:3" x14ac:dyDescent="0.25">
      <c r="A1155" s="5"/>
      <c r="B1155" s="5"/>
      <c r="C1155" s="5"/>
    </row>
    <row r="1156" spans="1:3" x14ac:dyDescent="0.25">
      <c r="A1156" s="5"/>
      <c r="B1156" s="5"/>
      <c r="C1156" s="5"/>
    </row>
    <row r="1157" spans="1:3" x14ac:dyDescent="0.25">
      <c r="A1157" s="5"/>
      <c r="B1157" s="5"/>
      <c r="C1157" s="5"/>
    </row>
    <row r="1158" spans="1:3" x14ac:dyDescent="0.25">
      <c r="A1158" s="5"/>
      <c r="B1158" s="5"/>
      <c r="C1158" s="5"/>
    </row>
    <row r="1159" spans="1:3" x14ac:dyDescent="0.25">
      <c r="A1159" s="5"/>
      <c r="B1159" s="5"/>
      <c r="C1159" s="5"/>
    </row>
    <row r="1160" spans="1:3" x14ac:dyDescent="0.25">
      <c r="A1160" s="5"/>
      <c r="B1160" s="5"/>
      <c r="C1160" s="5"/>
    </row>
    <row r="1161" spans="1:3" x14ac:dyDescent="0.25">
      <c r="A1161" s="5"/>
      <c r="B1161" s="5"/>
      <c r="C1161" s="5"/>
    </row>
    <row r="1162" spans="1:3" x14ac:dyDescent="0.25">
      <c r="A1162" s="5"/>
      <c r="B1162" s="5"/>
      <c r="C1162" s="5"/>
    </row>
    <row r="1163" spans="1:3" x14ac:dyDescent="0.25">
      <c r="A1163" s="5"/>
      <c r="B1163" s="5"/>
      <c r="C1163" s="5"/>
    </row>
    <row r="1164" spans="1:3" x14ac:dyDescent="0.25">
      <c r="A1164" s="5"/>
      <c r="B1164" s="5"/>
      <c r="C1164" s="5"/>
    </row>
    <row r="1165" spans="1:3" x14ac:dyDescent="0.25">
      <c r="A1165" s="5"/>
      <c r="B1165" s="5"/>
      <c r="C1165" s="5"/>
    </row>
    <row r="1166" spans="1:3" x14ac:dyDescent="0.25">
      <c r="A1166" s="5"/>
      <c r="B1166" s="5"/>
      <c r="C1166" s="5"/>
    </row>
    <row r="1167" spans="1:3" x14ac:dyDescent="0.25">
      <c r="A1167" s="5"/>
      <c r="B1167" s="5"/>
      <c r="C1167" s="5"/>
    </row>
    <row r="1168" spans="1:3" x14ac:dyDescent="0.25">
      <c r="A1168" s="5"/>
      <c r="B1168" s="5"/>
      <c r="C1168" s="5"/>
    </row>
    <row r="1169" spans="1:3" x14ac:dyDescent="0.25">
      <c r="A1169" s="5"/>
      <c r="B1169" s="5"/>
      <c r="C1169" s="5"/>
    </row>
    <row r="1170" spans="1:3" x14ac:dyDescent="0.25">
      <c r="A1170" s="5"/>
      <c r="B1170" s="5"/>
      <c r="C1170" s="5"/>
    </row>
    <row r="1171" spans="1:3" x14ac:dyDescent="0.25">
      <c r="A1171" s="5"/>
      <c r="B1171" s="5"/>
      <c r="C1171" s="5"/>
    </row>
    <row r="1172" spans="1:3" x14ac:dyDescent="0.25">
      <c r="A1172" s="5"/>
      <c r="B1172" s="5"/>
      <c r="C1172" s="5"/>
    </row>
    <row r="1173" spans="1:3" x14ac:dyDescent="0.25">
      <c r="A1173" s="5"/>
      <c r="B1173" s="5"/>
      <c r="C1173" s="5"/>
    </row>
    <row r="1174" spans="1:3" x14ac:dyDescent="0.25">
      <c r="A1174" s="5"/>
      <c r="B1174" s="5"/>
      <c r="C1174" s="5"/>
    </row>
    <row r="1175" spans="1:3" x14ac:dyDescent="0.25">
      <c r="A1175" s="5"/>
      <c r="B1175" s="5"/>
      <c r="C1175" s="5"/>
    </row>
    <row r="1176" spans="1:3" x14ac:dyDescent="0.25">
      <c r="A1176" s="5"/>
      <c r="B1176" s="5"/>
      <c r="C1176" s="5"/>
    </row>
    <row r="1177" spans="1:3" x14ac:dyDescent="0.25">
      <c r="A1177" s="5"/>
      <c r="B1177" s="5"/>
      <c r="C1177" s="5"/>
    </row>
    <row r="1178" spans="1:3" x14ac:dyDescent="0.25">
      <c r="A1178" s="5"/>
      <c r="B1178" s="5"/>
      <c r="C1178" s="5"/>
    </row>
    <row r="1179" spans="1:3" x14ac:dyDescent="0.25">
      <c r="A1179" s="5"/>
      <c r="B1179" s="5"/>
      <c r="C1179" s="5"/>
    </row>
    <row r="1180" spans="1:3" x14ac:dyDescent="0.25">
      <c r="A1180" s="5"/>
      <c r="B1180" s="5"/>
      <c r="C1180" s="5"/>
    </row>
    <row r="1181" spans="1:3" x14ac:dyDescent="0.25">
      <c r="A1181" s="5"/>
      <c r="B1181" s="5"/>
      <c r="C1181" s="5"/>
    </row>
    <row r="1182" spans="1:3" x14ac:dyDescent="0.25">
      <c r="A1182" s="5"/>
      <c r="B1182" s="5"/>
      <c r="C1182" s="5"/>
    </row>
    <row r="1183" spans="1:3" x14ac:dyDescent="0.25">
      <c r="A1183" s="5"/>
      <c r="B1183" s="5"/>
      <c r="C1183" s="5"/>
    </row>
    <row r="1184" spans="1:3" x14ac:dyDescent="0.25">
      <c r="A1184" s="5"/>
      <c r="B1184" s="5"/>
      <c r="C1184" s="5"/>
    </row>
    <row r="1185" spans="1:3" x14ac:dyDescent="0.25">
      <c r="A1185" s="5"/>
      <c r="B1185" s="5"/>
      <c r="C1185" s="5"/>
    </row>
    <row r="1186" spans="1:3" x14ac:dyDescent="0.25">
      <c r="A1186" s="5"/>
      <c r="B1186" s="5"/>
      <c r="C1186" s="5"/>
    </row>
    <row r="1187" spans="1:3" x14ac:dyDescent="0.25">
      <c r="A1187" s="5"/>
      <c r="B1187" s="5"/>
      <c r="C1187" s="5"/>
    </row>
    <row r="1188" spans="1:3" x14ac:dyDescent="0.25">
      <c r="A1188" s="5"/>
      <c r="B1188" s="5"/>
      <c r="C1188" s="5"/>
    </row>
    <row r="1189" spans="1:3" x14ac:dyDescent="0.25">
      <c r="A1189" s="5"/>
      <c r="B1189" s="5"/>
      <c r="C1189" s="5"/>
    </row>
    <row r="1190" spans="1:3" x14ac:dyDescent="0.25">
      <c r="A1190" s="5"/>
      <c r="B1190" s="5"/>
      <c r="C1190" s="5"/>
    </row>
    <row r="1191" spans="1:3" x14ac:dyDescent="0.25">
      <c r="A1191" s="5"/>
      <c r="B1191" s="5"/>
      <c r="C1191" s="5"/>
    </row>
    <row r="1192" spans="1:3" x14ac:dyDescent="0.25">
      <c r="A1192" s="5"/>
      <c r="B1192" s="5"/>
      <c r="C1192" s="5"/>
    </row>
    <row r="1193" spans="1:3" x14ac:dyDescent="0.25">
      <c r="A1193" s="5"/>
      <c r="B1193" s="5"/>
      <c r="C1193" s="5"/>
    </row>
    <row r="1194" spans="1:3" x14ac:dyDescent="0.25">
      <c r="A1194" s="5"/>
      <c r="B1194" s="5"/>
      <c r="C1194" s="5"/>
    </row>
    <row r="1195" spans="1:3" x14ac:dyDescent="0.25">
      <c r="A1195" s="5"/>
      <c r="B1195" s="5"/>
      <c r="C1195" s="5"/>
    </row>
    <row r="1196" spans="1:3" x14ac:dyDescent="0.25">
      <c r="A1196" s="5"/>
      <c r="B1196" s="5"/>
      <c r="C1196" s="5"/>
    </row>
    <row r="1197" spans="1:3" x14ac:dyDescent="0.25">
      <c r="A1197" s="5"/>
      <c r="B1197" s="5"/>
      <c r="C1197" s="5"/>
    </row>
    <row r="1198" spans="1:3" x14ac:dyDescent="0.25">
      <c r="A1198" s="5"/>
      <c r="B1198" s="5"/>
      <c r="C1198" s="5"/>
    </row>
    <row r="1199" spans="1:3" x14ac:dyDescent="0.25">
      <c r="A1199" s="5"/>
      <c r="B1199" s="5"/>
      <c r="C1199" s="5"/>
    </row>
    <row r="1200" spans="1:3" x14ac:dyDescent="0.25">
      <c r="A1200" s="5"/>
      <c r="B1200" s="5"/>
      <c r="C1200" s="5"/>
    </row>
    <row r="1201" spans="1:3" x14ac:dyDescent="0.25">
      <c r="A1201" s="5"/>
      <c r="B1201" s="5"/>
      <c r="C1201" s="5"/>
    </row>
    <row r="1202" spans="1:3" x14ac:dyDescent="0.25">
      <c r="A1202" s="5"/>
      <c r="B1202" s="5"/>
      <c r="C1202" s="5"/>
    </row>
    <row r="1203" spans="1:3" x14ac:dyDescent="0.25">
      <c r="A1203" s="5"/>
      <c r="B1203" s="5"/>
      <c r="C1203" s="5"/>
    </row>
    <row r="1204" spans="1:3" x14ac:dyDescent="0.25">
      <c r="A1204" s="5"/>
      <c r="B1204" s="5"/>
      <c r="C1204" s="5"/>
    </row>
    <row r="1205" spans="1:3" x14ac:dyDescent="0.25">
      <c r="A1205" s="5"/>
      <c r="B1205" s="5"/>
      <c r="C1205" s="5"/>
    </row>
    <row r="1206" spans="1:3" x14ac:dyDescent="0.25">
      <c r="A1206" s="5"/>
      <c r="B1206" s="5"/>
      <c r="C1206" s="5"/>
    </row>
    <row r="1207" spans="1:3" x14ac:dyDescent="0.25">
      <c r="A1207" s="5"/>
      <c r="B1207" s="5"/>
      <c r="C1207" s="5"/>
    </row>
    <row r="1208" spans="1:3" x14ac:dyDescent="0.25">
      <c r="A1208" s="5"/>
      <c r="B1208" s="5"/>
      <c r="C1208" s="5"/>
    </row>
    <row r="1209" spans="1:3" x14ac:dyDescent="0.25">
      <c r="A1209" s="5"/>
      <c r="B1209" s="5"/>
      <c r="C1209" s="5"/>
    </row>
    <row r="1210" spans="1:3" x14ac:dyDescent="0.25">
      <c r="A1210" s="5"/>
      <c r="B1210" s="5"/>
      <c r="C1210" s="5"/>
    </row>
    <row r="1211" spans="1:3" x14ac:dyDescent="0.25">
      <c r="A1211" s="5"/>
      <c r="B1211" s="5"/>
      <c r="C1211" s="5"/>
    </row>
    <row r="1212" spans="1:3" x14ac:dyDescent="0.25">
      <c r="A1212" s="5"/>
      <c r="B1212" s="5"/>
      <c r="C1212" s="5"/>
    </row>
    <row r="1213" spans="1:3" x14ac:dyDescent="0.25">
      <c r="A1213" s="5"/>
      <c r="B1213" s="5"/>
      <c r="C1213" s="5"/>
    </row>
    <row r="1214" spans="1:3" x14ac:dyDescent="0.25">
      <c r="A1214" s="5"/>
      <c r="B1214" s="5"/>
      <c r="C1214" s="5"/>
    </row>
    <row r="1215" spans="1:3" x14ac:dyDescent="0.25">
      <c r="A1215" s="5"/>
      <c r="B1215" s="5"/>
      <c r="C1215" s="5"/>
    </row>
    <row r="1216" spans="1:3" x14ac:dyDescent="0.25">
      <c r="A1216" s="5"/>
      <c r="B1216" s="5"/>
      <c r="C1216" s="5"/>
    </row>
    <row r="1217" spans="1:3" x14ac:dyDescent="0.25">
      <c r="A1217" s="5"/>
      <c r="B1217" s="5"/>
      <c r="C1217" s="5"/>
    </row>
    <row r="1218" spans="1:3" x14ac:dyDescent="0.25">
      <c r="A1218" s="5"/>
      <c r="B1218" s="5"/>
      <c r="C1218" s="5"/>
    </row>
    <row r="1219" spans="1:3" x14ac:dyDescent="0.25">
      <c r="A1219" s="5"/>
      <c r="B1219" s="5"/>
      <c r="C1219" s="5"/>
    </row>
    <row r="1220" spans="1:3" x14ac:dyDescent="0.25">
      <c r="A1220" s="5"/>
      <c r="B1220" s="5"/>
      <c r="C1220" s="5"/>
    </row>
    <row r="1221" spans="1:3" x14ac:dyDescent="0.25">
      <c r="A1221" s="5"/>
      <c r="B1221" s="5"/>
      <c r="C1221" s="5"/>
    </row>
    <row r="1222" spans="1:3" x14ac:dyDescent="0.25">
      <c r="A1222" s="5"/>
      <c r="B1222" s="5"/>
      <c r="C1222" s="5"/>
    </row>
    <row r="1223" spans="1:3" x14ac:dyDescent="0.25">
      <c r="A1223" s="5"/>
      <c r="B1223" s="5"/>
      <c r="C1223" s="5"/>
    </row>
    <row r="1224" spans="1:3" x14ac:dyDescent="0.25">
      <c r="A1224" s="5"/>
      <c r="B1224" s="5"/>
      <c r="C1224" s="5"/>
    </row>
    <row r="1225" spans="1:3" x14ac:dyDescent="0.25">
      <c r="A1225" s="5"/>
      <c r="B1225" s="5"/>
      <c r="C1225" s="5"/>
    </row>
    <row r="1226" spans="1:3" x14ac:dyDescent="0.25">
      <c r="A1226" s="5"/>
      <c r="B1226" s="5"/>
      <c r="C1226" s="5"/>
    </row>
    <row r="1227" spans="1:3" x14ac:dyDescent="0.25">
      <c r="A1227" s="5"/>
      <c r="B1227" s="5"/>
      <c r="C1227" s="5"/>
    </row>
    <row r="1228" spans="1:3" x14ac:dyDescent="0.25">
      <c r="A1228" s="5"/>
      <c r="B1228" s="5"/>
      <c r="C1228" s="5"/>
    </row>
    <row r="1229" spans="1:3" x14ac:dyDescent="0.25">
      <c r="A1229" s="5"/>
      <c r="B1229" s="5"/>
      <c r="C1229" s="5"/>
    </row>
    <row r="1230" spans="1:3" x14ac:dyDescent="0.25">
      <c r="A1230" s="5"/>
      <c r="B1230" s="5"/>
      <c r="C1230" s="5"/>
    </row>
    <row r="1231" spans="1:3" x14ac:dyDescent="0.25">
      <c r="A1231" s="5"/>
      <c r="B1231" s="5"/>
      <c r="C1231" s="5"/>
    </row>
    <row r="1232" spans="1:3" x14ac:dyDescent="0.25">
      <c r="A1232" s="5"/>
      <c r="B1232" s="5"/>
      <c r="C1232" s="5"/>
    </row>
    <row r="1233" spans="1:3" x14ac:dyDescent="0.25">
      <c r="A1233" s="5"/>
      <c r="B1233" s="5"/>
      <c r="C1233" s="5"/>
    </row>
    <row r="1234" spans="1:3" x14ac:dyDescent="0.25">
      <c r="A1234" s="5"/>
      <c r="B1234" s="5"/>
      <c r="C1234" s="5"/>
    </row>
    <row r="1235" spans="1:3" x14ac:dyDescent="0.25">
      <c r="A1235" s="5"/>
      <c r="B1235" s="5"/>
      <c r="C1235" s="5"/>
    </row>
    <row r="1236" spans="1:3" x14ac:dyDescent="0.25">
      <c r="A1236" s="5"/>
      <c r="B1236" s="5"/>
      <c r="C1236" s="5"/>
    </row>
    <row r="1237" spans="1:3" x14ac:dyDescent="0.25">
      <c r="A1237" s="5"/>
      <c r="B1237" s="5"/>
      <c r="C1237" s="5"/>
    </row>
    <row r="1238" spans="1:3" x14ac:dyDescent="0.25">
      <c r="A1238" s="5"/>
      <c r="B1238" s="5"/>
      <c r="C1238" s="5"/>
    </row>
    <row r="1239" spans="1:3" x14ac:dyDescent="0.25">
      <c r="A1239" s="5"/>
      <c r="B1239" s="5"/>
      <c r="C1239" s="5"/>
    </row>
    <row r="1240" spans="1:3" x14ac:dyDescent="0.25">
      <c r="A1240" s="5"/>
      <c r="B1240" s="5"/>
      <c r="C1240" s="5"/>
    </row>
    <row r="1241" spans="1:3" x14ac:dyDescent="0.25">
      <c r="A1241" s="5"/>
      <c r="B1241" s="5"/>
      <c r="C1241" s="5"/>
    </row>
    <row r="1242" spans="1:3" x14ac:dyDescent="0.25">
      <c r="A1242" s="5"/>
      <c r="B1242" s="5"/>
      <c r="C1242" s="5"/>
    </row>
    <row r="1243" spans="1:3" x14ac:dyDescent="0.25">
      <c r="A1243" s="5"/>
      <c r="B1243" s="5"/>
      <c r="C1243" s="5"/>
    </row>
    <row r="1244" spans="1:3" x14ac:dyDescent="0.25">
      <c r="A1244" s="5"/>
      <c r="B1244" s="5"/>
      <c r="C1244" s="5"/>
    </row>
    <row r="1245" spans="1:3" x14ac:dyDescent="0.25">
      <c r="A1245" s="5"/>
      <c r="B1245" s="5"/>
      <c r="C1245" s="5"/>
    </row>
    <row r="1246" spans="1:3" x14ac:dyDescent="0.25">
      <c r="A1246" s="5"/>
      <c r="B1246" s="5"/>
      <c r="C1246" s="5"/>
    </row>
    <row r="1247" spans="1:3" x14ac:dyDescent="0.25">
      <c r="A1247" s="5"/>
      <c r="B1247" s="5"/>
      <c r="C1247" s="5"/>
    </row>
    <row r="1248" spans="1:3" x14ac:dyDescent="0.25">
      <c r="A1248" s="5"/>
      <c r="B1248" s="5"/>
      <c r="C1248" s="5"/>
    </row>
    <row r="1249" spans="1:3" x14ac:dyDescent="0.25">
      <c r="A1249" s="5"/>
      <c r="B1249" s="5"/>
      <c r="C1249" s="5"/>
    </row>
    <row r="1250" spans="1:3" x14ac:dyDescent="0.25">
      <c r="A1250" s="5"/>
      <c r="B1250" s="5"/>
      <c r="C1250" s="5"/>
    </row>
    <row r="1251" spans="1:3" x14ac:dyDescent="0.25">
      <c r="A1251" s="5"/>
      <c r="B1251" s="5"/>
      <c r="C1251" s="5"/>
    </row>
    <row r="1252" spans="1:3" x14ac:dyDescent="0.25">
      <c r="A1252" s="5"/>
      <c r="B1252" s="5"/>
      <c r="C1252" s="5"/>
    </row>
    <row r="1253" spans="1:3" x14ac:dyDescent="0.25">
      <c r="A1253" s="5"/>
      <c r="B1253" s="5"/>
      <c r="C1253" s="5"/>
    </row>
    <row r="1254" spans="1:3" x14ac:dyDescent="0.25">
      <c r="A1254" s="5"/>
      <c r="B1254" s="5"/>
      <c r="C1254" s="5"/>
    </row>
    <row r="1255" spans="1:3" x14ac:dyDescent="0.25">
      <c r="A1255" s="5"/>
      <c r="B1255" s="5"/>
      <c r="C1255" s="5"/>
    </row>
    <row r="1256" spans="1:3" x14ac:dyDescent="0.25">
      <c r="A1256" s="5"/>
      <c r="B1256" s="5"/>
      <c r="C1256" s="5"/>
    </row>
    <row r="1257" spans="1:3" x14ac:dyDescent="0.25">
      <c r="A1257" s="5"/>
      <c r="B1257" s="5"/>
      <c r="C1257" s="5"/>
    </row>
    <row r="1258" spans="1:3" x14ac:dyDescent="0.25">
      <c r="A1258" s="5"/>
      <c r="B1258" s="5"/>
      <c r="C1258" s="5"/>
    </row>
    <row r="1259" spans="1:3" x14ac:dyDescent="0.25">
      <c r="A1259" s="5"/>
      <c r="B1259" s="5"/>
      <c r="C1259" s="5"/>
    </row>
    <row r="1260" spans="1:3" x14ac:dyDescent="0.25">
      <c r="A1260" s="5"/>
      <c r="B1260" s="5"/>
      <c r="C1260" s="5"/>
    </row>
    <row r="1261" spans="1:3" x14ac:dyDescent="0.25">
      <c r="A1261" s="5"/>
      <c r="B1261" s="5"/>
      <c r="C1261" s="5"/>
    </row>
    <row r="1262" spans="1:3" x14ac:dyDescent="0.25">
      <c r="A1262" s="5"/>
      <c r="B1262" s="5"/>
      <c r="C1262" s="5"/>
    </row>
    <row r="1263" spans="1:3" x14ac:dyDescent="0.25">
      <c r="A1263" s="5"/>
      <c r="B1263" s="5"/>
      <c r="C1263" s="5"/>
    </row>
    <row r="1264" spans="1:3" x14ac:dyDescent="0.25">
      <c r="A1264" s="5"/>
      <c r="B1264" s="5"/>
      <c r="C1264" s="5"/>
    </row>
    <row r="1265" spans="1:3" x14ac:dyDescent="0.25">
      <c r="A1265" s="5"/>
      <c r="B1265" s="5"/>
      <c r="C1265" s="5"/>
    </row>
    <row r="1266" spans="1:3" x14ac:dyDescent="0.25">
      <c r="A1266" s="5"/>
      <c r="B1266" s="5"/>
      <c r="C1266" s="5"/>
    </row>
    <row r="1267" spans="1:3" x14ac:dyDescent="0.25">
      <c r="A1267" s="5"/>
      <c r="B1267" s="5"/>
      <c r="C1267" s="5"/>
    </row>
    <row r="1268" spans="1:3" x14ac:dyDescent="0.25">
      <c r="A1268" s="5"/>
      <c r="B1268" s="5"/>
      <c r="C1268" s="5"/>
    </row>
    <row r="1269" spans="1:3" x14ac:dyDescent="0.25">
      <c r="A1269" s="5"/>
      <c r="B1269" s="5"/>
      <c r="C1269" s="5"/>
    </row>
    <row r="1270" spans="1:3" x14ac:dyDescent="0.25">
      <c r="A1270" s="5"/>
      <c r="B1270" s="5"/>
      <c r="C1270" s="5"/>
    </row>
    <row r="1271" spans="1:3" x14ac:dyDescent="0.25">
      <c r="A1271" s="5"/>
      <c r="B1271" s="5"/>
      <c r="C1271" s="5"/>
    </row>
    <row r="1272" spans="1:3" x14ac:dyDescent="0.25">
      <c r="A1272" s="5"/>
      <c r="B1272" s="5"/>
      <c r="C1272" s="5"/>
    </row>
    <row r="1273" spans="1:3" x14ac:dyDescent="0.25">
      <c r="A1273" s="5"/>
      <c r="B1273" s="5"/>
      <c r="C1273" s="5"/>
    </row>
    <row r="1274" spans="1:3" x14ac:dyDescent="0.25">
      <c r="A1274" s="5"/>
      <c r="B1274" s="5"/>
      <c r="C1274" s="5"/>
    </row>
    <row r="1275" spans="1:3" x14ac:dyDescent="0.25">
      <c r="A1275" s="5"/>
      <c r="B1275" s="5"/>
      <c r="C1275" s="5"/>
    </row>
    <row r="1276" spans="1:3" x14ac:dyDescent="0.25">
      <c r="A1276" s="5"/>
      <c r="B1276" s="5"/>
      <c r="C1276" s="5"/>
    </row>
    <row r="1277" spans="1:3" x14ac:dyDescent="0.25">
      <c r="A1277" s="5"/>
      <c r="B1277" s="5"/>
      <c r="C1277" s="5"/>
    </row>
    <row r="1278" spans="1:3" x14ac:dyDescent="0.25">
      <c r="A1278" s="5"/>
      <c r="B1278" s="5"/>
      <c r="C1278" s="5"/>
    </row>
    <row r="1279" spans="1:3" x14ac:dyDescent="0.25">
      <c r="A1279" s="5"/>
      <c r="B1279" s="5"/>
      <c r="C1279" s="5"/>
    </row>
    <row r="1280" spans="1:3" x14ac:dyDescent="0.25">
      <c r="A1280" s="5"/>
      <c r="B1280" s="5"/>
      <c r="C1280" s="5"/>
    </row>
    <row r="1281" spans="1:3" x14ac:dyDescent="0.25">
      <c r="A1281" s="5"/>
      <c r="B1281" s="5"/>
      <c r="C1281" s="5"/>
    </row>
    <row r="1282" spans="1:3" x14ac:dyDescent="0.25">
      <c r="A1282" s="5"/>
      <c r="B1282" s="5"/>
      <c r="C1282" s="5"/>
    </row>
    <row r="1283" spans="1:3" x14ac:dyDescent="0.25">
      <c r="A1283" s="5"/>
      <c r="B1283" s="5"/>
      <c r="C1283" s="5"/>
    </row>
    <row r="1284" spans="1:3" x14ac:dyDescent="0.25">
      <c r="A1284" s="5"/>
      <c r="B1284" s="5"/>
      <c r="C1284" s="5"/>
    </row>
    <row r="1285" spans="1:3" x14ac:dyDescent="0.25">
      <c r="A1285" s="5"/>
      <c r="B1285" s="5"/>
      <c r="C1285" s="5"/>
    </row>
    <row r="1286" spans="1:3" x14ac:dyDescent="0.25">
      <c r="A1286" s="5"/>
      <c r="B1286" s="5"/>
      <c r="C1286" s="5"/>
    </row>
    <row r="1287" spans="1:3" x14ac:dyDescent="0.25">
      <c r="A1287" s="5"/>
      <c r="B1287" s="5"/>
      <c r="C1287" s="5"/>
    </row>
    <row r="1288" spans="1:3" x14ac:dyDescent="0.25">
      <c r="A1288" s="5"/>
      <c r="B1288" s="5"/>
      <c r="C1288" s="5"/>
    </row>
    <row r="1289" spans="1:3" x14ac:dyDescent="0.25">
      <c r="A1289" s="5"/>
      <c r="B1289" s="5"/>
      <c r="C1289" s="5"/>
    </row>
    <row r="1290" spans="1:3" x14ac:dyDescent="0.25">
      <c r="A1290" s="5"/>
      <c r="B1290" s="5"/>
      <c r="C1290" s="5"/>
    </row>
    <row r="1291" spans="1:3" x14ac:dyDescent="0.25">
      <c r="A1291" s="5"/>
      <c r="B1291" s="5"/>
      <c r="C1291" s="5"/>
    </row>
    <row r="1292" spans="1:3" x14ac:dyDescent="0.25">
      <c r="A1292" s="5"/>
      <c r="B1292" s="5"/>
      <c r="C1292" s="5"/>
    </row>
    <row r="1293" spans="1:3" x14ac:dyDescent="0.25">
      <c r="A1293" s="5"/>
      <c r="B1293" s="5"/>
      <c r="C1293" s="5"/>
    </row>
    <row r="1294" spans="1:3" x14ac:dyDescent="0.25">
      <c r="A1294" s="5"/>
      <c r="B1294" s="5"/>
      <c r="C1294" s="5"/>
    </row>
    <row r="1295" spans="1:3" x14ac:dyDescent="0.25">
      <c r="A1295" s="5"/>
      <c r="B1295" s="5"/>
      <c r="C1295" s="5"/>
    </row>
    <row r="1296" spans="1:3" x14ac:dyDescent="0.25">
      <c r="A1296" s="5"/>
      <c r="B1296" s="5"/>
      <c r="C1296" s="5"/>
    </row>
    <row r="1297" spans="1:3" x14ac:dyDescent="0.25">
      <c r="A1297" s="5"/>
      <c r="B1297" s="5"/>
      <c r="C1297" s="5"/>
    </row>
    <row r="1298" spans="1:3" x14ac:dyDescent="0.25">
      <c r="A1298" s="5"/>
      <c r="B1298" s="5"/>
      <c r="C1298" s="5"/>
    </row>
    <row r="1299" spans="1:3" x14ac:dyDescent="0.25">
      <c r="A1299" s="5"/>
      <c r="B1299" s="5"/>
      <c r="C1299" s="5"/>
    </row>
    <row r="1300" spans="1:3" x14ac:dyDescent="0.25">
      <c r="A1300" s="5"/>
      <c r="B1300" s="5"/>
      <c r="C1300" s="5"/>
    </row>
    <row r="1301" spans="1:3" x14ac:dyDescent="0.25">
      <c r="A1301" s="5"/>
      <c r="B1301" s="5"/>
      <c r="C1301" s="5"/>
    </row>
    <row r="1302" spans="1:3" x14ac:dyDescent="0.25">
      <c r="A1302" s="5"/>
      <c r="B1302" s="5"/>
      <c r="C1302" s="5"/>
    </row>
    <row r="1303" spans="1:3" x14ac:dyDescent="0.25">
      <c r="A1303" s="5"/>
      <c r="B1303" s="5"/>
      <c r="C1303" s="5"/>
    </row>
    <row r="1304" spans="1:3" x14ac:dyDescent="0.25">
      <c r="A1304" s="5"/>
      <c r="B1304" s="5"/>
      <c r="C1304" s="5"/>
    </row>
    <row r="1305" spans="1:3" x14ac:dyDescent="0.25">
      <c r="A1305" s="5"/>
      <c r="B1305" s="5"/>
      <c r="C1305" s="5"/>
    </row>
    <row r="1306" spans="1:3" x14ac:dyDescent="0.25">
      <c r="A1306" s="5"/>
      <c r="B1306" s="5"/>
      <c r="C1306" s="5"/>
    </row>
    <row r="1307" spans="1:3" x14ac:dyDescent="0.25">
      <c r="A1307" s="5"/>
      <c r="B1307" s="5"/>
      <c r="C1307" s="5"/>
    </row>
    <row r="1308" spans="1:3" x14ac:dyDescent="0.25">
      <c r="A1308" s="5"/>
      <c r="B1308" s="5"/>
      <c r="C1308" s="5"/>
    </row>
    <row r="1309" spans="1:3" x14ac:dyDescent="0.25">
      <c r="A1309" s="5"/>
      <c r="B1309" s="5"/>
      <c r="C1309" s="5"/>
    </row>
    <row r="1310" spans="1:3" x14ac:dyDescent="0.25">
      <c r="A1310" s="5"/>
      <c r="B1310" s="5"/>
      <c r="C1310" s="5"/>
    </row>
    <row r="1311" spans="1:3" x14ac:dyDescent="0.25">
      <c r="A1311" s="5"/>
      <c r="B1311" s="5"/>
      <c r="C1311" s="5"/>
    </row>
    <row r="1312" spans="1:3" x14ac:dyDescent="0.25">
      <c r="A1312" s="5"/>
      <c r="B1312" s="5"/>
      <c r="C1312" s="5"/>
    </row>
    <row r="1313" spans="1:3" x14ac:dyDescent="0.25">
      <c r="A1313" s="5"/>
      <c r="B1313" s="5"/>
      <c r="C1313" s="5"/>
    </row>
    <row r="1314" spans="1:3" x14ac:dyDescent="0.25">
      <c r="A1314" s="5"/>
      <c r="B1314" s="5"/>
      <c r="C1314" s="5"/>
    </row>
    <row r="1315" spans="1:3" x14ac:dyDescent="0.25">
      <c r="A1315" s="5"/>
      <c r="B1315" s="5"/>
      <c r="C1315" s="5"/>
    </row>
    <row r="1316" spans="1:3" x14ac:dyDescent="0.25">
      <c r="A1316" s="5"/>
      <c r="B1316" s="5"/>
      <c r="C1316" s="5"/>
    </row>
    <row r="1317" spans="1:3" x14ac:dyDescent="0.25">
      <c r="A1317" s="5"/>
      <c r="B1317" s="5"/>
      <c r="C1317" s="5"/>
    </row>
    <row r="1318" spans="1:3" x14ac:dyDescent="0.25">
      <c r="A1318" s="5"/>
      <c r="B1318" s="5"/>
      <c r="C1318" s="5"/>
    </row>
    <row r="1319" spans="1:3" x14ac:dyDescent="0.25">
      <c r="A1319" s="5"/>
      <c r="B1319" s="5"/>
      <c r="C1319" s="5"/>
    </row>
    <row r="1320" spans="1:3" x14ac:dyDescent="0.25">
      <c r="A1320" s="5"/>
      <c r="B1320" s="5"/>
      <c r="C1320" s="5"/>
    </row>
    <row r="1321" spans="1:3" x14ac:dyDescent="0.25">
      <c r="A1321" s="5"/>
      <c r="B1321" s="5"/>
      <c r="C1321" s="5"/>
    </row>
    <row r="1322" spans="1:3" x14ac:dyDescent="0.25">
      <c r="A1322" s="5"/>
      <c r="B1322" s="5"/>
      <c r="C1322" s="5"/>
    </row>
    <row r="1323" spans="1:3" x14ac:dyDescent="0.25">
      <c r="A1323" s="5"/>
      <c r="B1323" s="5"/>
      <c r="C1323" s="5"/>
    </row>
    <row r="1324" spans="1:3" x14ac:dyDescent="0.25">
      <c r="A1324" s="5"/>
      <c r="B1324" s="5"/>
      <c r="C1324" s="5"/>
    </row>
    <row r="1325" spans="1:3" x14ac:dyDescent="0.25">
      <c r="A1325" s="5"/>
      <c r="B1325" s="5"/>
      <c r="C1325" s="5"/>
    </row>
    <row r="1326" spans="1:3" x14ac:dyDescent="0.25">
      <c r="A1326" s="5"/>
      <c r="B1326" s="5"/>
      <c r="C1326" s="5"/>
    </row>
    <row r="1327" spans="1:3" x14ac:dyDescent="0.25">
      <c r="A1327" s="5"/>
      <c r="B1327" s="5"/>
      <c r="C1327" s="5"/>
    </row>
    <row r="1328" spans="1:3" x14ac:dyDescent="0.25">
      <c r="A1328" s="5"/>
      <c r="B1328" s="5"/>
      <c r="C1328" s="5"/>
    </row>
    <row r="1329" spans="1:3" x14ac:dyDescent="0.25">
      <c r="A1329" s="5"/>
      <c r="B1329" s="5"/>
      <c r="C1329" s="5"/>
    </row>
    <row r="1330" spans="1:3" x14ac:dyDescent="0.25">
      <c r="A1330" s="5"/>
      <c r="B1330" s="5"/>
      <c r="C1330" s="5"/>
    </row>
    <row r="1331" spans="1:3" x14ac:dyDescent="0.25">
      <c r="A1331" s="5"/>
      <c r="B1331" s="5"/>
      <c r="C1331" s="5"/>
    </row>
    <row r="1332" spans="1:3" x14ac:dyDescent="0.25">
      <c r="A1332" s="5"/>
      <c r="B1332" s="5"/>
      <c r="C1332" s="5"/>
    </row>
    <row r="1333" spans="1:3" x14ac:dyDescent="0.25">
      <c r="A1333" s="5"/>
      <c r="B1333" s="5"/>
      <c r="C1333" s="5"/>
    </row>
    <row r="1334" spans="1:3" x14ac:dyDescent="0.25">
      <c r="A1334" s="5"/>
      <c r="B1334" s="5"/>
      <c r="C1334" s="5"/>
    </row>
    <row r="1335" spans="1:3" x14ac:dyDescent="0.25">
      <c r="A1335" s="5"/>
      <c r="B1335" s="5"/>
      <c r="C1335" s="5"/>
    </row>
    <row r="1336" spans="1:3" x14ac:dyDescent="0.25">
      <c r="A1336" s="5"/>
      <c r="B1336" s="5"/>
      <c r="C1336" s="5"/>
    </row>
    <row r="1337" spans="1:3" x14ac:dyDescent="0.25">
      <c r="A1337" s="5"/>
      <c r="B1337" s="5"/>
      <c r="C1337" s="5"/>
    </row>
    <row r="1338" spans="1:3" x14ac:dyDescent="0.25">
      <c r="A1338" s="5"/>
      <c r="B1338" s="5"/>
      <c r="C1338" s="5"/>
    </row>
    <row r="1339" spans="1:3" x14ac:dyDescent="0.25">
      <c r="A1339" s="5"/>
      <c r="B1339" s="5"/>
      <c r="C1339" s="5"/>
    </row>
    <row r="1340" spans="1:3" x14ac:dyDescent="0.25">
      <c r="A1340" s="5"/>
      <c r="B1340" s="5"/>
      <c r="C1340" s="5"/>
    </row>
    <row r="1341" spans="1:3" x14ac:dyDescent="0.25">
      <c r="A1341" s="5"/>
      <c r="B1341" s="5"/>
      <c r="C1341" s="5"/>
    </row>
    <row r="1342" spans="1:3" x14ac:dyDescent="0.25">
      <c r="A1342" s="5"/>
      <c r="B1342" s="5"/>
      <c r="C1342" s="5"/>
    </row>
    <row r="1343" spans="1:3" x14ac:dyDescent="0.25">
      <c r="A1343" s="5"/>
      <c r="B1343" s="5"/>
      <c r="C1343" s="5"/>
    </row>
    <row r="1344" spans="1:3" x14ac:dyDescent="0.25">
      <c r="A1344" s="5"/>
      <c r="B1344" s="5"/>
      <c r="C1344" s="5"/>
    </row>
    <row r="1345" spans="1:3" x14ac:dyDescent="0.25">
      <c r="A1345" s="5"/>
      <c r="B1345" s="5"/>
      <c r="C1345" s="5"/>
    </row>
    <row r="1346" spans="1:3" x14ac:dyDescent="0.25">
      <c r="A1346" s="5"/>
      <c r="B1346" s="5"/>
      <c r="C1346" s="5"/>
    </row>
    <row r="1347" spans="1:3" x14ac:dyDescent="0.25">
      <c r="A1347" s="5"/>
      <c r="B1347" s="5"/>
      <c r="C1347" s="5"/>
    </row>
    <row r="1348" spans="1:3" x14ac:dyDescent="0.25">
      <c r="A1348" s="5"/>
      <c r="B1348" s="5"/>
      <c r="C1348" s="5"/>
    </row>
    <row r="1349" spans="1:3" x14ac:dyDescent="0.25">
      <c r="A1349" s="5"/>
      <c r="B1349" s="5"/>
      <c r="C1349" s="5"/>
    </row>
    <row r="1350" spans="1:3" x14ac:dyDescent="0.25">
      <c r="A1350" s="5"/>
      <c r="B1350" s="5"/>
      <c r="C1350" s="5"/>
    </row>
    <row r="1351" spans="1:3" x14ac:dyDescent="0.25">
      <c r="A1351" s="5"/>
      <c r="B1351" s="5"/>
      <c r="C1351" s="5"/>
    </row>
    <row r="1352" spans="1:3" x14ac:dyDescent="0.25">
      <c r="A1352" s="5"/>
      <c r="B1352" s="5"/>
      <c r="C1352" s="5"/>
    </row>
    <row r="1353" spans="1:3" x14ac:dyDescent="0.25">
      <c r="A1353" s="5"/>
      <c r="B1353" s="5"/>
      <c r="C1353" s="5"/>
    </row>
    <row r="1354" spans="1:3" x14ac:dyDescent="0.25">
      <c r="A1354" s="5"/>
      <c r="B1354" s="5"/>
      <c r="C1354" s="5"/>
    </row>
    <row r="1355" spans="1:3" x14ac:dyDescent="0.25">
      <c r="A1355" s="5"/>
      <c r="B1355" s="5"/>
      <c r="C1355" s="5"/>
    </row>
    <row r="1356" spans="1:3" x14ac:dyDescent="0.25">
      <c r="A1356" s="5"/>
      <c r="B1356" s="5"/>
      <c r="C1356" s="5"/>
    </row>
    <row r="1357" spans="1:3" x14ac:dyDescent="0.25">
      <c r="A1357" s="5"/>
      <c r="B1357" s="5"/>
      <c r="C1357" s="5"/>
    </row>
    <row r="1358" spans="1:3" x14ac:dyDescent="0.25">
      <c r="A1358" s="5"/>
      <c r="B1358" s="5"/>
      <c r="C1358" s="5"/>
    </row>
    <row r="1359" spans="1:3" x14ac:dyDescent="0.25">
      <c r="A1359" s="5"/>
      <c r="B1359" s="5"/>
      <c r="C1359" s="5"/>
    </row>
    <row r="1360" spans="1:3" x14ac:dyDescent="0.25">
      <c r="A1360" s="5"/>
      <c r="B1360" s="5"/>
      <c r="C1360" s="5"/>
    </row>
    <row r="1361" spans="1:3" x14ac:dyDescent="0.25">
      <c r="A1361" s="5"/>
      <c r="B1361" s="5"/>
      <c r="C1361" s="5"/>
    </row>
    <row r="1362" spans="1:3" x14ac:dyDescent="0.25">
      <c r="A1362" s="5"/>
      <c r="B1362" s="5"/>
      <c r="C1362" s="5"/>
    </row>
    <row r="1363" spans="1:3" x14ac:dyDescent="0.25">
      <c r="A1363" s="5"/>
      <c r="B1363" s="5"/>
      <c r="C1363" s="5"/>
    </row>
    <row r="1364" spans="1:3" x14ac:dyDescent="0.25">
      <c r="A1364" s="5"/>
      <c r="B1364" s="5"/>
      <c r="C1364" s="5"/>
    </row>
    <row r="1365" spans="1:3" x14ac:dyDescent="0.25">
      <c r="A1365" s="5"/>
      <c r="B1365" s="5"/>
      <c r="C1365" s="5"/>
    </row>
    <row r="1366" spans="1:3" x14ac:dyDescent="0.25">
      <c r="A1366" s="5"/>
      <c r="B1366" s="5"/>
      <c r="C1366" s="5"/>
    </row>
    <row r="1367" spans="1:3" x14ac:dyDescent="0.25">
      <c r="A1367" s="5"/>
      <c r="B1367" s="5"/>
      <c r="C1367" s="5"/>
    </row>
    <row r="1368" spans="1:3" x14ac:dyDescent="0.25">
      <c r="A1368" s="5"/>
      <c r="B1368" s="5"/>
      <c r="C1368" s="5"/>
    </row>
    <row r="1369" spans="1:3" x14ac:dyDescent="0.25">
      <c r="A1369" s="5"/>
      <c r="B1369" s="5"/>
      <c r="C1369" s="5"/>
    </row>
    <row r="1370" spans="1:3" x14ac:dyDescent="0.25">
      <c r="A1370" s="5"/>
      <c r="B1370" s="5"/>
      <c r="C1370" s="5"/>
    </row>
    <row r="1371" spans="1:3" x14ac:dyDescent="0.25">
      <c r="A1371" s="5"/>
      <c r="B1371" s="5"/>
      <c r="C1371" s="5"/>
    </row>
    <row r="1372" spans="1:3" x14ac:dyDescent="0.25">
      <c r="A1372" s="5"/>
      <c r="B1372" s="5"/>
      <c r="C1372" s="5"/>
    </row>
    <row r="1373" spans="1:3" x14ac:dyDescent="0.25">
      <c r="A1373" s="5"/>
      <c r="B1373" s="5"/>
      <c r="C1373" s="5"/>
    </row>
    <row r="1374" spans="1:3" x14ac:dyDescent="0.25">
      <c r="A1374" s="5"/>
      <c r="B1374" s="5"/>
      <c r="C1374" s="5"/>
    </row>
    <row r="1375" spans="1:3" x14ac:dyDescent="0.25">
      <c r="A1375" s="5"/>
      <c r="B1375" s="5"/>
      <c r="C1375" s="5"/>
    </row>
    <row r="1376" spans="1:3" x14ac:dyDescent="0.25">
      <c r="A1376" s="5"/>
      <c r="B1376" s="5"/>
      <c r="C1376" s="5"/>
    </row>
    <row r="1377" spans="1:3" x14ac:dyDescent="0.25">
      <c r="A1377" s="5"/>
      <c r="B1377" s="5"/>
      <c r="C1377" s="5"/>
    </row>
    <row r="1378" spans="1:3" x14ac:dyDescent="0.25">
      <c r="A1378" s="5"/>
      <c r="B1378" s="5"/>
      <c r="C1378" s="5"/>
    </row>
    <row r="1379" spans="1:3" x14ac:dyDescent="0.25">
      <c r="A1379" s="5"/>
      <c r="B1379" s="5"/>
      <c r="C1379" s="5"/>
    </row>
    <row r="1380" spans="1:3" x14ac:dyDescent="0.25">
      <c r="A1380" s="5"/>
      <c r="B1380" s="5"/>
      <c r="C1380" s="5"/>
    </row>
    <row r="1381" spans="1:3" x14ac:dyDescent="0.25">
      <c r="A1381" s="5"/>
      <c r="B1381" s="5"/>
      <c r="C1381" s="5"/>
    </row>
    <row r="1382" spans="1:3" x14ac:dyDescent="0.25">
      <c r="A1382" s="5"/>
      <c r="B1382" s="5"/>
      <c r="C1382" s="5"/>
    </row>
    <row r="1383" spans="1:3" x14ac:dyDescent="0.25">
      <c r="A1383" s="5"/>
      <c r="B1383" s="5"/>
      <c r="C1383" s="5"/>
    </row>
    <row r="1384" spans="1:3" x14ac:dyDescent="0.25">
      <c r="A1384" s="5"/>
      <c r="B1384" s="5"/>
      <c r="C1384" s="5"/>
    </row>
    <row r="1385" spans="1:3" x14ac:dyDescent="0.25">
      <c r="A1385" s="5"/>
      <c r="B1385" s="5"/>
      <c r="C1385" s="5"/>
    </row>
    <row r="1386" spans="1:3" x14ac:dyDescent="0.25">
      <c r="A1386" s="5"/>
      <c r="B1386" s="5"/>
      <c r="C1386" s="5"/>
    </row>
    <row r="1387" spans="1:3" x14ac:dyDescent="0.25">
      <c r="A1387" s="5"/>
      <c r="B1387" s="5"/>
      <c r="C1387" s="5"/>
    </row>
    <row r="1388" spans="1:3" x14ac:dyDescent="0.25">
      <c r="A1388" s="5"/>
      <c r="B1388" s="5"/>
      <c r="C1388" s="5"/>
    </row>
    <row r="1389" spans="1:3" x14ac:dyDescent="0.25">
      <c r="A1389" s="5"/>
      <c r="B1389" s="5"/>
      <c r="C1389" s="5"/>
    </row>
    <row r="1390" spans="1:3" x14ac:dyDescent="0.25">
      <c r="A1390" s="5"/>
      <c r="B1390" s="5"/>
      <c r="C1390" s="5"/>
    </row>
    <row r="1391" spans="1:3" x14ac:dyDescent="0.25">
      <c r="A1391" s="5"/>
      <c r="B1391" s="5"/>
      <c r="C1391" s="5"/>
    </row>
    <row r="1392" spans="1:3" x14ac:dyDescent="0.25">
      <c r="A1392" s="5"/>
      <c r="B1392" s="5"/>
      <c r="C1392" s="5"/>
    </row>
    <row r="1393" spans="1:3" x14ac:dyDescent="0.25">
      <c r="A1393" s="5"/>
      <c r="B1393" s="5"/>
      <c r="C1393" s="5"/>
    </row>
    <row r="1394" spans="1:3" x14ac:dyDescent="0.25">
      <c r="A1394" s="5"/>
      <c r="B1394" s="5"/>
      <c r="C1394" s="5"/>
    </row>
    <row r="1395" spans="1:3" x14ac:dyDescent="0.25">
      <c r="A1395" s="5"/>
      <c r="B1395" s="5"/>
      <c r="C1395" s="5"/>
    </row>
    <row r="1396" spans="1:3" x14ac:dyDescent="0.25">
      <c r="A1396" s="5"/>
      <c r="B1396" s="5"/>
      <c r="C1396" s="5"/>
    </row>
    <row r="1397" spans="1:3" x14ac:dyDescent="0.25">
      <c r="A1397" s="5"/>
      <c r="B1397" s="5"/>
      <c r="C1397" s="5"/>
    </row>
    <row r="1398" spans="1:3" x14ac:dyDescent="0.25">
      <c r="A1398" s="5"/>
      <c r="B1398" s="5"/>
      <c r="C1398" s="5"/>
    </row>
    <row r="1399" spans="1:3" x14ac:dyDescent="0.25">
      <c r="A1399" s="5"/>
      <c r="B1399" s="5"/>
      <c r="C1399" s="5"/>
    </row>
    <row r="1400" spans="1:3" x14ac:dyDescent="0.25">
      <c r="A1400" s="5"/>
      <c r="B1400" s="5"/>
      <c r="C1400" s="5"/>
    </row>
    <row r="1401" spans="1:3" x14ac:dyDescent="0.25">
      <c r="A1401" s="5"/>
      <c r="B1401" s="5"/>
      <c r="C1401" s="5"/>
    </row>
    <row r="1402" spans="1:3" x14ac:dyDescent="0.25">
      <c r="A1402" s="5"/>
      <c r="B1402" s="5"/>
      <c r="C1402" s="5"/>
    </row>
    <row r="1403" spans="1:3" x14ac:dyDescent="0.25">
      <c r="A1403" s="5"/>
      <c r="B1403" s="5"/>
      <c r="C1403" s="5"/>
    </row>
    <row r="1404" spans="1:3" x14ac:dyDescent="0.25">
      <c r="A1404" s="5"/>
      <c r="B1404" s="5"/>
      <c r="C1404" s="5"/>
    </row>
    <row r="1405" spans="1:3" x14ac:dyDescent="0.25">
      <c r="A1405" s="5"/>
      <c r="B1405" s="5"/>
      <c r="C1405" s="5"/>
    </row>
    <row r="1406" spans="1:3" x14ac:dyDescent="0.25">
      <c r="A1406" s="5"/>
      <c r="B1406" s="5"/>
      <c r="C1406" s="5"/>
    </row>
    <row r="1407" spans="1:3" x14ac:dyDescent="0.25">
      <c r="A1407" s="5"/>
      <c r="B1407" s="5"/>
      <c r="C1407" s="5"/>
    </row>
    <row r="1408" spans="1:3" x14ac:dyDescent="0.25">
      <c r="A1408" s="5"/>
      <c r="B1408" s="5"/>
      <c r="C1408" s="5"/>
    </row>
    <row r="1409" spans="1:3" x14ac:dyDescent="0.25">
      <c r="A1409" s="5"/>
      <c r="B1409" s="5"/>
      <c r="C1409" s="5"/>
    </row>
    <row r="1410" spans="1:3" x14ac:dyDescent="0.25">
      <c r="A1410" s="5"/>
      <c r="B1410" s="5"/>
      <c r="C1410" s="5"/>
    </row>
    <row r="1411" spans="1:3" x14ac:dyDescent="0.25">
      <c r="A1411" s="5"/>
      <c r="B1411" s="5"/>
      <c r="C1411" s="5"/>
    </row>
    <row r="1412" spans="1:3" x14ac:dyDescent="0.25">
      <c r="A1412" s="5"/>
      <c r="B1412" s="5"/>
      <c r="C1412" s="5"/>
    </row>
    <row r="1413" spans="1:3" x14ac:dyDescent="0.25">
      <c r="A1413" s="5"/>
      <c r="B1413" s="5"/>
      <c r="C1413" s="5"/>
    </row>
    <row r="1414" spans="1:3" x14ac:dyDescent="0.25">
      <c r="A1414" s="5"/>
      <c r="B1414" s="5"/>
      <c r="C1414" s="5"/>
    </row>
    <row r="1415" spans="1:3" x14ac:dyDescent="0.25">
      <c r="A1415" s="5"/>
      <c r="B1415" s="5"/>
      <c r="C1415" s="5"/>
    </row>
    <row r="1416" spans="1:3" x14ac:dyDescent="0.25">
      <c r="A1416" s="5"/>
      <c r="B1416" s="5"/>
      <c r="C1416" s="5"/>
    </row>
    <row r="1417" spans="1:3" x14ac:dyDescent="0.25">
      <c r="A1417" s="5"/>
      <c r="B1417" s="5"/>
      <c r="C1417" s="5"/>
    </row>
    <row r="1418" spans="1:3" x14ac:dyDescent="0.25">
      <c r="A1418" s="5"/>
      <c r="B1418" s="5"/>
      <c r="C1418" s="5"/>
    </row>
    <row r="1419" spans="1:3" x14ac:dyDescent="0.25">
      <c r="A1419" s="5"/>
      <c r="B1419" s="5"/>
      <c r="C1419" s="5"/>
    </row>
    <row r="1420" spans="1:3" x14ac:dyDescent="0.25">
      <c r="A1420" s="5"/>
      <c r="B1420" s="5"/>
      <c r="C1420" s="5"/>
    </row>
    <row r="1421" spans="1:3" x14ac:dyDescent="0.25">
      <c r="A1421" s="5"/>
      <c r="B1421" s="5"/>
      <c r="C1421" s="5"/>
    </row>
    <row r="1422" spans="1:3" x14ac:dyDescent="0.25">
      <c r="A1422" s="5"/>
      <c r="B1422" s="5"/>
      <c r="C1422" s="5"/>
    </row>
    <row r="1423" spans="1:3" x14ac:dyDescent="0.25">
      <c r="A1423" s="5"/>
      <c r="B1423" s="5"/>
      <c r="C1423" s="5"/>
    </row>
    <row r="1424" spans="1:3" x14ac:dyDescent="0.25">
      <c r="A1424" s="5"/>
      <c r="B1424" s="5"/>
      <c r="C1424" s="5"/>
    </row>
    <row r="1425" spans="1:3" x14ac:dyDescent="0.25">
      <c r="A1425" s="5"/>
      <c r="B1425" s="5"/>
      <c r="C1425" s="5"/>
    </row>
    <row r="1426" spans="1:3" x14ac:dyDescent="0.25">
      <c r="A1426" s="5"/>
      <c r="B1426" s="5"/>
      <c r="C1426" s="5"/>
    </row>
    <row r="1427" spans="1:3" x14ac:dyDescent="0.25">
      <c r="A1427" s="5"/>
      <c r="B1427" s="5"/>
      <c r="C1427" s="5"/>
    </row>
    <row r="1428" spans="1:3" x14ac:dyDescent="0.25">
      <c r="A1428" s="5"/>
      <c r="B1428" s="5"/>
      <c r="C1428" s="5"/>
    </row>
    <row r="1429" spans="1:3" x14ac:dyDescent="0.25">
      <c r="A1429" s="5"/>
      <c r="B1429" s="5"/>
      <c r="C1429" s="5"/>
    </row>
    <row r="1430" spans="1:3" x14ac:dyDescent="0.25">
      <c r="A1430" s="5"/>
      <c r="B1430" s="5"/>
      <c r="C1430" s="5"/>
    </row>
    <row r="1431" spans="1:3" x14ac:dyDescent="0.25">
      <c r="A1431" s="5"/>
      <c r="B1431" s="5"/>
      <c r="C1431" s="5"/>
    </row>
    <row r="1432" spans="1:3" x14ac:dyDescent="0.25">
      <c r="A1432" s="5"/>
      <c r="B1432" s="5"/>
      <c r="C1432" s="5"/>
    </row>
    <row r="1433" spans="1:3" x14ac:dyDescent="0.25">
      <c r="A1433" s="5"/>
      <c r="B1433" s="5"/>
      <c r="C1433" s="5"/>
    </row>
    <row r="1434" spans="1:3" x14ac:dyDescent="0.25">
      <c r="A1434" s="5"/>
      <c r="B1434" s="5"/>
      <c r="C1434" s="5"/>
    </row>
    <row r="1435" spans="1:3" x14ac:dyDescent="0.25">
      <c r="A1435" s="5"/>
      <c r="B1435" s="5"/>
      <c r="C1435" s="5"/>
    </row>
    <row r="1436" spans="1:3" x14ac:dyDescent="0.25">
      <c r="A1436" s="5"/>
      <c r="B1436" s="5"/>
      <c r="C1436" s="5"/>
    </row>
    <row r="1437" spans="1:3" x14ac:dyDescent="0.25">
      <c r="A1437" s="5"/>
      <c r="B1437" s="5"/>
      <c r="C1437" s="5"/>
    </row>
    <row r="1438" spans="1:3" x14ac:dyDescent="0.25">
      <c r="A1438" s="5"/>
      <c r="B1438" s="5"/>
      <c r="C1438" s="5"/>
    </row>
    <row r="1439" spans="1:3" x14ac:dyDescent="0.25">
      <c r="A1439" s="5"/>
      <c r="B1439" s="5"/>
      <c r="C1439" s="5"/>
    </row>
    <row r="1440" spans="1:3" x14ac:dyDescent="0.25">
      <c r="A1440" s="5"/>
      <c r="B1440" s="5"/>
      <c r="C1440" s="5"/>
    </row>
    <row r="1441" spans="1:3" x14ac:dyDescent="0.25">
      <c r="A1441" s="5"/>
      <c r="B1441" s="5"/>
      <c r="C1441" s="5"/>
    </row>
    <row r="1442" spans="1:3" x14ac:dyDescent="0.25">
      <c r="A1442" s="5"/>
      <c r="B1442" s="5"/>
      <c r="C1442" s="5"/>
    </row>
    <row r="1443" spans="1:3" x14ac:dyDescent="0.25">
      <c r="A1443" s="5"/>
      <c r="B1443" s="5"/>
      <c r="C1443" s="5"/>
    </row>
    <row r="1444" spans="1:3" x14ac:dyDescent="0.25">
      <c r="A1444" s="5"/>
      <c r="B1444" s="5"/>
      <c r="C1444" s="5"/>
    </row>
    <row r="1445" spans="1:3" x14ac:dyDescent="0.25">
      <c r="A1445" s="5"/>
      <c r="B1445" s="5"/>
      <c r="C1445" s="5"/>
    </row>
    <row r="1446" spans="1:3" x14ac:dyDescent="0.25">
      <c r="A1446" s="5"/>
      <c r="B1446" s="5"/>
      <c r="C1446" s="5"/>
    </row>
    <row r="1447" spans="1:3" x14ac:dyDescent="0.25">
      <c r="A1447" s="5"/>
      <c r="B1447" s="5"/>
      <c r="C1447" s="5"/>
    </row>
    <row r="1448" spans="1:3" x14ac:dyDescent="0.25">
      <c r="A1448" s="5"/>
      <c r="B1448" s="5"/>
      <c r="C1448" s="5"/>
    </row>
    <row r="1449" spans="1:3" x14ac:dyDescent="0.25">
      <c r="A1449" s="5"/>
      <c r="B1449" s="5"/>
      <c r="C1449" s="5"/>
    </row>
    <row r="1450" spans="1:3" x14ac:dyDescent="0.25">
      <c r="A1450" s="5"/>
      <c r="B1450" s="5"/>
      <c r="C1450" s="5"/>
    </row>
    <row r="1451" spans="1:3" x14ac:dyDescent="0.25">
      <c r="A1451" s="5"/>
      <c r="B1451" s="5"/>
      <c r="C1451" s="5"/>
    </row>
    <row r="1452" spans="1:3" x14ac:dyDescent="0.25">
      <c r="A1452" s="5"/>
      <c r="B1452" s="5"/>
      <c r="C1452" s="5"/>
    </row>
    <row r="1453" spans="1:3" x14ac:dyDescent="0.25">
      <c r="A1453" s="5"/>
      <c r="B1453" s="5"/>
      <c r="C1453" s="5"/>
    </row>
    <row r="1454" spans="1:3" x14ac:dyDescent="0.25">
      <c r="A1454" s="5"/>
      <c r="B1454" s="5"/>
      <c r="C1454" s="5"/>
    </row>
    <row r="1455" spans="1:3" x14ac:dyDescent="0.25">
      <c r="A1455" s="5"/>
      <c r="B1455" s="5"/>
      <c r="C1455" s="5"/>
    </row>
    <row r="1456" spans="1:3" x14ac:dyDescent="0.25">
      <c r="A1456" s="5"/>
      <c r="B1456" s="5"/>
      <c r="C1456" s="5"/>
    </row>
    <row r="1457" spans="1:3" x14ac:dyDescent="0.25">
      <c r="A1457" s="5"/>
      <c r="B1457" s="5"/>
      <c r="C1457" s="5"/>
    </row>
    <row r="1458" spans="1:3" x14ac:dyDescent="0.25">
      <c r="A1458" s="5"/>
      <c r="B1458" s="5"/>
      <c r="C1458" s="5"/>
    </row>
    <row r="1459" spans="1:3" x14ac:dyDescent="0.25">
      <c r="A1459" s="5"/>
      <c r="B1459" s="5"/>
      <c r="C1459" s="5"/>
    </row>
    <row r="1460" spans="1:3" x14ac:dyDescent="0.25">
      <c r="A1460" s="5"/>
      <c r="B1460" s="5"/>
      <c r="C1460" s="5"/>
    </row>
    <row r="1461" spans="1:3" x14ac:dyDescent="0.25">
      <c r="A1461" s="5"/>
      <c r="B1461" s="5"/>
      <c r="C1461" s="5"/>
    </row>
    <row r="1462" spans="1:3" x14ac:dyDescent="0.25">
      <c r="A1462" s="5"/>
      <c r="B1462" s="5"/>
      <c r="C1462" s="5"/>
    </row>
    <row r="1463" spans="1:3" x14ac:dyDescent="0.25">
      <c r="A1463" s="5"/>
      <c r="B1463" s="5"/>
      <c r="C1463" s="5"/>
    </row>
    <row r="1464" spans="1:3" x14ac:dyDescent="0.25">
      <c r="A1464" s="5"/>
      <c r="B1464" s="5"/>
      <c r="C1464" s="5"/>
    </row>
    <row r="1465" spans="1:3" x14ac:dyDescent="0.25">
      <c r="A1465" s="5"/>
      <c r="B1465" s="5"/>
      <c r="C1465" s="5"/>
    </row>
    <row r="1466" spans="1:3" x14ac:dyDescent="0.25">
      <c r="A1466" s="5"/>
      <c r="B1466" s="5"/>
      <c r="C1466" s="5"/>
    </row>
    <row r="1467" spans="1:3" x14ac:dyDescent="0.25">
      <c r="A1467" s="5"/>
      <c r="B1467" s="5"/>
      <c r="C1467" s="5"/>
    </row>
    <row r="1468" spans="1:3" x14ac:dyDescent="0.25">
      <c r="A1468" s="5"/>
      <c r="B1468" s="5"/>
      <c r="C1468" s="5"/>
    </row>
    <row r="1469" spans="1:3" x14ac:dyDescent="0.25">
      <c r="A1469" s="5"/>
      <c r="B1469" s="5"/>
      <c r="C1469" s="5"/>
    </row>
    <row r="1470" spans="1:3" x14ac:dyDescent="0.25">
      <c r="A1470" s="5"/>
      <c r="B1470" s="5"/>
      <c r="C1470" s="5"/>
    </row>
    <row r="1471" spans="1:3" x14ac:dyDescent="0.25">
      <c r="A1471" s="5"/>
      <c r="B1471" s="5"/>
      <c r="C1471" s="5"/>
    </row>
    <row r="1472" spans="1:3" x14ac:dyDescent="0.25">
      <c r="A1472" s="5"/>
      <c r="B1472" s="5"/>
      <c r="C1472" s="5"/>
    </row>
    <row r="1473" spans="1:3" x14ac:dyDescent="0.25">
      <c r="A1473" s="5"/>
      <c r="B1473" s="5"/>
      <c r="C1473" s="5"/>
    </row>
    <row r="1474" spans="1:3" x14ac:dyDescent="0.25">
      <c r="A1474" s="5"/>
      <c r="B1474" s="5"/>
      <c r="C1474" s="5"/>
    </row>
    <row r="1475" spans="1:3" x14ac:dyDescent="0.25">
      <c r="A1475" s="5"/>
      <c r="B1475" s="5"/>
      <c r="C1475" s="5"/>
    </row>
    <row r="1476" spans="1:3" x14ac:dyDescent="0.25">
      <c r="A1476" s="5"/>
      <c r="B1476" s="5"/>
      <c r="C1476" s="5"/>
    </row>
    <row r="1477" spans="1:3" x14ac:dyDescent="0.25">
      <c r="A1477" s="5"/>
      <c r="B1477" s="5"/>
      <c r="C1477" s="5"/>
    </row>
    <row r="1478" spans="1:3" x14ac:dyDescent="0.25">
      <c r="A1478" s="5"/>
      <c r="B1478" s="5"/>
      <c r="C1478" s="5"/>
    </row>
    <row r="1479" spans="1:3" x14ac:dyDescent="0.25">
      <c r="A1479" s="5"/>
      <c r="B1479" s="5"/>
      <c r="C1479" s="5"/>
    </row>
    <row r="1480" spans="1:3" x14ac:dyDescent="0.25">
      <c r="A1480" s="5"/>
      <c r="B1480" s="5"/>
      <c r="C1480" s="5"/>
    </row>
    <row r="1481" spans="1:3" x14ac:dyDescent="0.25">
      <c r="A1481" s="5"/>
      <c r="B1481" s="5"/>
      <c r="C1481" s="5"/>
    </row>
    <row r="1482" spans="1:3" x14ac:dyDescent="0.25">
      <c r="A1482" s="5"/>
      <c r="B1482" s="5"/>
      <c r="C1482" s="5"/>
    </row>
    <row r="1483" spans="1:3" x14ac:dyDescent="0.25">
      <c r="A1483" s="5"/>
      <c r="B1483" s="5"/>
      <c r="C1483" s="5"/>
    </row>
    <row r="1484" spans="1:3" x14ac:dyDescent="0.25">
      <c r="A1484" s="5"/>
      <c r="B1484" s="5"/>
      <c r="C1484" s="5"/>
    </row>
    <row r="1485" spans="1:3" x14ac:dyDescent="0.25">
      <c r="A1485" s="5"/>
      <c r="B1485" s="5"/>
      <c r="C1485" s="5"/>
    </row>
    <row r="1486" spans="1:3" x14ac:dyDescent="0.25">
      <c r="A1486" s="5"/>
      <c r="B1486" s="5"/>
      <c r="C1486" s="5"/>
    </row>
    <row r="1487" spans="1:3" x14ac:dyDescent="0.25">
      <c r="A1487" s="5"/>
      <c r="B1487" s="5"/>
      <c r="C1487" s="5"/>
    </row>
    <row r="1488" spans="1:3" x14ac:dyDescent="0.25">
      <c r="A1488" s="5"/>
      <c r="B1488" s="5"/>
      <c r="C1488" s="5"/>
    </row>
    <row r="1489" spans="1:3" x14ac:dyDescent="0.25">
      <c r="A1489" s="5"/>
      <c r="B1489" s="5"/>
      <c r="C1489" s="5"/>
    </row>
    <row r="1490" spans="1:3" x14ac:dyDescent="0.25">
      <c r="A1490" s="5"/>
      <c r="B1490" s="5"/>
      <c r="C1490" s="5"/>
    </row>
    <row r="1491" spans="1:3" x14ac:dyDescent="0.25">
      <c r="A1491" s="5"/>
      <c r="B1491" s="5"/>
      <c r="C1491" s="5"/>
    </row>
    <row r="1492" spans="1:3" x14ac:dyDescent="0.25">
      <c r="A1492" s="5"/>
      <c r="B1492" s="5"/>
      <c r="C1492" s="5"/>
    </row>
    <row r="1493" spans="1:3" x14ac:dyDescent="0.25">
      <c r="A1493" s="5"/>
      <c r="B1493" s="5"/>
      <c r="C1493" s="5"/>
    </row>
    <row r="1494" spans="1:3" x14ac:dyDescent="0.25">
      <c r="A1494" s="5"/>
      <c r="B1494" s="5"/>
      <c r="C1494" s="5"/>
    </row>
    <row r="1495" spans="1:3" x14ac:dyDescent="0.25">
      <c r="A1495" s="5"/>
      <c r="B1495" s="5"/>
      <c r="C1495" s="5"/>
    </row>
    <row r="1496" spans="1:3" x14ac:dyDescent="0.25">
      <c r="A1496" s="5"/>
      <c r="B1496" s="5"/>
      <c r="C1496" s="5"/>
    </row>
    <row r="1497" spans="1:3" x14ac:dyDescent="0.25">
      <c r="A1497" s="5"/>
      <c r="B1497" s="5"/>
      <c r="C1497" s="5"/>
    </row>
    <row r="1498" spans="1:3" x14ac:dyDescent="0.25">
      <c r="A1498" s="5"/>
      <c r="B1498" s="5"/>
      <c r="C1498" s="5"/>
    </row>
    <row r="1499" spans="1:3" x14ac:dyDescent="0.25">
      <c r="A1499" s="5"/>
      <c r="B1499" s="5"/>
      <c r="C1499" s="5"/>
    </row>
    <row r="1500" spans="1:3" x14ac:dyDescent="0.25">
      <c r="A1500" s="5"/>
      <c r="B1500" s="5"/>
      <c r="C1500" s="5"/>
    </row>
    <row r="1501" spans="1:3" x14ac:dyDescent="0.25">
      <c r="A1501" s="5"/>
      <c r="B1501" s="5"/>
      <c r="C1501" s="5"/>
    </row>
    <row r="1502" spans="1:3" x14ac:dyDescent="0.25">
      <c r="A1502" s="5"/>
      <c r="B1502" s="5"/>
      <c r="C1502" s="5"/>
    </row>
    <row r="1503" spans="1:3" x14ac:dyDescent="0.25">
      <c r="A1503" s="5"/>
      <c r="B1503" s="5"/>
      <c r="C1503" s="5"/>
    </row>
    <row r="1504" spans="1:3" x14ac:dyDescent="0.25">
      <c r="A1504" s="5"/>
      <c r="B1504" s="5"/>
      <c r="C1504" s="5"/>
    </row>
    <row r="1505" spans="1:3" x14ac:dyDescent="0.25">
      <c r="A1505" s="5"/>
      <c r="B1505" s="5"/>
      <c r="C1505" s="5"/>
    </row>
    <row r="1506" spans="1:3" x14ac:dyDescent="0.25">
      <c r="A1506" s="5"/>
      <c r="B1506" s="5"/>
      <c r="C1506" s="5"/>
    </row>
    <row r="1507" spans="1:3" x14ac:dyDescent="0.25">
      <c r="A1507" s="5"/>
      <c r="B1507" s="5"/>
      <c r="C1507" s="5"/>
    </row>
    <row r="1508" spans="1:3" x14ac:dyDescent="0.25">
      <c r="A1508" s="5"/>
      <c r="B1508" s="5"/>
      <c r="C1508" s="5"/>
    </row>
    <row r="1509" spans="1:3" x14ac:dyDescent="0.25">
      <c r="A1509" s="5"/>
      <c r="B1509" s="5"/>
      <c r="C1509" s="5"/>
    </row>
    <row r="1510" spans="1:3" x14ac:dyDescent="0.25">
      <c r="A1510" s="5"/>
      <c r="B1510" s="5"/>
      <c r="C1510" s="5"/>
    </row>
    <row r="1511" spans="1:3" x14ac:dyDescent="0.25">
      <c r="A1511" s="5"/>
      <c r="B1511" s="5"/>
      <c r="C1511" s="5"/>
    </row>
    <row r="1512" spans="1:3" x14ac:dyDescent="0.25">
      <c r="A1512" s="5"/>
      <c r="B1512" s="5"/>
      <c r="C1512" s="5"/>
    </row>
    <row r="1513" spans="1:3" x14ac:dyDescent="0.25">
      <c r="A1513" s="5"/>
      <c r="B1513" s="5"/>
      <c r="C1513" s="5"/>
    </row>
    <row r="1514" spans="1:3" x14ac:dyDescent="0.25">
      <c r="A1514" s="5"/>
      <c r="B1514" s="5"/>
      <c r="C1514" s="5"/>
    </row>
    <row r="1515" spans="1:3" x14ac:dyDescent="0.25">
      <c r="A1515" s="5"/>
      <c r="B1515" s="5"/>
      <c r="C1515" s="5"/>
    </row>
    <row r="1516" spans="1:3" x14ac:dyDescent="0.25">
      <c r="A1516" s="5"/>
      <c r="B1516" s="5"/>
      <c r="C1516" s="5"/>
    </row>
    <row r="1517" spans="1:3" x14ac:dyDescent="0.25">
      <c r="A1517" s="5"/>
      <c r="B1517" s="5"/>
      <c r="C1517" s="5"/>
    </row>
    <row r="1518" spans="1:3" x14ac:dyDescent="0.25">
      <c r="A1518" s="5"/>
      <c r="B1518" s="5"/>
      <c r="C1518" s="5"/>
    </row>
    <row r="1519" spans="1:3" x14ac:dyDescent="0.25">
      <c r="A1519" s="5"/>
      <c r="B1519" s="5"/>
      <c r="C1519" s="5"/>
    </row>
    <row r="1520" spans="1:3" x14ac:dyDescent="0.25">
      <c r="A1520" s="5"/>
      <c r="B1520" s="5"/>
      <c r="C1520" s="5"/>
    </row>
    <row r="1521" spans="1:3" x14ac:dyDescent="0.25">
      <c r="A1521" s="5"/>
      <c r="B1521" s="5"/>
      <c r="C1521" s="5"/>
    </row>
    <row r="1522" spans="1:3" x14ac:dyDescent="0.25">
      <c r="A1522" s="5"/>
      <c r="B1522" s="5"/>
      <c r="C1522" s="5"/>
    </row>
    <row r="1523" spans="1:3" x14ac:dyDescent="0.25">
      <c r="A1523" s="5"/>
      <c r="B1523" s="5"/>
      <c r="C1523" s="5"/>
    </row>
    <row r="1524" spans="1:3" x14ac:dyDescent="0.25">
      <c r="A1524" s="5"/>
      <c r="B1524" s="5"/>
      <c r="C1524" s="5"/>
    </row>
    <row r="1525" spans="1:3" x14ac:dyDescent="0.25">
      <c r="A1525" s="5"/>
      <c r="B1525" s="5"/>
      <c r="C1525" s="5"/>
    </row>
    <row r="1526" spans="1:3" x14ac:dyDescent="0.25">
      <c r="A1526" s="5"/>
      <c r="B1526" s="5"/>
      <c r="C1526" s="5"/>
    </row>
    <row r="1527" spans="1:3" x14ac:dyDescent="0.25">
      <c r="A1527" s="5"/>
      <c r="B1527" s="5"/>
      <c r="C1527" s="5"/>
    </row>
    <row r="1528" spans="1:3" x14ac:dyDescent="0.25">
      <c r="A1528" s="5"/>
      <c r="B1528" s="5"/>
      <c r="C1528" s="5"/>
    </row>
    <row r="1529" spans="1:3" x14ac:dyDescent="0.25">
      <c r="A1529" s="5"/>
      <c r="B1529" s="5"/>
      <c r="C1529" s="5"/>
    </row>
    <row r="1530" spans="1:3" x14ac:dyDescent="0.25">
      <c r="A1530" s="5"/>
      <c r="B1530" s="5"/>
      <c r="C1530" s="5"/>
    </row>
    <row r="1531" spans="1:3" x14ac:dyDescent="0.25">
      <c r="A1531" s="5"/>
      <c r="B1531" s="5"/>
      <c r="C1531" s="5"/>
    </row>
    <row r="1532" spans="1:3" x14ac:dyDescent="0.25">
      <c r="A1532" s="5"/>
      <c r="B1532" s="5"/>
      <c r="C1532" s="5"/>
    </row>
    <row r="1533" spans="1:3" x14ac:dyDescent="0.25">
      <c r="A1533" s="5"/>
      <c r="B1533" s="5"/>
      <c r="C1533" s="5"/>
    </row>
    <row r="1534" spans="1:3" x14ac:dyDescent="0.25">
      <c r="A1534" s="5"/>
      <c r="B1534" s="5"/>
      <c r="C1534" s="5"/>
    </row>
    <row r="1535" spans="1:3" x14ac:dyDescent="0.25">
      <c r="A1535" s="5"/>
      <c r="B1535" s="5"/>
      <c r="C1535" s="5"/>
    </row>
    <row r="1536" spans="1:3" x14ac:dyDescent="0.25">
      <c r="A1536" s="5"/>
      <c r="B1536" s="5"/>
      <c r="C1536" s="5"/>
    </row>
    <row r="1537" spans="1:3" x14ac:dyDescent="0.25">
      <c r="A1537" s="5"/>
      <c r="B1537" s="5"/>
      <c r="C1537" s="5"/>
    </row>
    <row r="1538" spans="1:3" x14ac:dyDescent="0.25">
      <c r="A1538" s="5"/>
      <c r="B1538" s="5"/>
      <c r="C1538" s="5"/>
    </row>
    <row r="1539" spans="1:3" x14ac:dyDescent="0.25">
      <c r="A1539" s="5"/>
      <c r="B1539" s="5"/>
      <c r="C1539" s="5"/>
    </row>
    <row r="1540" spans="1:3" x14ac:dyDescent="0.25">
      <c r="A1540" s="5"/>
      <c r="B1540" s="5"/>
      <c r="C1540" s="5"/>
    </row>
    <row r="1541" spans="1:3" x14ac:dyDescent="0.25">
      <c r="A1541" s="5"/>
      <c r="B1541" s="5"/>
      <c r="C1541" s="5"/>
    </row>
    <row r="1542" spans="1:3" x14ac:dyDescent="0.25">
      <c r="A1542" s="5"/>
      <c r="B1542" s="5"/>
      <c r="C1542" s="5"/>
    </row>
    <row r="1543" spans="1:3" x14ac:dyDescent="0.25">
      <c r="A1543" s="5"/>
      <c r="B1543" s="5"/>
      <c r="C1543" s="5"/>
    </row>
    <row r="1544" spans="1:3" x14ac:dyDescent="0.25">
      <c r="A1544" s="5"/>
      <c r="B1544" s="5"/>
      <c r="C1544" s="5"/>
    </row>
    <row r="1545" spans="1:3" x14ac:dyDescent="0.25">
      <c r="A1545" s="5"/>
      <c r="B1545" s="5"/>
      <c r="C1545" s="5"/>
    </row>
    <row r="1546" spans="1:3" x14ac:dyDescent="0.25">
      <c r="A1546" s="5"/>
      <c r="B1546" s="5"/>
      <c r="C1546" s="5"/>
    </row>
    <row r="1547" spans="1:3" x14ac:dyDescent="0.25">
      <c r="A1547" s="5"/>
      <c r="B1547" s="5"/>
      <c r="C1547" s="5"/>
    </row>
    <row r="1548" spans="1:3" x14ac:dyDescent="0.25">
      <c r="A1548" s="5"/>
      <c r="B1548" s="5"/>
      <c r="C1548" s="5"/>
    </row>
    <row r="1549" spans="1:3" x14ac:dyDescent="0.25">
      <c r="A1549" s="5"/>
      <c r="B1549" s="5"/>
      <c r="C1549" s="5"/>
    </row>
    <row r="1550" spans="1:3" x14ac:dyDescent="0.25">
      <c r="A1550" s="5"/>
      <c r="B1550" s="5"/>
      <c r="C1550" s="5"/>
    </row>
    <row r="1551" spans="1:3" x14ac:dyDescent="0.25">
      <c r="A1551" s="5"/>
      <c r="B1551" s="5"/>
      <c r="C1551" s="5"/>
    </row>
    <row r="1552" spans="1:3" x14ac:dyDescent="0.25">
      <c r="A1552" s="5"/>
      <c r="B1552" s="5"/>
      <c r="C1552" s="5"/>
    </row>
    <row r="1553" spans="1:3" x14ac:dyDescent="0.25">
      <c r="A1553" s="5"/>
      <c r="B1553" s="5"/>
      <c r="C1553" s="5"/>
    </row>
    <row r="1554" spans="1:3" x14ac:dyDescent="0.25">
      <c r="A1554" s="5"/>
      <c r="B1554" s="5"/>
      <c r="C1554" s="5"/>
    </row>
    <row r="1555" spans="1:3" x14ac:dyDescent="0.25">
      <c r="A1555" s="5"/>
      <c r="B1555" s="5"/>
      <c r="C1555" s="5"/>
    </row>
    <row r="1556" spans="1:3" x14ac:dyDescent="0.25">
      <c r="A1556" s="5"/>
      <c r="B1556" s="5"/>
      <c r="C1556" s="5"/>
    </row>
    <row r="1557" spans="1:3" x14ac:dyDescent="0.25">
      <c r="A1557" s="5"/>
      <c r="B1557" s="5"/>
      <c r="C1557" s="5"/>
    </row>
    <row r="1558" spans="1:3" x14ac:dyDescent="0.25">
      <c r="A1558" s="5"/>
      <c r="B1558" s="5"/>
      <c r="C1558" s="5"/>
    </row>
    <row r="1559" spans="1:3" x14ac:dyDescent="0.25">
      <c r="A1559" s="5"/>
      <c r="B1559" s="5"/>
      <c r="C1559" s="5"/>
    </row>
    <row r="1560" spans="1:3" x14ac:dyDescent="0.25">
      <c r="A1560" s="5"/>
      <c r="B1560" s="5"/>
      <c r="C1560" s="5"/>
    </row>
    <row r="1561" spans="1:3" x14ac:dyDescent="0.25">
      <c r="A1561" s="5"/>
      <c r="B1561" s="5"/>
      <c r="C1561" s="5"/>
    </row>
    <row r="1562" spans="1:3" x14ac:dyDescent="0.25">
      <c r="A1562" s="5"/>
      <c r="B1562" s="5"/>
      <c r="C1562" s="5"/>
    </row>
    <row r="1563" spans="1:3" x14ac:dyDescent="0.25">
      <c r="A1563" s="5"/>
      <c r="B1563" s="5"/>
      <c r="C1563" s="5"/>
    </row>
    <row r="1564" spans="1:3" x14ac:dyDescent="0.25">
      <c r="A1564" s="5"/>
      <c r="B1564" s="5"/>
      <c r="C1564" s="5"/>
    </row>
    <row r="1565" spans="1:3" x14ac:dyDescent="0.25">
      <c r="A1565" s="5"/>
      <c r="B1565" s="5"/>
      <c r="C1565" s="5"/>
    </row>
    <row r="1566" spans="1:3" x14ac:dyDescent="0.25">
      <c r="A1566" s="5"/>
      <c r="B1566" s="5"/>
      <c r="C1566" s="5"/>
    </row>
    <row r="1567" spans="1:3" x14ac:dyDescent="0.25">
      <c r="A1567" s="5"/>
      <c r="B1567" s="5"/>
      <c r="C1567" s="5"/>
    </row>
    <row r="1568" spans="1:3" x14ac:dyDescent="0.25">
      <c r="A1568" s="5"/>
      <c r="B1568" s="5"/>
      <c r="C1568" s="5"/>
    </row>
    <row r="1569" spans="1:3" x14ac:dyDescent="0.25">
      <c r="A1569" s="5"/>
      <c r="B1569" s="5"/>
      <c r="C1569" s="5"/>
    </row>
    <row r="1570" spans="1:3" x14ac:dyDescent="0.25">
      <c r="A1570" s="5"/>
      <c r="B1570" s="5"/>
      <c r="C1570" s="5"/>
    </row>
    <row r="1571" spans="1:3" x14ac:dyDescent="0.25">
      <c r="A1571" s="5"/>
      <c r="B1571" s="5"/>
      <c r="C1571" s="5"/>
    </row>
    <row r="1572" spans="1:3" x14ac:dyDescent="0.25">
      <c r="A1572" s="5"/>
      <c r="B1572" s="5"/>
      <c r="C1572" s="5"/>
    </row>
    <row r="1573" spans="1:3" x14ac:dyDescent="0.25">
      <c r="A1573" s="5"/>
      <c r="B1573" s="5"/>
      <c r="C1573" s="5"/>
    </row>
    <row r="1574" spans="1:3" x14ac:dyDescent="0.25">
      <c r="A1574" s="5"/>
      <c r="B1574" s="5"/>
      <c r="C1574" s="5"/>
    </row>
    <row r="1575" spans="1:3" x14ac:dyDescent="0.25">
      <c r="A1575" s="5"/>
      <c r="B1575" s="5"/>
      <c r="C1575" s="5"/>
    </row>
    <row r="1576" spans="1:3" x14ac:dyDescent="0.25">
      <c r="A1576" s="5"/>
      <c r="B1576" s="5"/>
      <c r="C1576" s="5"/>
    </row>
    <row r="1577" spans="1:3" x14ac:dyDescent="0.25">
      <c r="A1577" s="5"/>
      <c r="B1577" s="5"/>
      <c r="C1577" s="5"/>
    </row>
    <row r="1578" spans="1:3" x14ac:dyDescent="0.25">
      <c r="A1578" s="5"/>
      <c r="B1578" s="5"/>
      <c r="C1578" s="5"/>
    </row>
    <row r="1579" spans="1:3" x14ac:dyDescent="0.25">
      <c r="A1579" s="5"/>
      <c r="B1579" s="5"/>
      <c r="C1579" s="5"/>
    </row>
    <row r="1580" spans="1:3" x14ac:dyDescent="0.25">
      <c r="A1580" s="5"/>
      <c r="B1580" s="5"/>
      <c r="C1580" s="5"/>
    </row>
    <row r="1581" spans="1:3" x14ac:dyDescent="0.25">
      <c r="A1581" s="5"/>
      <c r="B1581" s="5"/>
      <c r="C1581" s="5"/>
    </row>
    <row r="1582" spans="1:3" x14ac:dyDescent="0.25">
      <c r="A1582" s="5"/>
      <c r="B1582" s="5"/>
      <c r="C1582" s="5"/>
    </row>
    <row r="1583" spans="1:3" x14ac:dyDescent="0.25">
      <c r="A1583" s="5"/>
      <c r="B1583" s="5"/>
      <c r="C1583" s="5"/>
    </row>
    <row r="1584" spans="1:3" x14ac:dyDescent="0.25">
      <c r="A1584" s="5"/>
      <c r="B1584" s="5"/>
      <c r="C1584" s="5"/>
    </row>
    <row r="1585" spans="1:3" x14ac:dyDescent="0.25">
      <c r="A1585" s="5"/>
      <c r="B1585" s="5"/>
      <c r="C1585" s="5"/>
    </row>
    <row r="1586" spans="1:3" x14ac:dyDescent="0.25">
      <c r="A1586" s="5"/>
      <c r="B1586" s="5"/>
      <c r="C1586" s="5"/>
    </row>
    <row r="1587" spans="1:3" x14ac:dyDescent="0.25">
      <c r="A1587" s="5"/>
      <c r="B1587" s="5"/>
      <c r="C1587" s="5"/>
    </row>
    <row r="1588" spans="1:3" x14ac:dyDescent="0.25">
      <c r="A1588" s="5"/>
      <c r="B1588" s="5"/>
      <c r="C1588" s="5"/>
    </row>
    <row r="1589" spans="1:3" x14ac:dyDescent="0.25">
      <c r="A1589" s="5"/>
      <c r="B1589" s="5"/>
      <c r="C1589" s="5"/>
    </row>
    <row r="1590" spans="1:3" x14ac:dyDescent="0.25">
      <c r="A1590" s="5"/>
      <c r="B1590" s="5"/>
      <c r="C1590" s="5"/>
    </row>
    <row r="1591" spans="1:3" x14ac:dyDescent="0.25">
      <c r="A1591" s="5"/>
      <c r="B1591" s="5"/>
      <c r="C1591" s="5"/>
    </row>
    <row r="1592" spans="1:3" x14ac:dyDescent="0.25">
      <c r="A1592" s="5"/>
      <c r="B1592" s="5"/>
      <c r="C1592" s="5"/>
    </row>
    <row r="1593" spans="1:3" x14ac:dyDescent="0.25">
      <c r="A1593" s="5"/>
      <c r="B1593" s="5"/>
      <c r="C1593" s="5"/>
    </row>
    <row r="1594" spans="1:3" x14ac:dyDescent="0.25">
      <c r="A1594" s="5"/>
      <c r="B1594" s="5"/>
      <c r="C1594" s="5"/>
    </row>
    <row r="1595" spans="1:3" x14ac:dyDescent="0.25">
      <c r="A1595" s="5"/>
      <c r="B1595" s="5"/>
      <c r="C1595" s="5"/>
    </row>
    <row r="1596" spans="1:3" x14ac:dyDescent="0.25">
      <c r="A1596" s="5"/>
      <c r="B1596" s="5"/>
      <c r="C1596" s="5"/>
    </row>
    <row r="1597" spans="1:3" x14ac:dyDescent="0.25">
      <c r="A1597" s="5"/>
      <c r="B1597" s="5"/>
      <c r="C1597" s="5"/>
    </row>
    <row r="1598" spans="1:3" x14ac:dyDescent="0.25">
      <c r="A1598" s="5"/>
      <c r="B1598" s="5"/>
      <c r="C1598" s="5"/>
    </row>
    <row r="1599" spans="1:3" x14ac:dyDescent="0.25">
      <c r="A1599" s="5"/>
      <c r="B1599" s="5"/>
      <c r="C1599" s="5"/>
    </row>
    <row r="1600" spans="1:3" x14ac:dyDescent="0.25">
      <c r="A1600" s="5"/>
      <c r="B1600" s="5"/>
      <c r="C1600" s="5"/>
    </row>
    <row r="1601" spans="1:3" x14ac:dyDescent="0.25">
      <c r="A1601" s="5"/>
      <c r="B1601" s="5"/>
      <c r="C1601" s="5"/>
    </row>
    <row r="1602" spans="1:3" x14ac:dyDescent="0.25">
      <c r="A1602" s="5"/>
      <c r="B1602" s="5"/>
      <c r="C1602" s="5"/>
    </row>
    <row r="1603" spans="1:3" x14ac:dyDescent="0.25">
      <c r="A1603" s="5"/>
      <c r="B1603" s="5"/>
      <c r="C1603" s="5"/>
    </row>
    <row r="1604" spans="1:3" x14ac:dyDescent="0.25">
      <c r="A1604" s="5"/>
      <c r="B1604" s="5"/>
      <c r="C1604" s="5"/>
    </row>
    <row r="1605" spans="1:3" x14ac:dyDescent="0.25">
      <c r="A1605" s="5"/>
      <c r="B1605" s="5"/>
      <c r="C1605" s="5"/>
    </row>
    <row r="1606" spans="1:3" x14ac:dyDescent="0.25">
      <c r="A1606" s="5"/>
      <c r="B1606" s="5"/>
      <c r="C1606" s="5"/>
    </row>
    <row r="1607" spans="1:3" x14ac:dyDescent="0.25">
      <c r="A1607" s="5"/>
      <c r="B1607" s="5"/>
      <c r="C1607" s="5"/>
    </row>
    <row r="1608" spans="1:3" x14ac:dyDescent="0.25">
      <c r="A1608" s="5"/>
      <c r="B1608" s="5"/>
      <c r="C1608" s="5"/>
    </row>
    <row r="1609" spans="1:3" x14ac:dyDescent="0.25">
      <c r="A1609" s="5"/>
      <c r="B1609" s="5"/>
      <c r="C1609" s="5"/>
    </row>
    <row r="1610" spans="1:3" x14ac:dyDescent="0.25">
      <c r="A1610" s="5"/>
      <c r="B1610" s="5"/>
      <c r="C1610" s="5"/>
    </row>
    <row r="1611" spans="1:3" x14ac:dyDescent="0.25">
      <c r="A1611" s="5"/>
      <c r="B1611" s="5"/>
      <c r="C1611" s="5"/>
    </row>
    <row r="1612" spans="1:3" x14ac:dyDescent="0.25">
      <c r="A1612" s="5"/>
      <c r="B1612" s="5"/>
      <c r="C1612" s="5"/>
    </row>
    <row r="1613" spans="1:3" x14ac:dyDescent="0.25">
      <c r="A1613" s="5"/>
      <c r="B1613" s="5"/>
      <c r="C1613" s="5"/>
    </row>
    <row r="1614" spans="1:3" x14ac:dyDescent="0.25">
      <c r="A1614" s="5"/>
      <c r="B1614" s="5"/>
      <c r="C1614" s="5"/>
    </row>
    <row r="1615" spans="1:3" x14ac:dyDescent="0.25">
      <c r="A1615" s="5"/>
      <c r="B1615" s="5"/>
      <c r="C1615" s="5"/>
    </row>
    <row r="1616" spans="1:3" x14ac:dyDescent="0.25">
      <c r="A1616" s="5"/>
      <c r="B1616" s="5"/>
      <c r="C1616" s="5"/>
    </row>
    <row r="1617" spans="1:3" x14ac:dyDescent="0.25">
      <c r="A1617" s="5"/>
      <c r="B1617" s="5"/>
      <c r="C1617" s="5"/>
    </row>
    <row r="1618" spans="1:3" x14ac:dyDescent="0.25">
      <c r="A1618" s="5"/>
      <c r="B1618" s="5"/>
      <c r="C1618" s="5"/>
    </row>
    <row r="1619" spans="1:3" x14ac:dyDescent="0.25">
      <c r="A1619" s="5"/>
      <c r="B1619" s="5"/>
      <c r="C1619" s="5"/>
    </row>
    <row r="1620" spans="1:3" x14ac:dyDescent="0.25">
      <c r="A1620" s="5"/>
      <c r="B1620" s="5"/>
      <c r="C1620" s="5"/>
    </row>
    <row r="1621" spans="1:3" x14ac:dyDescent="0.25">
      <c r="A1621" s="5"/>
      <c r="B1621" s="5"/>
      <c r="C1621" s="5"/>
    </row>
    <row r="1622" spans="1:3" x14ac:dyDescent="0.25">
      <c r="A1622" s="5"/>
      <c r="B1622" s="5"/>
      <c r="C1622" s="5"/>
    </row>
    <row r="1623" spans="1:3" x14ac:dyDescent="0.25">
      <c r="A1623" s="5"/>
      <c r="B1623" s="5"/>
      <c r="C1623" s="5"/>
    </row>
    <row r="1624" spans="1:3" x14ac:dyDescent="0.25">
      <c r="A1624" s="5"/>
      <c r="B1624" s="5"/>
      <c r="C1624" s="5"/>
    </row>
    <row r="1625" spans="1:3" x14ac:dyDescent="0.25">
      <c r="A1625" s="5"/>
      <c r="B1625" s="5"/>
      <c r="C1625" s="5"/>
    </row>
    <row r="1626" spans="1:3" x14ac:dyDescent="0.25">
      <c r="A1626" s="5"/>
      <c r="B1626" s="5"/>
      <c r="C1626" s="5"/>
    </row>
    <row r="1627" spans="1:3" x14ac:dyDescent="0.25">
      <c r="A1627" s="5"/>
      <c r="B1627" s="5"/>
      <c r="C1627" s="5"/>
    </row>
    <row r="1628" spans="1:3" x14ac:dyDescent="0.25">
      <c r="A1628" s="5"/>
      <c r="B1628" s="5"/>
      <c r="C1628" s="5"/>
    </row>
    <row r="1629" spans="1:3" x14ac:dyDescent="0.25">
      <c r="A1629" s="5"/>
      <c r="B1629" s="5"/>
      <c r="C1629" s="5"/>
    </row>
    <row r="1630" spans="1:3" x14ac:dyDescent="0.25">
      <c r="A1630" s="5"/>
      <c r="B1630" s="5"/>
      <c r="C1630" s="5"/>
    </row>
    <row r="1631" spans="1:3" x14ac:dyDescent="0.25">
      <c r="A1631" s="5"/>
      <c r="B1631" s="5"/>
      <c r="C1631" s="5"/>
    </row>
    <row r="1632" spans="1:3" x14ac:dyDescent="0.25">
      <c r="A1632" s="5"/>
      <c r="B1632" s="5"/>
      <c r="C1632" s="5"/>
    </row>
    <row r="1633" spans="1:3" x14ac:dyDescent="0.25">
      <c r="A1633" s="5"/>
      <c r="B1633" s="5"/>
      <c r="C1633" s="5"/>
    </row>
    <row r="1634" spans="1:3" x14ac:dyDescent="0.25">
      <c r="A1634" s="5"/>
      <c r="B1634" s="5"/>
      <c r="C1634" s="5"/>
    </row>
    <row r="1635" spans="1:3" x14ac:dyDescent="0.25">
      <c r="A1635" s="5"/>
      <c r="B1635" s="5"/>
      <c r="C1635" s="5"/>
    </row>
    <row r="1636" spans="1:3" x14ac:dyDescent="0.25">
      <c r="A1636" s="5"/>
      <c r="B1636" s="5"/>
      <c r="C1636" s="5"/>
    </row>
    <row r="1637" spans="1:3" x14ac:dyDescent="0.25">
      <c r="A1637" s="5"/>
      <c r="B1637" s="5"/>
      <c r="C1637" s="5"/>
    </row>
    <row r="1638" spans="1:3" x14ac:dyDescent="0.25">
      <c r="A1638" s="5"/>
      <c r="B1638" s="5"/>
      <c r="C1638" s="5"/>
    </row>
    <row r="1639" spans="1:3" x14ac:dyDescent="0.25">
      <c r="A1639" s="5"/>
      <c r="B1639" s="5"/>
      <c r="C1639" s="5"/>
    </row>
    <row r="1640" spans="1:3" x14ac:dyDescent="0.25">
      <c r="A1640" s="5"/>
      <c r="B1640" s="5"/>
      <c r="C1640" s="5"/>
    </row>
    <row r="1641" spans="1:3" x14ac:dyDescent="0.25">
      <c r="A1641" s="5"/>
      <c r="B1641" s="5"/>
      <c r="C1641" s="5"/>
    </row>
    <row r="1642" spans="1:3" x14ac:dyDescent="0.25">
      <c r="A1642" s="5"/>
      <c r="B1642" s="5"/>
      <c r="C1642" s="5"/>
    </row>
    <row r="1643" spans="1:3" x14ac:dyDescent="0.25">
      <c r="A1643" s="5"/>
      <c r="B1643" s="5"/>
      <c r="C1643" s="5"/>
    </row>
    <row r="1644" spans="1:3" x14ac:dyDescent="0.25">
      <c r="A1644" s="5"/>
      <c r="B1644" s="5"/>
      <c r="C1644" s="5"/>
    </row>
    <row r="1645" spans="1:3" x14ac:dyDescent="0.25">
      <c r="A1645" s="5"/>
      <c r="B1645" s="5"/>
      <c r="C1645" s="5"/>
    </row>
    <row r="1646" spans="1:3" x14ac:dyDescent="0.25">
      <c r="A1646" s="5"/>
      <c r="B1646" s="5"/>
      <c r="C1646" s="5"/>
    </row>
    <row r="1647" spans="1:3" x14ac:dyDescent="0.25">
      <c r="A1647" s="5"/>
      <c r="B1647" s="5"/>
      <c r="C1647" s="5"/>
    </row>
    <row r="1648" spans="1:3" x14ac:dyDescent="0.25">
      <c r="A1648" s="5"/>
      <c r="B1648" s="5"/>
      <c r="C1648" s="5"/>
    </row>
    <row r="1649" spans="1:3" x14ac:dyDescent="0.25">
      <c r="A1649" s="5"/>
      <c r="B1649" s="5"/>
      <c r="C1649" s="5"/>
    </row>
    <row r="1650" spans="1:3" x14ac:dyDescent="0.25">
      <c r="A1650" s="5"/>
      <c r="B1650" s="5"/>
      <c r="C1650" s="5"/>
    </row>
    <row r="1651" spans="1:3" x14ac:dyDescent="0.25">
      <c r="A1651" s="5"/>
      <c r="B1651" s="5"/>
      <c r="C1651" s="5"/>
    </row>
    <row r="1652" spans="1:3" x14ac:dyDescent="0.25">
      <c r="A1652" s="5"/>
      <c r="B1652" s="5"/>
      <c r="C1652" s="5"/>
    </row>
    <row r="1653" spans="1:3" x14ac:dyDescent="0.25">
      <c r="A1653" s="5"/>
      <c r="B1653" s="5"/>
      <c r="C1653" s="5"/>
    </row>
    <row r="1654" spans="1:3" x14ac:dyDescent="0.25">
      <c r="A1654" s="5"/>
      <c r="B1654" s="5"/>
      <c r="C1654" s="5"/>
    </row>
    <row r="1655" spans="1:3" x14ac:dyDescent="0.25">
      <c r="A1655" s="5"/>
      <c r="B1655" s="5"/>
      <c r="C1655" s="5"/>
    </row>
    <row r="1656" spans="1:3" x14ac:dyDescent="0.25">
      <c r="A1656" s="5"/>
      <c r="B1656" s="5"/>
      <c r="C1656" s="5"/>
    </row>
    <row r="1657" spans="1:3" x14ac:dyDescent="0.25">
      <c r="A1657" s="5"/>
      <c r="B1657" s="5"/>
      <c r="C1657" s="5"/>
    </row>
    <row r="1658" spans="1:3" x14ac:dyDescent="0.25">
      <c r="A1658" s="5"/>
      <c r="B1658" s="5"/>
      <c r="C1658" s="5"/>
    </row>
    <row r="1659" spans="1:3" x14ac:dyDescent="0.25">
      <c r="A1659" s="5"/>
      <c r="B1659" s="5"/>
      <c r="C1659" s="5"/>
    </row>
    <row r="1660" spans="1:3" x14ac:dyDescent="0.25">
      <c r="A1660" s="5"/>
      <c r="B1660" s="5"/>
      <c r="C1660" s="5"/>
    </row>
    <row r="1661" spans="1:3" x14ac:dyDescent="0.25">
      <c r="A1661" s="5"/>
      <c r="B1661" s="5"/>
      <c r="C1661" s="5"/>
    </row>
    <row r="1662" spans="1:3" x14ac:dyDescent="0.25">
      <c r="A1662" s="5"/>
      <c r="B1662" s="5"/>
      <c r="C1662" s="5"/>
    </row>
    <row r="1663" spans="1:3" x14ac:dyDescent="0.25">
      <c r="A1663" s="5"/>
      <c r="B1663" s="5"/>
      <c r="C1663" s="5"/>
    </row>
    <row r="1664" spans="1:3" x14ac:dyDescent="0.25">
      <c r="A1664" s="5"/>
      <c r="B1664" s="5"/>
      <c r="C1664" s="5"/>
    </row>
    <row r="1665" spans="1:3" x14ac:dyDescent="0.25">
      <c r="A1665" s="5"/>
      <c r="B1665" s="5"/>
      <c r="C1665" s="5"/>
    </row>
    <row r="1666" spans="1:3" x14ac:dyDescent="0.25">
      <c r="A1666" s="5"/>
      <c r="B1666" s="5"/>
      <c r="C1666" s="5"/>
    </row>
    <row r="1667" spans="1:3" x14ac:dyDescent="0.25">
      <c r="A1667" s="5"/>
      <c r="B1667" s="5"/>
      <c r="C1667" s="5"/>
    </row>
    <row r="1668" spans="1:3" x14ac:dyDescent="0.25">
      <c r="A1668" s="5"/>
      <c r="B1668" s="5"/>
      <c r="C1668" s="5"/>
    </row>
    <row r="1669" spans="1:3" x14ac:dyDescent="0.25">
      <c r="A1669" s="5"/>
      <c r="B1669" s="5"/>
      <c r="C1669" s="5"/>
    </row>
    <row r="1670" spans="1:3" x14ac:dyDescent="0.25">
      <c r="A1670" s="5"/>
      <c r="B1670" s="5"/>
      <c r="C1670" s="5"/>
    </row>
    <row r="1671" spans="1:3" x14ac:dyDescent="0.25">
      <c r="A1671" s="5"/>
      <c r="B1671" s="5"/>
      <c r="C1671" s="5"/>
    </row>
    <row r="1672" spans="1:3" x14ac:dyDescent="0.25">
      <c r="A1672" s="5"/>
      <c r="B1672" s="5"/>
      <c r="C1672" s="5"/>
    </row>
    <row r="1673" spans="1:3" x14ac:dyDescent="0.25">
      <c r="A1673" s="5"/>
      <c r="B1673" s="5"/>
      <c r="C1673" s="5"/>
    </row>
    <row r="1674" spans="1:3" x14ac:dyDescent="0.25">
      <c r="A1674" s="5"/>
      <c r="B1674" s="5"/>
      <c r="C1674" s="5"/>
    </row>
    <row r="1675" spans="1:3" x14ac:dyDescent="0.25">
      <c r="A1675" s="5"/>
      <c r="B1675" s="5"/>
      <c r="C1675" s="5"/>
    </row>
    <row r="1676" spans="1:3" x14ac:dyDescent="0.25">
      <c r="A1676" s="5"/>
      <c r="B1676" s="5"/>
      <c r="C1676" s="5"/>
    </row>
    <row r="1677" spans="1:3" x14ac:dyDescent="0.25">
      <c r="A1677" s="5"/>
      <c r="B1677" s="5"/>
      <c r="C1677" s="5"/>
    </row>
    <row r="1678" spans="1:3" x14ac:dyDescent="0.25">
      <c r="A1678" s="5"/>
      <c r="B1678" s="5"/>
      <c r="C1678" s="5"/>
    </row>
    <row r="1679" spans="1:3" x14ac:dyDescent="0.25">
      <c r="A1679" s="5"/>
      <c r="B1679" s="5"/>
      <c r="C1679" s="5"/>
    </row>
    <row r="1680" spans="1:3" x14ac:dyDescent="0.25">
      <c r="A1680" s="5"/>
      <c r="B1680" s="5"/>
      <c r="C1680" s="5"/>
    </row>
    <row r="1681" spans="1:3" x14ac:dyDescent="0.25">
      <c r="A1681" s="5"/>
      <c r="B1681" s="5"/>
      <c r="C1681" s="5"/>
    </row>
    <row r="1682" spans="1:3" x14ac:dyDescent="0.25">
      <c r="A1682" s="5"/>
      <c r="B1682" s="5"/>
      <c r="C1682" s="5"/>
    </row>
    <row r="1683" spans="1:3" x14ac:dyDescent="0.25">
      <c r="A1683" s="5"/>
      <c r="B1683" s="5"/>
      <c r="C1683" s="5"/>
    </row>
    <row r="1684" spans="1:3" x14ac:dyDescent="0.25">
      <c r="A1684" s="5"/>
      <c r="B1684" s="5"/>
      <c r="C1684" s="5"/>
    </row>
    <row r="1685" spans="1:3" x14ac:dyDescent="0.25">
      <c r="A1685" s="5"/>
      <c r="B1685" s="5"/>
      <c r="C1685" s="5"/>
    </row>
    <row r="1686" spans="1:3" x14ac:dyDescent="0.25">
      <c r="A1686" s="5"/>
      <c r="B1686" s="5"/>
      <c r="C1686" s="5"/>
    </row>
    <row r="1687" spans="1:3" x14ac:dyDescent="0.25">
      <c r="A1687" s="5"/>
      <c r="B1687" s="5"/>
      <c r="C1687" s="5"/>
    </row>
    <row r="1688" spans="1:3" x14ac:dyDescent="0.25">
      <c r="A1688" s="5"/>
      <c r="B1688" s="5"/>
      <c r="C1688" s="5"/>
    </row>
    <row r="1689" spans="1:3" x14ac:dyDescent="0.25">
      <c r="A1689" s="5"/>
      <c r="B1689" s="5"/>
      <c r="C1689" s="5"/>
    </row>
    <row r="1690" spans="1:3" x14ac:dyDescent="0.25">
      <c r="A1690" s="5"/>
      <c r="B1690" s="5"/>
      <c r="C1690" s="5"/>
    </row>
    <row r="1691" spans="1:3" x14ac:dyDescent="0.25">
      <c r="A1691" s="5"/>
      <c r="B1691" s="5"/>
      <c r="C1691" s="5"/>
    </row>
    <row r="1692" spans="1:3" x14ac:dyDescent="0.25">
      <c r="A1692" s="5"/>
      <c r="B1692" s="5"/>
      <c r="C1692" s="5"/>
    </row>
    <row r="1693" spans="1:3" x14ac:dyDescent="0.25">
      <c r="A1693" s="5"/>
      <c r="B1693" s="5"/>
      <c r="C1693" s="5"/>
    </row>
    <row r="1694" spans="1:3" x14ac:dyDescent="0.25">
      <c r="A1694" s="5"/>
      <c r="B1694" s="5"/>
      <c r="C1694" s="5"/>
    </row>
    <row r="1695" spans="1:3" x14ac:dyDescent="0.25">
      <c r="A1695" s="5"/>
      <c r="B1695" s="5"/>
      <c r="C1695" s="5"/>
    </row>
    <row r="1696" spans="1:3" x14ac:dyDescent="0.25">
      <c r="A1696" s="5"/>
      <c r="B1696" s="5"/>
      <c r="C1696" s="5"/>
    </row>
    <row r="1697" spans="1:3" x14ac:dyDescent="0.25">
      <c r="A1697" s="5"/>
      <c r="B1697" s="5"/>
      <c r="C1697" s="5"/>
    </row>
    <row r="1698" spans="1:3" x14ac:dyDescent="0.25">
      <c r="A1698" s="5"/>
      <c r="B1698" s="5"/>
      <c r="C1698" s="5"/>
    </row>
    <row r="1699" spans="1:3" x14ac:dyDescent="0.25">
      <c r="A1699" s="5"/>
      <c r="B1699" s="5"/>
      <c r="C1699" s="5"/>
    </row>
    <row r="1700" spans="1:3" x14ac:dyDescent="0.25">
      <c r="A1700" s="5"/>
      <c r="B1700" s="5"/>
      <c r="C1700" s="5"/>
    </row>
    <row r="1701" spans="1:3" x14ac:dyDescent="0.25">
      <c r="A1701" s="5"/>
      <c r="B1701" s="5"/>
      <c r="C1701" s="5"/>
    </row>
    <row r="1702" spans="1:3" x14ac:dyDescent="0.25">
      <c r="A1702" s="5"/>
      <c r="B1702" s="5"/>
      <c r="C1702" s="5"/>
    </row>
    <row r="1703" spans="1:3" x14ac:dyDescent="0.25">
      <c r="A1703" s="5"/>
      <c r="B1703" s="5"/>
      <c r="C1703" s="5"/>
    </row>
    <row r="1704" spans="1:3" x14ac:dyDescent="0.25">
      <c r="A1704" s="5"/>
      <c r="B1704" s="5"/>
      <c r="C1704" s="5"/>
    </row>
    <row r="1705" spans="1:3" x14ac:dyDescent="0.25">
      <c r="A1705" s="5"/>
      <c r="B1705" s="5"/>
      <c r="C1705" s="5"/>
    </row>
    <row r="1706" spans="1:3" x14ac:dyDescent="0.25">
      <c r="A1706" s="5"/>
      <c r="B1706" s="5"/>
      <c r="C1706" s="5"/>
    </row>
    <row r="1707" spans="1:3" x14ac:dyDescent="0.25">
      <c r="A1707" s="5"/>
      <c r="B1707" s="5"/>
      <c r="C1707" s="5"/>
    </row>
    <row r="1708" spans="1:3" x14ac:dyDescent="0.25">
      <c r="A1708" s="5"/>
      <c r="B1708" s="5"/>
      <c r="C1708" s="5"/>
    </row>
    <row r="1709" spans="1:3" x14ac:dyDescent="0.25">
      <c r="A1709" s="5"/>
      <c r="B1709" s="5"/>
      <c r="C1709" s="5"/>
    </row>
    <row r="1710" spans="1:3" x14ac:dyDescent="0.25">
      <c r="A1710" s="5"/>
      <c r="B1710" s="5"/>
      <c r="C1710" s="5"/>
    </row>
    <row r="1711" spans="1:3" x14ac:dyDescent="0.25">
      <c r="A1711" s="5"/>
      <c r="B1711" s="5"/>
      <c r="C1711" s="5"/>
    </row>
    <row r="1712" spans="1:3" x14ac:dyDescent="0.25">
      <c r="A1712" s="5"/>
      <c r="B1712" s="5"/>
      <c r="C1712" s="5"/>
    </row>
    <row r="1713" spans="1:3" x14ac:dyDescent="0.25">
      <c r="A1713" s="5"/>
      <c r="B1713" s="5"/>
      <c r="C1713" s="5"/>
    </row>
    <row r="1714" spans="1:3" x14ac:dyDescent="0.25">
      <c r="A1714" s="5"/>
      <c r="B1714" s="5"/>
      <c r="C1714" s="5"/>
    </row>
    <row r="1715" spans="1:3" x14ac:dyDescent="0.25">
      <c r="A1715" s="5"/>
      <c r="B1715" s="5"/>
      <c r="C1715" s="5"/>
    </row>
    <row r="1716" spans="1:3" x14ac:dyDescent="0.25">
      <c r="A1716" s="5"/>
      <c r="B1716" s="5"/>
      <c r="C1716" s="5"/>
    </row>
    <row r="1717" spans="1:3" x14ac:dyDescent="0.25">
      <c r="A1717" s="5"/>
      <c r="B1717" s="5"/>
      <c r="C1717" s="5"/>
    </row>
    <row r="1718" spans="1:3" x14ac:dyDescent="0.25">
      <c r="A1718" s="5"/>
      <c r="B1718" s="5"/>
      <c r="C1718" s="5"/>
    </row>
    <row r="1719" spans="1:3" x14ac:dyDescent="0.25">
      <c r="A1719" s="5"/>
      <c r="B1719" s="5"/>
      <c r="C1719" s="5"/>
    </row>
    <row r="1720" spans="1:3" x14ac:dyDescent="0.25">
      <c r="A1720" s="5"/>
      <c r="B1720" s="5"/>
      <c r="C1720" s="5"/>
    </row>
    <row r="1721" spans="1:3" x14ac:dyDescent="0.25">
      <c r="A1721" s="5"/>
      <c r="B1721" s="5"/>
      <c r="C1721" s="5"/>
    </row>
    <row r="1722" spans="1:3" x14ac:dyDescent="0.25">
      <c r="A1722" s="5"/>
      <c r="B1722" s="5"/>
      <c r="C1722" s="5"/>
    </row>
    <row r="1723" spans="1:3" x14ac:dyDescent="0.25">
      <c r="A1723" s="5"/>
      <c r="B1723" s="5"/>
      <c r="C1723" s="5"/>
    </row>
    <row r="1724" spans="1:3" x14ac:dyDescent="0.25">
      <c r="A1724" s="5"/>
      <c r="B1724" s="5"/>
      <c r="C1724" s="5"/>
    </row>
    <row r="1725" spans="1:3" x14ac:dyDescent="0.25">
      <c r="A1725" s="5"/>
      <c r="B1725" s="5"/>
      <c r="C1725" s="5"/>
    </row>
    <row r="1726" spans="1:3" x14ac:dyDescent="0.25">
      <c r="A1726" s="5"/>
      <c r="B1726" s="5"/>
      <c r="C1726" s="5"/>
    </row>
    <row r="1727" spans="1:3" x14ac:dyDescent="0.25">
      <c r="A1727" s="5"/>
      <c r="B1727" s="5"/>
      <c r="C1727" s="5"/>
    </row>
    <row r="1728" spans="1:3" x14ac:dyDescent="0.25">
      <c r="A1728" s="5"/>
      <c r="B1728" s="5"/>
      <c r="C1728" s="5"/>
    </row>
    <row r="1729" spans="1:3" x14ac:dyDescent="0.25">
      <c r="A1729" s="5"/>
      <c r="B1729" s="5"/>
      <c r="C1729" s="5"/>
    </row>
    <row r="1730" spans="1:3" x14ac:dyDescent="0.25">
      <c r="A1730" s="5"/>
      <c r="B1730" s="5"/>
      <c r="C1730" s="5"/>
    </row>
    <row r="1731" spans="1:3" x14ac:dyDescent="0.25">
      <c r="A1731" s="5"/>
      <c r="B1731" s="5"/>
      <c r="C1731" s="5"/>
    </row>
    <row r="1732" spans="1:3" x14ac:dyDescent="0.25">
      <c r="A1732" s="5"/>
      <c r="B1732" s="5"/>
      <c r="C1732" s="5"/>
    </row>
    <row r="1733" spans="1:3" x14ac:dyDescent="0.25">
      <c r="A1733" s="5"/>
      <c r="B1733" s="5"/>
      <c r="C1733" s="5"/>
    </row>
    <row r="1734" spans="1:3" x14ac:dyDescent="0.25">
      <c r="A1734" s="5"/>
      <c r="B1734" s="5"/>
      <c r="C1734" s="5"/>
    </row>
    <row r="1735" spans="1:3" x14ac:dyDescent="0.25">
      <c r="A1735" s="5"/>
      <c r="B1735" s="5"/>
      <c r="C1735" s="5"/>
    </row>
    <row r="1736" spans="1:3" x14ac:dyDescent="0.25">
      <c r="A1736" s="5"/>
      <c r="B1736" s="5"/>
      <c r="C1736" s="5"/>
    </row>
    <row r="1737" spans="1:3" x14ac:dyDescent="0.25">
      <c r="A1737" s="5"/>
      <c r="B1737" s="5"/>
      <c r="C1737" s="5"/>
    </row>
    <row r="1738" spans="1:3" x14ac:dyDescent="0.25">
      <c r="A1738" s="5"/>
      <c r="B1738" s="5"/>
      <c r="C1738" s="5"/>
    </row>
    <row r="1739" spans="1:3" x14ac:dyDescent="0.25">
      <c r="A1739" s="5"/>
      <c r="B1739" s="5"/>
      <c r="C1739" s="5"/>
    </row>
    <row r="1740" spans="1:3" x14ac:dyDescent="0.25">
      <c r="A1740" s="5"/>
      <c r="B1740" s="5"/>
      <c r="C1740" s="5"/>
    </row>
    <row r="1741" spans="1:3" x14ac:dyDescent="0.25">
      <c r="A1741" s="5"/>
      <c r="B1741" s="5"/>
      <c r="C1741" s="5"/>
    </row>
    <row r="1742" spans="1:3" x14ac:dyDescent="0.25">
      <c r="A1742" s="5"/>
      <c r="B1742" s="5"/>
      <c r="C1742" s="5"/>
    </row>
    <row r="1743" spans="1:3" x14ac:dyDescent="0.25">
      <c r="A1743" s="5"/>
      <c r="B1743" s="5"/>
      <c r="C1743" s="5"/>
    </row>
    <row r="1744" spans="1:3" x14ac:dyDescent="0.25">
      <c r="A1744" s="5"/>
      <c r="B1744" s="5"/>
      <c r="C1744" s="5"/>
    </row>
    <row r="1745" spans="1:3" x14ac:dyDescent="0.25">
      <c r="A1745" s="5"/>
      <c r="B1745" s="5"/>
      <c r="C1745" s="5"/>
    </row>
    <row r="1746" spans="1:3" x14ac:dyDescent="0.25">
      <c r="A1746" s="5"/>
      <c r="B1746" s="5"/>
      <c r="C1746" s="5"/>
    </row>
    <row r="1747" spans="1:3" x14ac:dyDescent="0.25">
      <c r="A1747" s="5"/>
      <c r="B1747" s="5"/>
      <c r="C1747" s="5"/>
    </row>
    <row r="1748" spans="1:3" x14ac:dyDescent="0.25">
      <c r="A1748" s="5"/>
      <c r="B1748" s="5"/>
      <c r="C1748" s="5"/>
    </row>
    <row r="1749" spans="1:3" x14ac:dyDescent="0.25">
      <c r="A1749" s="5"/>
      <c r="B1749" s="5"/>
      <c r="C1749" s="5"/>
    </row>
    <row r="1750" spans="1:3" x14ac:dyDescent="0.25">
      <c r="A1750" s="5"/>
      <c r="B1750" s="5"/>
      <c r="C1750" s="5"/>
    </row>
    <row r="1751" spans="1:3" x14ac:dyDescent="0.25">
      <c r="A1751" s="5"/>
      <c r="B1751" s="5"/>
      <c r="C1751" s="5"/>
    </row>
    <row r="1752" spans="1:3" x14ac:dyDescent="0.25">
      <c r="A1752" s="5"/>
      <c r="B1752" s="5"/>
      <c r="C1752" s="5"/>
    </row>
    <row r="1753" spans="1:3" x14ac:dyDescent="0.25">
      <c r="A1753" s="5"/>
      <c r="B1753" s="5"/>
      <c r="C1753" s="5"/>
    </row>
    <row r="1754" spans="1:3" x14ac:dyDescent="0.25">
      <c r="A1754" s="5"/>
      <c r="B1754" s="5"/>
      <c r="C1754" s="5"/>
    </row>
    <row r="1755" spans="1:3" x14ac:dyDescent="0.25">
      <c r="A1755" s="5"/>
      <c r="B1755" s="5"/>
      <c r="C1755" s="5"/>
    </row>
    <row r="1756" spans="1:3" x14ac:dyDescent="0.25">
      <c r="A1756" s="5"/>
      <c r="B1756" s="5"/>
      <c r="C1756" s="5"/>
    </row>
    <row r="1757" spans="1:3" x14ac:dyDescent="0.25">
      <c r="A1757" s="5"/>
      <c r="B1757" s="5"/>
      <c r="C1757" s="5"/>
    </row>
    <row r="1758" spans="1:3" x14ac:dyDescent="0.25">
      <c r="A1758" s="5"/>
      <c r="B1758" s="5"/>
      <c r="C1758" s="5"/>
    </row>
    <row r="1759" spans="1:3" x14ac:dyDescent="0.25">
      <c r="A1759" s="5"/>
      <c r="B1759" s="5"/>
      <c r="C1759" s="5"/>
    </row>
    <row r="1760" spans="1:3" x14ac:dyDescent="0.25">
      <c r="A1760" s="5"/>
      <c r="B1760" s="5"/>
      <c r="C1760" s="5"/>
    </row>
    <row r="1761" spans="1:3" x14ac:dyDescent="0.25">
      <c r="A1761" s="5"/>
      <c r="B1761" s="5"/>
      <c r="C1761" s="5"/>
    </row>
    <row r="1762" spans="1:3" x14ac:dyDescent="0.25">
      <c r="A1762" s="5"/>
      <c r="B1762" s="5"/>
      <c r="C1762" s="5"/>
    </row>
    <row r="1763" spans="1:3" x14ac:dyDescent="0.25">
      <c r="A1763" s="5"/>
      <c r="B1763" s="5"/>
      <c r="C1763" s="5"/>
    </row>
    <row r="1764" spans="1:3" x14ac:dyDescent="0.25">
      <c r="A1764" s="5"/>
      <c r="B1764" s="5"/>
      <c r="C1764" s="5"/>
    </row>
    <row r="1765" spans="1:3" x14ac:dyDescent="0.25">
      <c r="A1765" s="5"/>
      <c r="B1765" s="5"/>
      <c r="C1765" s="5"/>
    </row>
    <row r="1766" spans="1:3" x14ac:dyDescent="0.25">
      <c r="A1766" s="5"/>
      <c r="B1766" s="5"/>
      <c r="C1766" s="5"/>
    </row>
    <row r="1767" spans="1:3" x14ac:dyDescent="0.25">
      <c r="A1767" s="5"/>
      <c r="B1767" s="5"/>
      <c r="C1767" s="5"/>
    </row>
    <row r="1768" spans="1:3" x14ac:dyDescent="0.25">
      <c r="A1768" s="5"/>
      <c r="B1768" s="5"/>
      <c r="C1768" s="5"/>
    </row>
    <row r="1769" spans="1:3" x14ac:dyDescent="0.25">
      <c r="A1769" s="5"/>
      <c r="B1769" s="5"/>
      <c r="C1769" s="5"/>
    </row>
    <row r="1770" spans="1:3" x14ac:dyDescent="0.25">
      <c r="A1770" s="5"/>
      <c r="B1770" s="5"/>
      <c r="C1770" s="5"/>
    </row>
    <row r="1771" spans="1:3" x14ac:dyDescent="0.25">
      <c r="A1771" s="5"/>
      <c r="B1771" s="5"/>
      <c r="C1771" s="5"/>
    </row>
    <row r="1772" spans="1:3" x14ac:dyDescent="0.25">
      <c r="A1772" s="5"/>
      <c r="B1772" s="5"/>
      <c r="C1772" s="5"/>
    </row>
    <row r="1773" spans="1:3" x14ac:dyDescent="0.25">
      <c r="A1773" s="5"/>
      <c r="B1773" s="5"/>
      <c r="C1773" s="5"/>
    </row>
    <row r="1774" spans="1:3" x14ac:dyDescent="0.25">
      <c r="A1774" s="5"/>
      <c r="B1774" s="5"/>
      <c r="C1774" s="5"/>
    </row>
    <row r="1775" spans="1:3" x14ac:dyDescent="0.25">
      <c r="A1775" s="5"/>
      <c r="B1775" s="5"/>
      <c r="C1775" s="5"/>
    </row>
    <row r="1776" spans="1:3" x14ac:dyDescent="0.25">
      <c r="A1776" s="5"/>
      <c r="B1776" s="5"/>
      <c r="C1776" s="5"/>
    </row>
    <row r="1777" spans="1:3" x14ac:dyDescent="0.25">
      <c r="A1777" s="5"/>
      <c r="B1777" s="5"/>
      <c r="C1777" s="5"/>
    </row>
    <row r="1778" spans="1:3" x14ac:dyDescent="0.25">
      <c r="A1778" s="5"/>
      <c r="B1778" s="5"/>
      <c r="C1778" s="5"/>
    </row>
    <row r="1779" spans="1:3" x14ac:dyDescent="0.25">
      <c r="A1779" s="5"/>
      <c r="B1779" s="5"/>
      <c r="C1779" s="5"/>
    </row>
    <row r="1780" spans="1:3" x14ac:dyDescent="0.25">
      <c r="A1780" s="5"/>
      <c r="B1780" s="5"/>
      <c r="C1780" s="5"/>
    </row>
    <row r="1781" spans="1:3" x14ac:dyDescent="0.25">
      <c r="A1781" s="5"/>
      <c r="B1781" s="5"/>
      <c r="C1781" s="5"/>
    </row>
    <row r="1782" spans="1:3" x14ac:dyDescent="0.25">
      <c r="A1782" s="5"/>
      <c r="B1782" s="5"/>
      <c r="C1782" s="5"/>
    </row>
    <row r="1783" spans="1:3" x14ac:dyDescent="0.25">
      <c r="A1783" s="5"/>
      <c r="B1783" s="5"/>
      <c r="C1783" s="5"/>
    </row>
    <row r="1784" spans="1:3" x14ac:dyDescent="0.25">
      <c r="A1784" s="5"/>
      <c r="B1784" s="5"/>
      <c r="C1784" s="5"/>
    </row>
    <row r="1785" spans="1:3" x14ac:dyDescent="0.25">
      <c r="A1785" s="5"/>
      <c r="B1785" s="5"/>
      <c r="C1785" s="5"/>
    </row>
    <row r="1786" spans="1:3" x14ac:dyDescent="0.25">
      <c r="A1786" s="5"/>
      <c r="B1786" s="5"/>
      <c r="C1786" s="5"/>
    </row>
    <row r="1787" spans="1:3" x14ac:dyDescent="0.25">
      <c r="A1787" s="5"/>
      <c r="B1787" s="5"/>
      <c r="C1787" s="5"/>
    </row>
    <row r="1788" spans="1:3" x14ac:dyDescent="0.25">
      <c r="A1788" s="5"/>
      <c r="B1788" s="5"/>
      <c r="C1788" s="5"/>
    </row>
    <row r="1789" spans="1:3" x14ac:dyDescent="0.25">
      <c r="A1789" s="5"/>
      <c r="B1789" s="5"/>
      <c r="C1789" s="5"/>
    </row>
    <row r="1790" spans="1:3" x14ac:dyDescent="0.25">
      <c r="A1790" s="5"/>
      <c r="B1790" s="5"/>
      <c r="C1790" s="5"/>
    </row>
    <row r="1791" spans="1:3" x14ac:dyDescent="0.25">
      <c r="A1791" s="5"/>
      <c r="B1791" s="5"/>
      <c r="C1791" s="5"/>
    </row>
    <row r="1792" spans="1:3" x14ac:dyDescent="0.25">
      <c r="A1792" s="5"/>
      <c r="B1792" s="5"/>
      <c r="C1792" s="5"/>
    </row>
    <row r="1793" spans="1:3" x14ac:dyDescent="0.25">
      <c r="A1793" s="5"/>
      <c r="B1793" s="5"/>
      <c r="C1793" s="5"/>
    </row>
    <row r="1794" spans="1:3" x14ac:dyDescent="0.25">
      <c r="A1794" s="5"/>
      <c r="B1794" s="5"/>
      <c r="C1794" s="5"/>
    </row>
    <row r="1795" spans="1:3" x14ac:dyDescent="0.25">
      <c r="A1795" s="5"/>
      <c r="B1795" s="5"/>
      <c r="C1795" s="5"/>
    </row>
    <row r="1796" spans="1:3" x14ac:dyDescent="0.25">
      <c r="A1796" s="5"/>
      <c r="B1796" s="5"/>
      <c r="C1796" s="5"/>
    </row>
    <row r="1797" spans="1:3" x14ac:dyDescent="0.25">
      <c r="A1797" s="5"/>
      <c r="B1797" s="5"/>
      <c r="C1797" s="5"/>
    </row>
    <row r="1798" spans="1:3" x14ac:dyDescent="0.25">
      <c r="A1798" s="5"/>
      <c r="B1798" s="5"/>
      <c r="C1798" s="5"/>
    </row>
    <row r="1799" spans="1:3" x14ac:dyDescent="0.25">
      <c r="A1799" s="5"/>
      <c r="B1799" s="5"/>
      <c r="C1799" s="5"/>
    </row>
    <row r="1800" spans="1:3" x14ac:dyDescent="0.25">
      <c r="A1800" s="5"/>
      <c r="B1800" s="5"/>
      <c r="C1800" s="5"/>
    </row>
    <row r="1801" spans="1:3" x14ac:dyDescent="0.25">
      <c r="A1801" s="5"/>
      <c r="B1801" s="5"/>
      <c r="C1801" s="5"/>
    </row>
    <row r="1802" spans="1:3" x14ac:dyDescent="0.25">
      <c r="A1802" s="5"/>
      <c r="B1802" s="5"/>
      <c r="C1802" s="5"/>
    </row>
    <row r="1803" spans="1:3" x14ac:dyDescent="0.25">
      <c r="A1803" s="5"/>
      <c r="B1803" s="5"/>
      <c r="C1803" s="5"/>
    </row>
    <row r="1804" spans="1:3" x14ac:dyDescent="0.25">
      <c r="A1804" s="5"/>
      <c r="B1804" s="5"/>
      <c r="C1804" s="5"/>
    </row>
    <row r="1805" spans="1:3" x14ac:dyDescent="0.25">
      <c r="A1805" s="5"/>
      <c r="B1805" s="5"/>
      <c r="C1805" s="5"/>
    </row>
    <row r="1806" spans="1:3" x14ac:dyDescent="0.25">
      <c r="A1806" s="5"/>
      <c r="B1806" s="5"/>
      <c r="C1806" s="5"/>
    </row>
    <row r="1807" spans="1:3" x14ac:dyDescent="0.25">
      <c r="A1807" s="5"/>
      <c r="B1807" s="5"/>
      <c r="C1807" s="5"/>
    </row>
    <row r="1808" spans="1:3" x14ac:dyDescent="0.25">
      <c r="A1808" s="5"/>
      <c r="B1808" s="5"/>
      <c r="C1808" s="5"/>
    </row>
    <row r="1809" spans="1:3" x14ac:dyDescent="0.25">
      <c r="A1809" s="5"/>
      <c r="B1809" s="5"/>
      <c r="C1809" s="5"/>
    </row>
    <row r="1810" spans="1:3" x14ac:dyDescent="0.25">
      <c r="A1810" s="5"/>
      <c r="B1810" s="5"/>
      <c r="C1810" s="5"/>
    </row>
    <row r="1811" spans="1:3" x14ac:dyDescent="0.25">
      <c r="A1811" s="5"/>
      <c r="B1811" s="5"/>
      <c r="C1811" s="5"/>
    </row>
    <row r="1812" spans="1:3" x14ac:dyDescent="0.25">
      <c r="A1812" s="5"/>
      <c r="B1812" s="5"/>
      <c r="C1812" s="5"/>
    </row>
    <row r="1813" spans="1:3" x14ac:dyDescent="0.25">
      <c r="A1813" s="5"/>
      <c r="B1813" s="5"/>
      <c r="C1813" s="5"/>
    </row>
    <row r="1814" spans="1:3" x14ac:dyDescent="0.25">
      <c r="A1814" s="5"/>
      <c r="B1814" s="5"/>
      <c r="C1814" s="5"/>
    </row>
    <row r="1815" spans="1:3" x14ac:dyDescent="0.25">
      <c r="A1815" s="5"/>
      <c r="B1815" s="5"/>
      <c r="C1815" s="5"/>
    </row>
    <row r="1816" spans="1:3" x14ac:dyDescent="0.25">
      <c r="A1816" s="5"/>
      <c r="B1816" s="5"/>
      <c r="C1816" s="5"/>
    </row>
    <row r="1817" spans="1:3" x14ac:dyDescent="0.25">
      <c r="A1817" s="5"/>
      <c r="B1817" s="5"/>
      <c r="C1817" s="5"/>
    </row>
    <row r="1818" spans="1:3" x14ac:dyDescent="0.25">
      <c r="A1818" s="5"/>
      <c r="B1818" s="5"/>
      <c r="C1818" s="5"/>
    </row>
    <row r="1819" spans="1:3" x14ac:dyDescent="0.25">
      <c r="A1819" s="5"/>
      <c r="B1819" s="5"/>
      <c r="C1819" s="5"/>
    </row>
    <row r="1820" spans="1:3" x14ac:dyDescent="0.25">
      <c r="A1820" s="5"/>
      <c r="B1820" s="5"/>
      <c r="C1820" s="5"/>
    </row>
    <row r="1821" spans="1:3" x14ac:dyDescent="0.25">
      <c r="A1821" s="5"/>
      <c r="B1821" s="5"/>
      <c r="C1821" s="5"/>
    </row>
    <row r="1822" spans="1:3" x14ac:dyDescent="0.25">
      <c r="A1822" s="5"/>
      <c r="B1822" s="5"/>
      <c r="C1822" s="5"/>
    </row>
    <row r="1823" spans="1:3" x14ac:dyDescent="0.25">
      <c r="A1823" s="5"/>
      <c r="B1823" s="5"/>
      <c r="C1823" s="5"/>
    </row>
    <row r="1824" spans="1:3" x14ac:dyDescent="0.25">
      <c r="A1824" s="5"/>
      <c r="B1824" s="5"/>
      <c r="C1824" s="5"/>
    </row>
    <row r="1825" spans="1:3" x14ac:dyDescent="0.25">
      <c r="A1825" s="5"/>
      <c r="B1825" s="5"/>
      <c r="C1825" s="5"/>
    </row>
    <row r="1826" spans="1:3" x14ac:dyDescent="0.25">
      <c r="A1826" s="5"/>
      <c r="B1826" s="5"/>
      <c r="C1826" s="5"/>
    </row>
    <row r="1827" spans="1:3" x14ac:dyDescent="0.25">
      <c r="A1827" s="5"/>
      <c r="B1827" s="5"/>
      <c r="C1827" s="5"/>
    </row>
    <row r="1828" spans="1:3" x14ac:dyDescent="0.25">
      <c r="A1828" s="5"/>
      <c r="B1828" s="5"/>
      <c r="C1828" s="5"/>
    </row>
    <row r="1829" spans="1:3" x14ac:dyDescent="0.25">
      <c r="A1829" s="5"/>
      <c r="B1829" s="5"/>
      <c r="C1829" s="5"/>
    </row>
    <row r="1830" spans="1:3" x14ac:dyDescent="0.25">
      <c r="A1830" s="5"/>
      <c r="B1830" s="5"/>
      <c r="C1830" s="5"/>
    </row>
    <row r="1831" spans="1:3" x14ac:dyDescent="0.25">
      <c r="A1831" s="5"/>
      <c r="B1831" s="5"/>
      <c r="C1831" s="5"/>
    </row>
    <row r="1832" spans="1:3" x14ac:dyDescent="0.25">
      <c r="A1832" s="5"/>
      <c r="B1832" s="5"/>
      <c r="C1832" s="5"/>
    </row>
    <row r="1833" spans="1:3" x14ac:dyDescent="0.25">
      <c r="A1833" s="5"/>
      <c r="B1833" s="5"/>
      <c r="C1833" s="5"/>
    </row>
    <row r="1834" spans="1:3" x14ac:dyDescent="0.25">
      <c r="A1834" s="5"/>
      <c r="B1834" s="5"/>
      <c r="C1834" s="5"/>
    </row>
    <row r="1835" spans="1:3" x14ac:dyDescent="0.25">
      <c r="A1835" s="5"/>
      <c r="B1835" s="5"/>
      <c r="C1835" s="5"/>
    </row>
    <row r="1836" spans="1:3" x14ac:dyDescent="0.25">
      <c r="A1836" s="5"/>
      <c r="B1836" s="5"/>
      <c r="C1836" s="5"/>
    </row>
    <row r="1837" spans="1:3" x14ac:dyDescent="0.25">
      <c r="A1837" s="5"/>
      <c r="B1837" s="5"/>
      <c r="C1837" s="5"/>
    </row>
    <row r="1838" spans="1:3" x14ac:dyDescent="0.25">
      <c r="A1838" s="5"/>
      <c r="B1838" s="5"/>
      <c r="C1838" s="5"/>
    </row>
    <row r="1839" spans="1:3" x14ac:dyDescent="0.25">
      <c r="A1839" s="5"/>
      <c r="B1839" s="5"/>
      <c r="C1839" s="5"/>
    </row>
    <row r="1840" spans="1:3" x14ac:dyDescent="0.25">
      <c r="A1840" s="5"/>
      <c r="B1840" s="5"/>
      <c r="C1840" s="5"/>
    </row>
    <row r="1841" spans="1:3" x14ac:dyDescent="0.25">
      <c r="A1841" s="5"/>
      <c r="B1841" s="5"/>
      <c r="C1841" s="5"/>
    </row>
    <row r="1842" spans="1:3" x14ac:dyDescent="0.25">
      <c r="A1842" s="5"/>
      <c r="B1842" s="5"/>
      <c r="C1842" s="5"/>
    </row>
    <row r="1843" spans="1:3" x14ac:dyDescent="0.25">
      <c r="A1843" s="5"/>
      <c r="B1843" s="5"/>
      <c r="C1843" s="5"/>
    </row>
    <row r="1844" spans="1:3" x14ac:dyDescent="0.25">
      <c r="A1844" s="5"/>
      <c r="B1844" s="5"/>
      <c r="C1844" s="5"/>
    </row>
    <row r="1845" spans="1:3" x14ac:dyDescent="0.25">
      <c r="A1845" s="5"/>
      <c r="B1845" s="5"/>
      <c r="C1845" s="5"/>
    </row>
    <row r="1846" spans="1:3" x14ac:dyDescent="0.25">
      <c r="A1846" s="5"/>
      <c r="B1846" s="5"/>
      <c r="C1846" s="5"/>
    </row>
    <row r="1847" spans="1:3" x14ac:dyDescent="0.25">
      <c r="A1847" s="5"/>
      <c r="B1847" s="5"/>
      <c r="C1847" s="5"/>
    </row>
    <row r="1848" spans="1:3" x14ac:dyDescent="0.25">
      <c r="A1848" s="5"/>
      <c r="B1848" s="5"/>
      <c r="C1848" s="5"/>
    </row>
    <row r="1849" spans="1:3" x14ac:dyDescent="0.25">
      <c r="A1849" s="5"/>
      <c r="B1849" s="5"/>
      <c r="C1849" s="5"/>
    </row>
    <row r="1850" spans="1:3" x14ac:dyDescent="0.25">
      <c r="A1850" s="5"/>
      <c r="B1850" s="5"/>
      <c r="C1850" s="5"/>
    </row>
    <row r="1851" spans="1:3" x14ac:dyDescent="0.25">
      <c r="A1851" s="5"/>
      <c r="B1851" s="5"/>
      <c r="C1851" s="5"/>
    </row>
    <row r="1852" spans="1:3" x14ac:dyDescent="0.25">
      <c r="A1852" s="5"/>
      <c r="B1852" s="5"/>
      <c r="C1852" s="5"/>
    </row>
    <row r="1853" spans="1:3" x14ac:dyDescent="0.25">
      <c r="A1853" s="5"/>
      <c r="B1853" s="5"/>
      <c r="C1853" s="5"/>
    </row>
    <row r="1854" spans="1:3" x14ac:dyDescent="0.25">
      <c r="A1854" s="5"/>
      <c r="B1854" s="5"/>
      <c r="C1854" s="5"/>
    </row>
    <row r="1855" spans="1:3" x14ac:dyDescent="0.25">
      <c r="A1855" s="5"/>
      <c r="B1855" s="5"/>
      <c r="C1855" s="5"/>
    </row>
    <row r="1856" spans="1:3" x14ac:dyDescent="0.25">
      <c r="A1856" s="5"/>
      <c r="B1856" s="5"/>
      <c r="C1856" s="5"/>
    </row>
    <row r="1857" spans="1:3" x14ac:dyDescent="0.25">
      <c r="A1857" s="5"/>
      <c r="B1857" s="5"/>
      <c r="C1857" s="5"/>
    </row>
    <row r="1858" spans="1:3" x14ac:dyDescent="0.25">
      <c r="A1858" s="5"/>
      <c r="B1858" s="5"/>
      <c r="C1858" s="5"/>
    </row>
    <row r="1859" spans="1:3" x14ac:dyDescent="0.25">
      <c r="A1859" s="5"/>
      <c r="B1859" s="5"/>
      <c r="C1859" s="5"/>
    </row>
    <row r="1860" spans="1:3" x14ac:dyDescent="0.25">
      <c r="A1860" s="5"/>
      <c r="B1860" s="5"/>
      <c r="C1860" s="5"/>
    </row>
    <row r="1861" spans="1:3" x14ac:dyDescent="0.25">
      <c r="A1861" s="5"/>
      <c r="B1861" s="5"/>
      <c r="C1861" s="5"/>
    </row>
    <row r="1862" spans="1:3" x14ac:dyDescent="0.25">
      <c r="A1862" s="5"/>
      <c r="B1862" s="5"/>
      <c r="C1862" s="5"/>
    </row>
    <row r="1863" spans="1:3" x14ac:dyDescent="0.25">
      <c r="A1863" s="5"/>
      <c r="B1863" s="5"/>
      <c r="C1863" s="5"/>
    </row>
    <row r="1864" spans="1:3" x14ac:dyDescent="0.25">
      <c r="A1864" s="5"/>
      <c r="B1864" s="5"/>
      <c r="C1864" s="5"/>
    </row>
    <row r="1865" spans="1:3" x14ac:dyDescent="0.25">
      <c r="A1865" s="5"/>
      <c r="B1865" s="5"/>
      <c r="C1865" s="5"/>
    </row>
    <row r="1866" spans="1:3" x14ac:dyDescent="0.25">
      <c r="A1866" s="5"/>
      <c r="B1866" s="5"/>
      <c r="C1866" s="5"/>
    </row>
    <row r="1867" spans="1:3" x14ac:dyDescent="0.25">
      <c r="A1867" s="5"/>
      <c r="B1867" s="5"/>
      <c r="C1867" s="5"/>
    </row>
    <row r="1868" spans="1:3" x14ac:dyDescent="0.25">
      <c r="A1868" s="5"/>
      <c r="B1868" s="5"/>
      <c r="C1868" s="5"/>
    </row>
    <row r="1869" spans="1:3" x14ac:dyDescent="0.25">
      <c r="A1869" s="5"/>
      <c r="B1869" s="5"/>
      <c r="C1869" s="5"/>
    </row>
    <row r="1870" spans="1:3" x14ac:dyDescent="0.25">
      <c r="A1870" s="5"/>
      <c r="B1870" s="5"/>
      <c r="C1870" s="5"/>
    </row>
    <row r="1871" spans="1:3" x14ac:dyDescent="0.25">
      <c r="A1871" s="5"/>
      <c r="B1871" s="5"/>
      <c r="C1871" s="5"/>
    </row>
    <row r="1872" spans="1:3" x14ac:dyDescent="0.25">
      <c r="A1872" s="5"/>
      <c r="B1872" s="5"/>
      <c r="C1872" s="5"/>
    </row>
    <row r="1873" spans="1:3" x14ac:dyDescent="0.25">
      <c r="A1873" s="5"/>
      <c r="B1873" s="5"/>
      <c r="C1873" s="5"/>
    </row>
    <row r="1874" spans="1:3" x14ac:dyDescent="0.25">
      <c r="A1874" s="5"/>
      <c r="B1874" s="5"/>
      <c r="C1874" s="5"/>
    </row>
    <row r="1875" spans="1:3" x14ac:dyDescent="0.25">
      <c r="A1875" s="5"/>
      <c r="B1875" s="5"/>
      <c r="C1875" s="5"/>
    </row>
    <row r="1876" spans="1:3" x14ac:dyDescent="0.25">
      <c r="A1876" s="5"/>
      <c r="B1876" s="5"/>
      <c r="C1876" s="5"/>
    </row>
    <row r="1877" spans="1:3" x14ac:dyDescent="0.25">
      <c r="A1877" s="5"/>
      <c r="B1877" s="5"/>
      <c r="C1877" s="5"/>
    </row>
    <row r="1878" spans="1:3" x14ac:dyDescent="0.25">
      <c r="A1878" s="5"/>
      <c r="B1878" s="5"/>
      <c r="C1878" s="5"/>
    </row>
    <row r="1879" spans="1:3" x14ac:dyDescent="0.25">
      <c r="A1879" s="5"/>
      <c r="B1879" s="5"/>
      <c r="C1879" s="5"/>
    </row>
    <row r="1880" spans="1:3" x14ac:dyDescent="0.25">
      <c r="A1880" s="5"/>
      <c r="B1880" s="5"/>
      <c r="C1880" s="5"/>
    </row>
    <row r="1881" spans="1:3" x14ac:dyDescent="0.25">
      <c r="A1881" s="5"/>
      <c r="B1881" s="5"/>
      <c r="C1881" s="5"/>
    </row>
    <row r="1882" spans="1:3" x14ac:dyDescent="0.25">
      <c r="A1882" s="5"/>
      <c r="B1882" s="5"/>
      <c r="C1882" s="5"/>
    </row>
    <row r="1883" spans="1:3" x14ac:dyDescent="0.25">
      <c r="A1883" s="5"/>
      <c r="B1883" s="5"/>
      <c r="C1883" s="5"/>
    </row>
    <row r="1884" spans="1:3" x14ac:dyDescent="0.25">
      <c r="A1884" s="5"/>
      <c r="B1884" s="5"/>
      <c r="C1884" s="5"/>
    </row>
    <row r="1885" spans="1:3" x14ac:dyDescent="0.25">
      <c r="A1885" s="5"/>
      <c r="B1885" s="5"/>
      <c r="C1885" s="5"/>
    </row>
    <row r="1886" spans="1:3" x14ac:dyDescent="0.25">
      <c r="A1886" s="5"/>
      <c r="B1886" s="5"/>
      <c r="C1886" s="5"/>
    </row>
    <row r="1887" spans="1:3" x14ac:dyDescent="0.25">
      <c r="A1887" s="5"/>
      <c r="B1887" s="5"/>
      <c r="C1887" s="5"/>
    </row>
    <row r="1888" spans="1:3" x14ac:dyDescent="0.25">
      <c r="A1888" s="5"/>
      <c r="B1888" s="5"/>
      <c r="C1888" s="5"/>
    </row>
    <row r="1889" spans="1:3" x14ac:dyDescent="0.25">
      <c r="A1889" s="5"/>
      <c r="B1889" s="5"/>
      <c r="C1889" s="5"/>
    </row>
    <row r="1890" spans="1:3" x14ac:dyDescent="0.25">
      <c r="A1890" s="5"/>
      <c r="B1890" s="5"/>
      <c r="C1890" s="5"/>
    </row>
    <row r="1891" spans="1:3" x14ac:dyDescent="0.25">
      <c r="A1891" s="5"/>
      <c r="B1891" s="5"/>
      <c r="C1891" s="5"/>
    </row>
    <row r="1892" spans="1:3" x14ac:dyDescent="0.25">
      <c r="A1892" s="5"/>
      <c r="B1892" s="5"/>
      <c r="C1892" s="5"/>
    </row>
    <row r="1893" spans="1:3" x14ac:dyDescent="0.25">
      <c r="A1893" s="5"/>
      <c r="B1893" s="5"/>
      <c r="C1893" s="5"/>
    </row>
    <row r="1894" spans="1:3" x14ac:dyDescent="0.25">
      <c r="A1894" s="5"/>
      <c r="B1894" s="5"/>
      <c r="C1894" s="5"/>
    </row>
    <row r="1895" spans="1:3" x14ac:dyDescent="0.25">
      <c r="A1895" s="5"/>
      <c r="B1895" s="5"/>
      <c r="C1895" s="5"/>
    </row>
    <row r="1896" spans="1:3" x14ac:dyDescent="0.25">
      <c r="A1896" s="5"/>
      <c r="B1896" s="5"/>
      <c r="C1896" s="5"/>
    </row>
    <row r="1897" spans="1:3" x14ac:dyDescent="0.25">
      <c r="A1897" s="5"/>
      <c r="B1897" s="5"/>
      <c r="C1897" s="5"/>
    </row>
    <row r="1898" spans="1:3" x14ac:dyDescent="0.25">
      <c r="A1898" s="5"/>
      <c r="B1898" s="5"/>
      <c r="C1898" s="5"/>
    </row>
    <row r="1899" spans="1:3" x14ac:dyDescent="0.25">
      <c r="A1899" s="5"/>
      <c r="B1899" s="5"/>
      <c r="C1899" s="5"/>
    </row>
    <row r="1900" spans="1:3" x14ac:dyDescent="0.25">
      <c r="A1900" s="5"/>
      <c r="B1900" s="5"/>
      <c r="C1900" s="5"/>
    </row>
    <row r="1901" spans="1:3" x14ac:dyDescent="0.25">
      <c r="A1901" s="5"/>
      <c r="B1901" s="5"/>
      <c r="C1901" s="5"/>
    </row>
    <row r="1902" spans="1:3" x14ac:dyDescent="0.25">
      <c r="A1902" s="5"/>
      <c r="B1902" s="5"/>
      <c r="C1902" s="5"/>
    </row>
    <row r="1903" spans="1:3" x14ac:dyDescent="0.25">
      <c r="A1903" s="5"/>
      <c r="B1903" s="5"/>
      <c r="C1903" s="5"/>
    </row>
    <row r="1904" spans="1:3" x14ac:dyDescent="0.25">
      <c r="A1904" s="5"/>
      <c r="B1904" s="5"/>
      <c r="C1904" s="5"/>
    </row>
    <row r="1905" spans="1:3" x14ac:dyDescent="0.25">
      <c r="A1905" s="5"/>
      <c r="B1905" s="5"/>
      <c r="C1905" s="5"/>
    </row>
    <row r="1906" spans="1:3" x14ac:dyDescent="0.25">
      <c r="A1906" s="5"/>
      <c r="B1906" s="5"/>
      <c r="C1906" s="5"/>
    </row>
    <row r="1907" spans="1:3" x14ac:dyDescent="0.25">
      <c r="A1907" s="5"/>
      <c r="B1907" s="5"/>
      <c r="C1907" s="5"/>
    </row>
    <row r="1908" spans="1:3" x14ac:dyDescent="0.25">
      <c r="A1908" s="5"/>
      <c r="B1908" s="5"/>
      <c r="C1908" s="5"/>
    </row>
    <row r="1909" spans="1:3" x14ac:dyDescent="0.25">
      <c r="A1909" s="5"/>
      <c r="B1909" s="5"/>
      <c r="C1909" s="5"/>
    </row>
    <row r="1910" spans="1:3" x14ac:dyDescent="0.25">
      <c r="A1910" s="5"/>
      <c r="B1910" s="5"/>
      <c r="C1910" s="5"/>
    </row>
    <row r="1911" spans="1:3" x14ac:dyDescent="0.25">
      <c r="A1911" s="5"/>
      <c r="B1911" s="5"/>
      <c r="C1911" s="5"/>
    </row>
    <row r="1912" spans="1:3" x14ac:dyDescent="0.25">
      <c r="A1912" s="5"/>
      <c r="B1912" s="5"/>
      <c r="C1912" s="5"/>
    </row>
    <row r="1913" spans="1:3" x14ac:dyDescent="0.25">
      <c r="A1913" s="5"/>
      <c r="B1913" s="5"/>
      <c r="C1913" s="5"/>
    </row>
    <row r="1914" spans="1:3" x14ac:dyDescent="0.25">
      <c r="A1914" s="5"/>
      <c r="B1914" s="5"/>
      <c r="C1914" s="5"/>
    </row>
    <row r="1915" spans="1:3" x14ac:dyDescent="0.25">
      <c r="A1915" s="5"/>
      <c r="B1915" s="5"/>
      <c r="C1915" s="5"/>
    </row>
    <row r="1916" spans="1:3" x14ac:dyDescent="0.25">
      <c r="A1916" s="5"/>
      <c r="B1916" s="5"/>
      <c r="C1916" s="5"/>
    </row>
    <row r="1917" spans="1:3" x14ac:dyDescent="0.25">
      <c r="A1917" s="5"/>
      <c r="B1917" s="5"/>
      <c r="C1917" s="5"/>
    </row>
    <row r="1918" spans="1:3" x14ac:dyDescent="0.25">
      <c r="A1918" s="5"/>
      <c r="B1918" s="5"/>
      <c r="C1918" s="5"/>
    </row>
    <row r="1919" spans="1:3" x14ac:dyDescent="0.25">
      <c r="A1919" s="5"/>
      <c r="B1919" s="5"/>
      <c r="C1919" s="5"/>
    </row>
    <row r="1920" spans="1:3" x14ac:dyDescent="0.25">
      <c r="A1920" s="5"/>
      <c r="B1920" s="5"/>
      <c r="C1920" s="5"/>
    </row>
    <row r="1921" spans="1:3" x14ac:dyDescent="0.25">
      <c r="A1921" s="5"/>
      <c r="B1921" s="5"/>
      <c r="C1921" s="5"/>
    </row>
    <row r="1922" spans="1:3" x14ac:dyDescent="0.25">
      <c r="A1922" s="5"/>
      <c r="B1922" s="5"/>
      <c r="C1922" s="5"/>
    </row>
    <row r="1923" spans="1:3" x14ac:dyDescent="0.25">
      <c r="A1923" s="5"/>
      <c r="B1923" s="5"/>
      <c r="C1923" s="5"/>
    </row>
    <row r="1924" spans="1:3" x14ac:dyDescent="0.25">
      <c r="A1924" s="5"/>
      <c r="B1924" s="5"/>
      <c r="C1924" s="5"/>
    </row>
    <row r="1925" spans="1:3" x14ac:dyDescent="0.25">
      <c r="A1925" s="5"/>
      <c r="B1925" s="5"/>
      <c r="C1925" s="5"/>
    </row>
    <row r="1926" spans="1:3" x14ac:dyDescent="0.25">
      <c r="A1926" s="5"/>
      <c r="B1926" s="5"/>
      <c r="C1926" s="5"/>
    </row>
    <row r="1927" spans="1:3" x14ac:dyDescent="0.25">
      <c r="A1927" s="5"/>
      <c r="B1927" s="5"/>
      <c r="C1927" s="5"/>
    </row>
    <row r="1928" spans="1:3" x14ac:dyDescent="0.25">
      <c r="A1928" s="5"/>
      <c r="B1928" s="5"/>
      <c r="C1928" s="5"/>
    </row>
    <row r="1929" spans="1:3" x14ac:dyDescent="0.25">
      <c r="A1929" s="5"/>
      <c r="B1929" s="5"/>
      <c r="C1929" s="5"/>
    </row>
    <row r="1930" spans="1:3" x14ac:dyDescent="0.25">
      <c r="A1930" s="5"/>
      <c r="B1930" s="5"/>
      <c r="C1930" s="5"/>
    </row>
    <row r="1931" spans="1:3" x14ac:dyDescent="0.25">
      <c r="A1931" s="5"/>
      <c r="B1931" s="5"/>
      <c r="C1931" s="5"/>
    </row>
    <row r="1932" spans="1:3" x14ac:dyDescent="0.25">
      <c r="A1932" s="5"/>
      <c r="B1932" s="5"/>
      <c r="C1932" s="5"/>
    </row>
    <row r="1933" spans="1:3" x14ac:dyDescent="0.25">
      <c r="A1933" s="5"/>
      <c r="B1933" s="5"/>
      <c r="C1933" s="5"/>
    </row>
    <row r="1934" spans="1:3" x14ac:dyDescent="0.25">
      <c r="A1934" s="5"/>
      <c r="B1934" s="5"/>
      <c r="C1934" s="5"/>
    </row>
    <row r="1935" spans="1:3" x14ac:dyDescent="0.25">
      <c r="A1935" s="5"/>
      <c r="B1935" s="5"/>
      <c r="C1935" s="5"/>
    </row>
    <row r="1936" spans="1:3" x14ac:dyDescent="0.25">
      <c r="A1936" s="5"/>
      <c r="B1936" s="5"/>
      <c r="C1936" s="5"/>
    </row>
    <row r="1937" spans="1:3" x14ac:dyDescent="0.25">
      <c r="A1937" s="5"/>
      <c r="B1937" s="5"/>
      <c r="C1937" s="5"/>
    </row>
    <row r="1938" spans="1:3" x14ac:dyDescent="0.25">
      <c r="A1938" s="5"/>
      <c r="B1938" s="5"/>
      <c r="C1938" s="5"/>
    </row>
    <row r="1939" spans="1:3" x14ac:dyDescent="0.25">
      <c r="A1939" s="5"/>
      <c r="B1939" s="5"/>
      <c r="C1939" s="5"/>
    </row>
    <row r="1940" spans="1:3" x14ac:dyDescent="0.25">
      <c r="A1940" s="5"/>
      <c r="B1940" s="5"/>
      <c r="C1940" s="5"/>
    </row>
    <row r="1941" spans="1:3" x14ac:dyDescent="0.25">
      <c r="A1941" s="5"/>
      <c r="B1941" s="5"/>
      <c r="C1941" s="5"/>
    </row>
    <row r="1942" spans="1:3" x14ac:dyDescent="0.25">
      <c r="A1942" s="5"/>
      <c r="B1942" s="5"/>
      <c r="C1942" s="5"/>
    </row>
    <row r="1943" spans="1:3" x14ac:dyDescent="0.25">
      <c r="A1943" s="5"/>
      <c r="B1943" s="5"/>
      <c r="C1943" s="5"/>
    </row>
    <row r="1944" spans="1:3" x14ac:dyDescent="0.25">
      <c r="A1944" s="5"/>
      <c r="B1944" s="5"/>
      <c r="C1944" s="5"/>
    </row>
    <row r="1945" spans="1:3" x14ac:dyDescent="0.25">
      <c r="A1945" s="5"/>
      <c r="B1945" s="5"/>
      <c r="C1945" s="5"/>
    </row>
    <row r="1946" spans="1:3" x14ac:dyDescent="0.25">
      <c r="A1946" s="5"/>
      <c r="B1946" s="5"/>
      <c r="C1946" s="5"/>
    </row>
    <row r="1947" spans="1:3" x14ac:dyDescent="0.25">
      <c r="A1947" s="5"/>
      <c r="B1947" s="5"/>
      <c r="C1947" s="5"/>
    </row>
    <row r="1948" spans="1:3" x14ac:dyDescent="0.25">
      <c r="A1948" s="5"/>
      <c r="B1948" s="5"/>
      <c r="C1948" s="5"/>
    </row>
    <row r="1949" spans="1:3" x14ac:dyDescent="0.25">
      <c r="A1949" s="5"/>
      <c r="B1949" s="5"/>
      <c r="C1949" s="5"/>
    </row>
    <row r="1950" spans="1:3" x14ac:dyDescent="0.25">
      <c r="A1950" s="5"/>
      <c r="B1950" s="5"/>
      <c r="C1950" s="5"/>
    </row>
    <row r="1951" spans="1:3" x14ac:dyDescent="0.25">
      <c r="A1951" s="5"/>
      <c r="B1951" s="5"/>
      <c r="C1951" s="5"/>
    </row>
    <row r="1952" spans="1:3" x14ac:dyDescent="0.25">
      <c r="A1952" s="5"/>
      <c r="B1952" s="5"/>
      <c r="C1952" s="5"/>
    </row>
    <row r="1953" spans="1:3" x14ac:dyDescent="0.25">
      <c r="A1953" s="5"/>
      <c r="B1953" s="5"/>
      <c r="C1953" s="5"/>
    </row>
    <row r="1954" spans="1:3" x14ac:dyDescent="0.25">
      <c r="A1954" s="5"/>
      <c r="B1954" s="5"/>
      <c r="C1954" s="5"/>
    </row>
    <row r="1955" spans="1:3" x14ac:dyDescent="0.25">
      <c r="A1955" s="5"/>
      <c r="B1955" s="5"/>
      <c r="C1955" s="5"/>
    </row>
    <row r="1956" spans="1:3" x14ac:dyDescent="0.25">
      <c r="A1956" s="5"/>
      <c r="B1956" s="5"/>
      <c r="C1956" s="5"/>
    </row>
    <row r="1957" spans="1:3" x14ac:dyDescent="0.25">
      <c r="A1957" s="5"/>
      <c r="B1957" s="5"/>
      <c r="C1957" s="5"/>
    </row>
    <row r="1958" spans="1:3" x14ac:dyDescent="0.25">
      <c r="A1958" s="5"/>
      <c r="B1958" s="5"/>
      <c r="C1958" s="5"/>
    </row>
    <row r="1959" spans="1:3" x14ac:dyDescent="0.25">
      <c r="A1959" s="5"/>
      <c r="B1959" s="5"/>
      <c r="C1959" s="5"/>
    </row>
    <row r="1960" spans="1:3" x14ac:dyDescent="0.25">
      <c r="A1960" s="5"/>
      <c r="B1960" s="5"/>
      <c r="C1960" s="5"/>
    </row>
    <row r="1961" spans="1:3" x14ac:dyDescent="0.25">
      <c r="A1961" s="5"/>
      <c r="B1961" s="5"/>
      <c r="C1961" s="5"/>
    </row>
    <row r="1962" spans="1:3" x14ac:dyDescent="0.25">
      <c r="A1962" s="5"/>
      <c r="B1962" s="5"/>
      <c r="C1962" s="5"/>
    </row>
    <row r="1963" spans="1:3" x14ac:dyDescent="0.25">
      <c r="A1963" s="5"/>
      <c r="B1963" s="5"/>
      <c r="C1963" s="5"/>
    </row>
    <row r="1964" spans="1:3" x14ac:dyDescent="0.25">
      <c r="A1964" s="5"/>
      <c r="B1964" s="5"/>
      <c r="C1964" s="5"/>
    </row>
    <row r="1965" spans="1:3" x14ac:dyDescent="0.25">
      <c r="A1965" s="5"/>
      <c r="B1965" s="5"/>
      <c r="C1965" s="5"/>
    </row>
    <row r="1966" spans="1:3" x14ac:dyDescent="0.25">
      <c r="A1966" s="5"/>
      <c r="B1966" s="5"/>
      <c r="C1966" s="5"/>
    </row>
    <row r="1967" spans="1:3" x14ac:dyDescent="0.25">
      <c r="A1967" s="5"/>
      <c r="B1967" s="5"/>
      <c r="C1967" s="5"/>
    </row>
    <row r="1968" spans="1:3" x14ac:dyDescent="0.25">
      <c r="A1968" s="5"/>
      <c r="B1968" s="5"/>
      <c r="C1968" s="5"/>
    </row>
    <row r="1969" spans="1:3" x14ac:dyDescent="0.25">
      <c r="A1969" s="5"/>
      <c r="B1969" s="5"/>
      <c r="C1969" s="5"/>
    </row>
    <row r="1970" spans="1:3" x14ac:dyDescent="0.25">
      <c r="A1970" s="5"/>
      <c r="B1970" s="5"/>
      <c r="C1970" s="5"/>
    </row>
    <row r="1971" spans="1:3" x14ac:dyDescent="0.25">
      <c r="A1971" s="5"/>
      <c r="B1971" s="5"/>
      <c r="C1971" s="5"/>
    </row>
    <row r="1972" spans="1:3" x14ac:dyDescent="0.25">
      <c r="A1972" s="5"/>
      <c r="B1972" s="5"/>
      <c r="C1972" s="5"/>
    </row>
    <row r="1973" spans="1:3" x14ac:dyDescent="0.25">
      <c r="A1973" s="5"/>
      <c r="B1973" s="5"/>
      <c r="C1973" s="5"/>
    </row>
    <row r="1974" spans="1:3" x14ac:dyDescent="0.25">
      <c r="A1974" s="5"/>
      <c r="B1974" s="5"/>
      <c r="C1974" s="5"/>
    </row>
    <row r="1975" spans="1:3" x14ac:dyDescent="0.25">
      <c r="A1975" s="5"/>
      <c r="B1975" s="5"/>
      <c r="C1975" s="5"/>
    </row>
    <row r="1976" spans="1:3" x14ac:dyDescent="0.25">
      <c r="A1976" s="5"/>
      <c r="B1976" s="5"/>
      <c r="C1976" s="5"/>
    </row>
    <row r="1977" spans="1:3" x14ac:dyDescent="0.25">
      <c r="A1977" s="5"/>
      <c r="B1977" s="5"/>
      <c r="C1977" s="5"/>
    </row>
    <row r="1978" spans="1:3" x14ac:dyDescent="0.25">
      <c r="A1978" s="5"/>
      <c r="B1978" s="5"/>
      <c r="C1978" s="5"/>
    </row>
    <row r="1979" spans="1:3" x14ac:dyDescent="0.25">
      <c r="A1979" s="5"/>
      <c r="B1979" s="5"/>
      <c r="C1979" s="5"/>
    </row>
    <row r="1980" spans="1:3" x14ac:dyDescent="0.25">
      <c r="A1980" s="5"/>
      <c r="B1980" s="5"/>
      <c r="C1980" s="5"/>
    </row>
    <row r="1981" spans="1:3" x14ac:dyDescent="0.25">
      <c r="A1981" s="5"/>
      <c r="B1981" s="5"/>
      <c r="C1981" s="5"/>
    </row>
    <row r="1982" spans="1:3" x14ac:dyDescent="0.25">
      <c r="A1982" s="5"/>
      <c r="B1982" s="5"/>
      <c r="C1982" s="5"/>
    </row>
    <row r="1983" spans="1:3" x14ac:dyDescent="0.25">
      <c r="A1983" s="5"/>
      <c r="B1983" s="5"/>
      <c r="C1983" s="5"/>
    </row>
    <row r="1984" spans="1:3" x14ac:dyDescent="0.25">
      <c r="A1984" s="5"/>
      <c r="B1984" s="5"/>
      <c r="C1984" s="5"/>
    </row>
    <row r="1985" spans="1:3" x14ac:dyDescent="0.25">
      <c r="A1985" s="5"/>
      <c r="B1985" s="5"/>
      <c r="C1985" s="5"/>
    </row>
    <row r="1986" spans="1:3" x14ac:dyDescent="0.25">
      <c r="A1986" s="5"/>
      <c r="B1986" s="5"/>
      <c r="C1986" s="5"/>
    </row>
    <row r="1987" spans="1:3" x14ac:dyDescent="0.25">
      <c r="A1987" s="5"/>
      <c r="B1987" s="5"/>
      <c r="C1987" s="5"/>
    </row>
    <row r="1988" spans="1:3" x14ac:dyDescent="0.25">
      <c r="A1988" s="5"/>
      <c r="B1988" s="5"/>
      <c r="C1988" s="5"/>
    </row>
    <row r="1989" spans="1:3" x14ac:dyDescent="0.25">
      <c r="A1989" s="5"/>
      <c r="B1989" s="5"/>
      <c r="C1989" s="5"/>
    </row>
    <row r="1990" spans="1:3" x14ac:dyDescent="0.25">
      <c r="A1990" s="5"/>
      <c r="B1990" s="5"/>
      <c r="C1990" s="5"/>
    </row>
    <row r="1991" spans="1:3" x14ac:dyDescent="0.25">
      <c r="A1991" s="5"/>
      <c r="B1991" s="5"/>
      <c r="C1991" s="5"/>
    </row>
    <row r="1992" spans="1:3" x14ac:dyDescent="0.25">
      <c r="A1992" s="5"/>
      <c r="B1992" s="5"/>
      <c r="C1992" s="5"/>
    </row>
    <row r="1993" spans="1:3" x14ac:dyDescent="0.25">
      <c r="A1993" s="5"/>
      <c r="B1993" s="5"/>
      <c r="C1993" s="5"/>
    </row>
    <row r="1994" spans="1:3" x14ac:dyDescent="0.25">
      <c r="A1994" s="5"/>
      <c r="B1994" s="5"/>
      <c r="C1994" s="5"/>
    </row>
    <row r="1995" spans="1:3" x14ac:dyDescent="0.25">
      <c r="A1995" s="5"/>
      <c r="B1995" s="5"/>
      <c r="C1995" s="5"/>
    </row>
    <row r="1996" spans="1:3" x14ac:dyDescent="0.25">
      <c r="A1996" s="5"/>
      <c r="B1996" s="5"/>
      <c r="C1996" s="5"/>
    </row>
    <row r="1997" spans="1:3" x14ac:dyDescent="0.25">
      <c r="A1997" s="5"/>
      <c r="B1997" s="5"/>
      <c r="C1997" s="5"/>
    </row>
    <row r="1998" spans="1:3" x14ac:dyDescent="0.25">
      <c r="A1998" s="5"/>
      <c r="B1998" s="5"/>
      <c r="C1998" s="5"/>
    </row>
    <row r="1999" spans="1:3" x14ac:dyDescent="0.25">
      <c r="A1999" s="5"/>
      <c r="B1999" s="5"/>
      <c r="C1999" s="5"/>
    </row>
    <row r="2000" spans="1:3" x14ac:dyDescent="0.25">
      <c r="A2000" s="5"/>
      <c r="B2000" s="5"/>
      <c r="C2000" s="5"/>
    </row>
    <row r="2001" spans="1:3" x14ac:dyDescent="0.25">
      <c r="A2001" s="5"/>
      <c r="B2001" s="5"/>
      <c r="C2001" s="5"/>
    </row>
    <row r="2002" spans="1:3" x14ac:dyDescent="0.25">
      <c r="A2002" s="5"/>
      <c r="B2002" s="5"/>
      <c r="C2002" s="5"/>
    </row>
    <row r="2003" spans="1:3" x14ac:dyDescent="0.25">
      <c r="A2003" s="5"/>
      <c r="B2003" s="5"/>
      <c r="C2003" s="5"/>
    </row>
    <row r="2004" spans="1:3" x14ac:dyDescent="0.25">
      <c r="A2004" s="5"/>
      <c r="B2004" s="5"/>
      <c r="C2004" s="5"/>
    </row>
    <row r="2005" spans="1:3" x14ac:dyDescent="0.25">
      <c r="A2005" s="5"/>
      <c r="B2005" s="5"/>
      <c r="C2005" s="5"/>
    </row>
    <row r="2006" spans="1:3" x14ac:dyDescent="0.25">
      <c r="A2006" s="5"/>
      <c r="B2006" s="5"/>
      <c r="C2006" s="5"/>
    </row>
    <row r="2007" spans="1:3" x14ac:dyDescent="0.25">
      <c r="A2007" s="5"/>
      <c r="B2007" s="5"/>
      <c r="C2007" s="5"/>
    </row>
    <row r="2008" spans="1:3" x14ac:dyDescent="0.25">
      <c r="A2008" s="5"/>
      <c r="B2008" s="5"/>
      <c r="C2008" s="5"/>
    </row>
    <row r="2009" spans="1:3" x14ac:dyDescent="0.25">
      <c r="A2009" s="5"/>
      <c r="B2009" s="5"/>
      <c r="C2009" s="5"/>
    </row>
    <row r="2010" spans="1:3" x14ac:dyDescent="0.25">
      <c r="A2010" s="5"/>
      <c r="B2010" s="5"/>
      <c r="C2010" s="5"/>
    </row>
    <row r="2011" spans="1:3" x14ac:dyDescent="0.25">
      <c r="A2011" s="5"/>
      <c r="B2011" s="5"/>
      <c r="C2011" s="5"/>
    </row>
    <row r="2012" spans="1:3" x14ac:dyDescent="0.25">
      <c r="A2012" s="5"/>
      <c r="B2012" s="5"/>
      <c r="C2012" s="5"/>
    </row>
    <row r="2013" spans="1:3" x14ac:dyDescent="0.25">
      <c r="A2013" s="5"/>
      <c r="B2013" s="5"/>
      <c r="C2013" s="5"/>
    </row>
    <row r="2014" spans="1:3" x14ac:dyDescent="0.25">
      <c r="A2014" s="5"/>
      <c r="B2014" s="5"/>
      <c r="C2014" s="5"/>
    </row>
    <row r="2015" spans="1:3" x14ac:dyDescent="0.25">
      <c r="A2015" s="5"/>
      <c r="B2015" s="5"/>
      <c r="C2015" s="5"/>
    </row>
    <row r="2016" spans="1:3" x14ac:dyDescent="0.25">
      <c r="A2016" s="5"/>
      <c r="B2016" s="5"/>
      <c r="C2016" s="5"/>
    </row>
    <row r="2017" spans="1:3" x14ac:dyDescent="0.25">
      <c r="A2017" s="5"/>
      <c r="B2017" s="5"/>
      <c r="C2017" s="5"/>
    </row>
    <row r="2018" spans="1:3" x14ac:dyDescent="0.25">
      <c r="A2018" s="5"/>
      <c r="B2018" s="5"/>
      <c r="C2018" s="5"/>
    </row>
    <row r="2019" spans="1:3" x14ac:dyDescent="0.25">
      <c r="A2019" s="5"/>
      <c r="B2019" s="5"/>
      <c r="C2019" s="5"/>
    </row>
    <row r="2020" spans="1:3" x14ac:dyDescent="0.25">
      <c r="A2020" s="5"/>
      <c r="B2020" s="5"/>
      <c r="C2020" s="5"/>
    </row>
    <row r="2021" spans="1:3" x14ac:dyDescent="0.25">
      <c r="A2021" s="5"/>
      <c r="B2021" s="5"/>
      <c r="C2021" s="5"/>
    </row>
    <row r="2022" spans="1:3" x14ac:dyDescent="0.25">
      <c r="A2022" s="5"/>
      <c r="B2022" s="5"/>
      <c r="C2022" s="5"/>
    </row>
    <row r="2023" spans="1:3" x14ac:dyDescent="0.25">
      <c r="A2023" s="5"/>
      <c r="B2023" s="5"/>
      <c r="C2023" s="5"/>
    </row>
    <row r="2024" spans="1:3" x14ac:dyDescent="0.25">
      <c r="A2024" s="5"/>
      <c r="B2024" s="5"/>
      <c r="C2024" s="5"/>
    </row>
    <row r="2025" spans="1:3" x14ac:dyDescent="0.25">
      <c r="A2025" s="5"/>
      <c r="B2025" s="5"/>
      <c r="C2025" s="5"/>
    </row>
    <row r="2026" spans="1:3" x14ac:dyDescent="0.25">
      <c r="A2026" s="5"/>
      <c r="B2026" s="5"/>
      <c r="C2026" s="5"/>
    </row>
    <row r="2027" spans="1:3" x14ac:dyDescent="0.25">
      <c r="A2027" s="5"/>
      <c r="B2027" s="5"/>
      <c r="C2027" s="5"/>
    </row>
    <row r="2028" spans="1:3" x14ac:dyDescent="0.25">
      <c r="A2028" s="5"/>
      <c r="B2028" s="5"/>
      <c r="C2028" s="5"/>
    </row>
    <row r="2029" spans="1:3" x14ac:dyDescent="0.25">
      <c r="A2029" s="5"/>
      <c r="B2029" s="5"/>
      <c r="C2029" s="5"/>
    </row>
    <row r="2030" spans="1:3" x14ac:dyDescent="0.25">
      <c r="A2030" s="5"/>
      <c r="B2030" s="5"/>
      <c r="C2030" s="5"/>
    </row>
    <row r="2031" spans="1:3" x14ac:dyDescent="0.25">
      <c r="A2031" s="5"/>
      <c r="B2031" s="5"/>
      <c r="C2031" s="5"/>
    </row>
    <row r="2032" spans="1:3" x14ac:dyDescent="0.25">
      <c r="A2032" s="5"/>
      <c r="B2032" s="5"/>
      <c r="C2032" s="5"/>
    </row>
    <row r="2033" spans="1:3" x14ac:dyDescent="0.25">
      <c r="A2033" s="5"/>
      <c r="B2033" s="5"/>
      <c r="C2033" s="5"/>
    </row>
    <row r="2034" spans="1:3" x14ac:dyDescent="0.25">
      <c r="A2034" s="5"/>
      <c r="B2034" s="5"/>
      <c r="C2034" s="5"/>
    </row>
    <row r="2035" spans="1:3" x14ac:dyDescent="0.25">
      <c r="A2035" s="5"/>
      <c r="B2035" s="5"/>
      <c r="C2035" s="5"/>
    </row>
    <row r="2036" spans="1:3" x14ac:dyDescent="0.25">
      <c r="A2036" s="5"/>
      <c r="B2036" s="5"/>
      <c r="C2036" s="5"/>
    </row>
    <row r="2037" spans="1:3" x14ac:dyDescent="0.25">
      <c r="A2037" s="5"/>
      <c r="B2037" s="5"/>
      <c r="C2037" s="5"/>
    </row>
    <row r="2038" spans="1:3" x14ac:dyDescent="0.25">
      <c r="A2038" s="5"/>
      <c r="B2038" s="5"/>
      <c r="C2038" s="5"/>
    </row>
    <row r="2039" spans="1:3" x14ac:dyDescent="0.25">
      <c r="A2039" s="5"/>
      <c r="B2039" s="5"/>
      <c r="C2039" s="5"/>
    </row>
    <row r="2040" spans="1:3" x14ac:dyDescent="0.25">
      <c r="A2040" s="5"/>
      <c r="B2040" s="5"/>
      <c r="C2040" s="5"/>
    </row>
    <row r="2041" spans="1:3" x14ac:dyDescent="0.25">
      <c r="A2041" s="5"/>
      <c r="B2041" s="5"/>
      <c r="C2041" s="5"/>
    </row>
    <row r="2042" spans="1:3" x14ac:dyDescent="0.25">
      <c r="A2042" s="5"/>
      <c r="B2042" s="5"/>
      <c r="C2042" s="5"/>
    </row>
    <row r="2043" spans="1:3" x14ac:dyDescent="0.25">
      <c r="A2043" s="5"/>
      <c r="B2043" s="5"/>
      <c r="C2043" s="5"/>
    </row>
    <row r="2044" spans="1:3" x14ac:dyDescent="0.25">
      <c r="A2044" s="5"/>
      <c r="B2044" s="5"/>
      <c r="C2044" s="5"/>
    </row>
    <row r="2045" spans="1:3" x14ac:dyDescent="0.25">
      <c r="A2045" s="5"/>
      <c r="B2045" s="5"/>
      <c r="C2045" s="5"/>
    </row>
    <row r="2046" spans="1:3" x14ac:dyDescent="0.25">
      <c r="A2046" s="5"/>
      <c r="B2046" s="5"/>
      <c r="C2046" s="5"/>
    </row>
    <row r="2047" spans="1:3" x14ac:dyDescent="0.25">
      <c r="A2047" s="5"/>
      <c r="B2047" s="5"/>
      <c r="C2047" s="5"/>
    </row>
    <row r="2048" spans="1:3" x14ac:dyDescent="0.25">
      <c r="A2048" s="5"/>
      <c r="B2048" s="5"/>
      <c r="C2048" s="5"/>
    </row>
    <row r="2049" spans="1:3" x14ac:dyDescent="0.25">
      <c r="A2049" s="5"/>
      <c r="B2049" s="5"/>
      <c r="C2049" s="5"/>
    </row>
    <row r="2050" spans="1:3" x14ac:dyDescent="0.25">
      <c r="A2050" s="5"/>
      <c r="B2050" s="5"/>
      <c r="C2050" s="5"/>
    </row>
    <row r="2051" spans="1:3" x14ac:dyDescent="0.25">
      <c r="A2051" s="5"/>
      <c r="B2051" s="5"/>
      <c r="C2051" s="5"/>
    </row>
    <row r="2052" spans="1:3" x14ac:dyDescent="0.25">
      <c r="A2052" s="5"/>
      <c r="B2052" s="5"/>
      <c r="C2052" s="5"/>
    </row>
    <row r="2053" spans="1:3" x14ac:dyDescent="0.25">
      <c r="A2053" s="5"/>
      <c r="B2053" s="5"/>
      <c r="C2053" s="5"/>
    </row>
    <row r="2054" spans="1:3" x14ac:dyDescent="0.25">
      <c r="A2054" s="5"/>
      <c r="B2054" s="5"/>
      <c r="C2054" s="5"/>
    </row>
    <row r="2055" spans="1:3" x14ac:dyDescent="0.25">
      <c r="A2055" s="5"/>
      <c r="B2055" s="5"/>
      <c r="C2055" s="5"/>
    </row>
    <row r="2056" spans="1:3" x14ac:dyDescent="0.25">
      <c r="A2056" s="5"/>
      <c r="B2056" s="5"/>
      <c r="C2056" s="5"/>
    </row>
    <row r="2057" spans="1:3" x14ac:dyDescent="0.25">
      <c r="A2057" s="5"/>
      <c r="B2057" s="5"/>
      <c r="C2057" s="5"/>
    </row>
    <row r="2058" spans="1:3" x14ac:dyDescent="0.25">
      <c r="A2058" s="5"/>
      <c r="B2058" s="5"/>
      <c r="C2058" s="5"/>
    </row>
    <row r="2059" spans="1:3" x14ac:dyDescent="0.25">
      <c r="A2059" s="5"/>
      <c r="B2059" s="5"/>
      <c r="C2059" s="5"/>
    </row>
    <row r="2060" spans="1:3" x14ac:dyDescent="0.25">
      <c r="A2060" s="5"/>
      <c r="B2060" s="5"/>
      <c r="C2060" s="5"/>
    </row>
    <row r="2061" spans="1:3" x14ac:dyDescent="0.25">
      <c r="A2061" s="5"/>
      <c r="B2061" s="5"/>
      <c r="C2061" s="5"/>
    </row>
    <row r="2062" spans="1:3" x14ac:dyDescent="0.25">
      <c r="A2062" s="5"/>
      <c r="B2062" s="5"/>
      <c r="C2062" s="5"/>
    </row>
    <row r="2063" spans="1:3" x14ac:dyDescent="0.25">
      <c r="A2063" s="5"/>
      <c r="B2063" s="5"/>
      <c r="C2063" s="5"/>
    </row>
    <row r="2064" spans="1:3" x14ac:dyDescent="0.25">
      <c r="A2064" s="5"/>
      <c r="B2064" s="5"/>
      <c r="C2064" s="5"/>
    </row>
    <row r="2065" spans="1:3" x14ac:dyDescent="0.25">
      <c r="A2065" s="5"/>
      <c r="B2065" s="5"/>
      <c r="C2065" s="5"/>
    </row>
    <row r="2066" spans="1:3" x14ac:dyDescent="0.25">
      <c r="A2066" s="5"/>
      <c r="B2066" s="5"/>
      <c r="C2066" s="5"/>
    </row>
    <row r="2067" spans="1:3" x14ac:dyDescent="0.25">
      <c r="A2067" s="5"/>
      <c r="B2067" s="5"/>
      <c r="C2067" s="5"/>
    </row>
    <row r="2068" spans="1:3" x14ac:dyDescent="0.25">
      <c r="A2068" s="5"/>
      <c r="B2068" s="5"/>
      <c r="C2068" s="5"/>
    </row>
    <row r="2069" spans="1:3" x14ac:dyDescent="0.25">
      <c r="A2069" s="5"/>
      <c r="B2069" s="5"/>
      <c r="C2069" s="5"/>
    </row>
    <row r="2070" spans="1:3" x14ac:dyDescent="0.25">
      <c r="A2070" s="5"/>
      <c r="B2070" s="5"/>
      <c r="C2070" s="5"/>
    </row>
    <row r="2071" spans="1:3" x14ac:dyDescent="0.25">
      <c r="A2071" s="5"/>
      <c r="B2071" s="5"/>
      <c r="C2071" s="5"/>
    </row>
    <row r="2072" spans="1:3" x14ac:dyDescent="0.25">
      <c r="A2072" s="5"/>
      <c r="B2072" s="5"/>
      <c r="C2072" s="5"/>
    </row>
    <row r="2073" spans="1:3" x14ac:dyDescent="0.25">
      <c r="A2073" s="5"/>
      <c r="B2073" s="5"/>
      <c r="C2073" s="5"/>
    </row>
    <row r="2074" spans="1:3" x14ac:dyDescent="0.25">
      <c r="A2074" s="5"/>
      <c r="B2074" s="5"/>
      <c r="C2074" s="5"/>
    </row>
    <row r="2075" spans="1:3" x14ac:dyDescent="0.25">
      <c r="A2075" s="5"/>
      <c r="B2075" s="5"/>
      <c r="C2075" s="5"/>
    </row>
    <row r="2076" spans="1:3" x14ac:dyDescent="0.25">
      <c r="A2076" s="5"/>
      <c r="B2076" s="5"/>
      <c r="C2076" s="5"/>
    </row>
    <row r="2077" spans="1:3" x14ac:dyDescent="0.25">
      <c r="A2077" s="5"/>
      <c r="B2077" s="5"/>
      <c r="C2077" s="5"/>
    </row>
    <row r="2078" spans="1:3" x14ac:dyDescent="0.25">
      <c r="A2078" s="5"/>
      <c r="B2078" s="5"/>
      <c r="C2078" s="5"/>
    </row>
    <row r="2079" spans="1:3" x14ac:dyDescent="0.25">
      <c r="A2079" s="5"/>
      <c r="B2079" s="5"/>
      <c r="C2079" s="5"/>
    </row>
    <row r="2080" spans="1:3" x14ac:dyDescent="0.25">
      <c r="A2080" s="5"/>
      <c r="B2080" s="5"/>
      <c r="C2080" s="5"/>
    </row>
    <row r="2081" spans="1:3" x14ac:dyDescent="0.25">
      <c r="A2081" s="5"/>
      <c r="B2081" s="5"/>
      <c r="C2081" s="5"/>
    </row>
    <row r="2082" spans="1:3" x14ac:dyDescent="0.25">
      <c r="A2082" s="5"/>
      <c r="B2082" s="5"/>
      <c r="C2082" s="5"/>
    </row>
    <row r="2083" spans="1:3" x14ac:dyDescent="0.25">
      <c r="A2083" s="5"/>
      <c r="B2083" s="5"/>
      <c r="C2083" s="5"/>
    </row>
    <row r="2084" spans="1:3" x14ac:dyDescent="0.25">
      <c r="A2084" s="5"/>
      <c r="B2084" s="5"/>
      <c r="C2084" s="5"/>
    </row>
    <row r="2085" spans="1:3" x14ac:dyDescent="0.25">
      <c r="A2085" s="5"/>
      <c r="B2085" s="5"/>
      <c r="C2085" s="5"/>
    </row>
    <row r="2086" spans="1:3" x14ac:dyDescent="0.25">
      <c r="A2086" s="5"/>
      <c r="B2086" s="5"/>
      <c r="C2086" s="5"/>
    </row>
    <row r="2087" spans="1:3" x14ac:dyDescent="0.25">
      <c r="A2087" s="5"/>
      <c r="B2087" s="5"/>
      <c r="C2087" s="5"/>
    </row>
    <row r="2088" spans="1:3" x14ac:dyDescent="0.25">
      <c r="A2088" s="5"/>
      <c r="B2088" s="5"/>
      <c r="C2088" s="5"/>
    </row>
    <row r="2089" spans="1:3" x14ac:dyDescent="0.25">
      <c r="A2089" s="5"/>
      <c r="B2089" s="5"/>
      <c r="C2089" s="5"/>
    </row>
    <row r="2090" spans="1:3" x14ac:dyDescent="0.25">
      <c r="A2090" s="5"/>
      <c r="B2090" s="5"/>
      <c r="C2090" s="5"/>
    </row>
    <row r="2091" spans="1:3" x14ac:dyDescent="0.25">
      <c r="A2091" s="5"/>
      <c r="B2091" s="5"/>
      <c r="C2091" s="5"/>
    </row>
    <row r="2092" spans="1:3" x14ac:dyDescent="0.25">
      <c r="A2092" s="5"/>
      <c r="B2092" s="5"/>
      <c r="C2092" s="5"/>
    </row>
    <row r="2093" spans="1:3" x14ac:dyDescent="0.25">
      <c r="A2093" s="5"/>
      <c r="B2093" s="5"/>
      <c r="C2093" s="5"/>
    </row>
    <row r="2094" spans="1:3" x14ac:dyDescent="0.25">
      <c r="A2094" s="5"/>
      <c r="B2094" s="5"/>
      <c r="C2094" s="5"/>
    </row>
    <row r="2095" spans="1:3" x14ac:dyDescent="0.25">
      <c r="A2095" s="5"/>
      <c r="B2095" s="5"/>
      <c r="C2095" s="5"/>
    </row>
    <row r="2096" spans="1:3" x14ac:dyDescent="0.25">
      <c r="A2096" s="5"/>
      <c r="B2096" s="5"/>
      <c r="C2096" s="5"/>
    </row>
    <row r="2097" spans="1:3" x14ac:dyDescent="0.25">
      <c r="A2097" s="5"/>
      <c r="B2097" s="5"/>
      <c r="C2097" s="5"/>
    </row>
    <row r="2098" spans="1:3" x14ac:dyDescent="0.25">
      <c r="A2098" s="5"/>
      <c r="B2098" s="5"/>
      <c r="C2098" s="5"/>
    </row>
    <row r="2099" spans="1:3" x14ac:dyDescent="0.25">
      <c r="A2099" s="5"/>
      <c r="B2099" s="5"/>
      <c r="C2099" s="5"/>
    </row>
    <row r="2100" spans="1:3" x14ac:dyDescent="0.25">
      <c r="A2100" s="5"/>
      <c r="B2100" s="5"/>
      <c r="C2100" s="5"/>
    </row>
    <row r="2101" spans="1:3" x14ac:dyDescent="0.25">
      <c r="A2101" s="5"/>
      <c r="B2101" s="5"/>
      <c r="C2101" s="5"/>
    </row>
    <row r="2102" spans="1:3" x14ac:dyDescent="0.25">
      <c r="A2102" s="5"/>
      <c r="B2102" s="5"/>
      <c r="C2102" s="5"/>
    </row>
    <row r="2103" spans="1:3" x14ac:dyDescent="0.25">
      <c r="A2103" s="5"/>
      <c r="B2103" s="5"/>
      <c r="C2103" s="5"/>
    </row>
    <row r="2104" spans="1:3" x14ac:dyDescent="0.25">
      <c r="A2104" s="5"/>
      <c r="B2104" s="5"/>
      <c r="C2104" s="5"/>
    </row>
    <row r="2105" spans="1:3" x14ac:dyDescent="0.25">
      <c r="A2105" s="5"/>
      <c r="B2105" s="5"/>
      <c r="C2105" s="5"/>
    </row>
    <row r="2106" spans="1:3" x14ac:dyDescent="0.25">
      <c r="A2106" s="5"/>
      <c r="B2106" s="5"/>
      <c r="C2106" s="5"/>
    </row>
    <row r="2107" spans="1:3" x14ac:dyDescent="0.25">
      <c r="A2107" s="5"/>
      <c r="B2107" s="5"/>
      <c r="C2107" s="5"/>
    </row>
    <row r="2108" spans="1:3" x14ac:dyDescent="0.25">
      <c r="A2108" s="5"/>
      <c r="B2108" s="5"/>
      <c r="C2108" s="5"/>
    </row>
    <row r="2109" spans="1:3" x14ac:dyDescent="0.25">
      <c r="A2109" s="5"/>
      <c r="B2109" s="5"/>
      <c r="C2109" s="5"/>
    </row>
    <row r="2110" spans="1:3" x14ac:dyDescent="0.25">
      <c r="A2110" s="5"/>
      <c r="B2110" s="5"/>
      <c r="C2110" s="5"/>
    </row>
    <row r="2111" spans="1:3" x14ac:dyDescent="0.25">
      <c r="A2111" s="5"/>
      <c r="B2111" s="5"/>
      <c r="C2111" s="5"/>
    </row>
    <row r="2112" spans="1:3" x14ac:dyDescent="0.25">
      <c r="A2112" s="5"/>
      <c r="B2112" s="5"/>
      <c r="C2112" s="5"/>
    </row>
    <row r="2113" spans="1:3" x14ac:dyDescent="0.25">
      <c r="A2113" s="5"/>
      <c r="B2113" s="5"/>
      <c r="C2113" s="5"/>
    </row>
    <row r="2114" spans="1:3" x14ac:dyDescent="0.25">
      <c r="A2114" s="5"/>
      <c r="B2114" s="5"/>
      <c r="C2114" s="5"/>
    </row>
    <row r="2115" spans="1:3" x14ac:dyDescent="0.25">
      <c r="A2115" s="5"/>
      <c r="B2115" s="5"/>
      <c r="C2115" s="5"/>
    </row>
    <row r="2116" spans="1:3" x14ac:dyDescent="0.25">
      <c r="A2116" s="5"/>
      <c r="B2116" s="5"/>
      <c r="C2116" s="5"/>
    </row>
    <row r="2117" spans="1:3" x14ac:dyDescent="0.25">
      <c r="A2117" s="5"/>
      <c r="B2117" s="5"/>
      <c r="C2117" s="5"/>
    </row>
    <row r="2118" spans="1:3" x14ac:dyDescent="0.25">
      <c r="A2118" s="5"/>
      <c r="B2118" s="5"/>
      <c r="C2118" s="5"/>
    </row>
    <row r="2119" spans="1:3" x14ac:dyDescent="0.25">
      <c r="A2119" s="5"/>
      <c r="B2119" s="5"/>
      <c r="C2119" s="5"/>
    </row>
    <row r="2120" spans="1:3" x14ac:dyDescent="0.25">
      <c r="A2120" s="5"/>
      <c r="B2120" s="5"/>
      <c r="C2120" s="5"/>
    </row>
    <row r="2121" spans="1:3" x14ac:dyDescent="0.25">
      <c r="A2121" s="5"/>
      <c r="B2121" s="5"/>
      <c r="C2121" s="5"/>
    </row>
    <row r="2122" spans="1:3" x14ac:dyDescent="0.25">
      <c r="A2122" s="5"/>
      <c r="B2122" s="5"/>
      <c r="C2122" s="5"/>
    </row>
    <row r="2123" spans="1:3" x14ac:dyDescent="0.25">
      <c r="A2123" s="5"/>
      <c r="B2123" s="5"/>
      <c r="C2123" s="5"/>
    </row>
    <row r="2124" spans="1:3" x14ac:dyDescent="0.25">
      <c r="A2124" s="5"/>
      <c r="B2124" s="5"/>
      <c r="C2124" s="5"/>
    </row>
    <row r="2125" spans="1:3" x14ac:dyDescent="0.25">
      <c r="A2125" s="5"/>
      <c r="B2125" s="5"/>
      <c r="C2125" s="5"/>
    </row>
    <row r="2126" spans="1:3" x14ac:dyDescent="0.25">
      <c r="A2126" s="5"/>
      <c r="B2126" s="5"/>
      <c r="C2126" s="5"/>
    </row>
    <row r="2127" spans="1:3" x14ac:dyDescent="0.25">
      <c r="A2127" s="5"/>
      <c r="B2127" s="5"/>
      <c r="C2127" s="5"/>
    </row>
    <row r="2128" spans="1:3" x14ac:dyDescent="0.25">
      <c r="A2128" s="5"/>
      <c r="B2128" s="5"/>
      <c r="C2128" s="5"/>
    </row>
    <row r="2129" spans="1:3" x14ac:dyDescent="0.25">
      <c r="A2129" s="5"/>
      <c r="B2129" s="5"/>
      <c r="C2129" s="5"/>
    </row>
    <row r="2130" spans="1:3" x14ac:dyDescent="0.25">
      <c r="A2130" s="5"/>
      <c r="B2130" s="5"/>
      <c r="C2130" s="5"/>
    </row>
    <row r="2131" spans="1:3" x14ac:dyDescent="0.25">
      <c r="A2131" s="5"/>
      <c r="B2131" s="5"/>
      <c r="C2131" s="5"/>
    </row>
    <row r="2132" spans="1:3" x14ac:dyDescent="0.25">
      <c r="A2132" s="5"/>
      <c r="B2132" s="5"/>
      <c r="C2132" s="5"/>
    </row>
    <row r="2133" spans="1:3" x14ac:dyDescent="0.25">
      <c r="A2133" s="5"/>
      <c r="B2133" s="5"/>
      <c r="C2133" s="5"/>
    </row>
    <row r="2134" spans="1:3" x14ac:dyDescent="0.25">
      <c r="A2134" s="5"/>
      <c r="B2134" s="5"/>
      <c r="C2134" s="5"/>
    </row>
    <row r="2135" spans="1:3" x14ac:dyDescent="0.25">
      <c r="A2135" s="5"/>
      <c r="B2135" s="5"/>
      <c r="C2135" s="5"/>
    </row>
    <row r="2136" spans="1:3" x14ac:dyDescent="0.25">
      <c r="A2136" s="5"/>
      <c r="B2136" s="5"/>
      <c r="C2136" s="5"/>
    </row>
    <row r="2137" spans="1:3" x14ac:dyDescent="0.25">
      <c r="A2137" s="5"/>
      <c r="B2137" s="5"/>
      <c r="C2137" s="5"/>
    </row>
    <row r="2138" spans="1:3" x14ac:dyDescent="0.25">
      <c r="A2138" s="5"/>
      <c r="B2138" s="5"/>
      <c r="C2138" s="5"/>
    </row>
    <row r="2139" spans="1:3" x14ac:dyDescent="0.25">
      <c r="A2139" s="5"/>
      <c r="B2139" s="5"/>
      <c r="C2139" s="5"/>
    </row>
    <row r="2140" spans="1:3" x14ac:dyDescent="0.25">
      <c r="A2140" s="5"/>
      <c r="B2140" s="5"/>
      <c r="C2140" s="5"/>
    </row>
    <row r="2141" spans="1:3" x14ac:dyDescent="0.25">
      <c r="A2141" s="5"/>
      <c r="B2141" s="5"/>
      <c r="C2141" s="5"/>
    </row>
    <row r="2142" spans="1:3" x14ac:dyDescent="0.25">
      <c r="A2142" s="5"/>
      <c r="B2142" s="5"/>
      <c r="C2142" s="5"/>
    </row>
    <row r="2143" spans="1:3" x14ac:dyDescent="0.25">
      <c r="A2143" s="5"/>
      <c r="B2143" s="5"/>
      <c r="C2143" s="5"/>
    </row>
    <row r="2144" spans="1:3" x14ac:dyDescent="0.25">
      <c r="A2144" s="5"/>
      <c r="B2144" s="5"/>
      <c r="C2144" s="5"/>
    </row>
    <row r="2145" spans="1:3" x14ac:dyDescent="0.25">
      <c r="A2145" s="5"/>
      <c r="B2145" s="5"/>
      <c r="C2145" s="5"/>
    </row>
    <row r="2146" spans="1:3" x14ac:dyDescent="0.25">
      <c r="A2146" s="5"/>
      <c r="B2146" s="5"/>
      <c r="C2146" s="5"/>
    </row>
    <row r="2147" spans="1:3" x14ac:dyDescent="0.25">
      <c r="A2147" s="5"/>
      <c r="B2147" s="5"/>
      <c r="C2147" s="5"/>
    </row>
    <row r="2148" spans="1:3" x14ac:dyDescent="0.25">
      <c r="A2148" s="5"/>
      <c r="B2148" s="5"/>
      <c r="C2148" s="5"/>
    </row>
    <row r="2149" spans="1:3" x14ac:dyDescent="0.25">
      <c r="A2149" s="5"/>
      <c r="B2149" s="5"/>
      <c r="C2149" s="5"/>
    </row>
    <row r="2150" spans="1:3" x14ac:dyDescent="0.25">
      <c r="A2150" s="5"/>
      <c r="B2150" s="5"/>
      <c r="C2150" s="5"/>
    </row>
    <row r="2151" spans="1:3" x14ac:dyDescent="0.25">
      <c r="A2151" s="5"/>
      <c r="B2151" s="5"/>
      <c r="C2151" s="5"/>
    </row>
    <row r="2152" spans="1:3" x14ac:dyDescent="0.25">
      <c r="A2152" s="5"/>
      <c r="B2152" s="5"/>
      <c r="C2152" s="5"/>
    </row>
    <row r="2153" spans="1:3" x14ac:dyDescent="0.25">
      <c r="A2153" s="5"/>
      <c r="B2153" s="5"/>
      <c r="C2153" s="5"/>
    </row>
    <row r="2154" spans="1:3" x14ac:dyDescent="0.25">
      <c r="A2154" s="5"/>
      <c r="B2154" s="5"/>
      <c r="C2154" s="5"/>
    </row>
    <row r="2155" spans="1:3" x14ac:dyDescent="0.25">
      <c r="A2155" s="5"/>
      <c r="B2155" s="5"/>
      <c r="C2155" s="5"/>
    </row>
    <row r="2156" spans="1:3" x14ac:dyDescent="0.25">
      <c r="A2156" s="5"/>
      <c r="B2156" s="5"/>
      <c r="C2156" s="5"/>
    </row>
    <row r="2157" spans="1:3" x14ac:dyDescent="0.25">
      <c r="A2157" s="5"/>
      <c r="B2157" s="5"/>
      <c r="C2157" s="5"/>
    </row>
    <row r="2158" spans="1:3" x14ac:dyDescent="0.25">
      <c r="A2158" s="5"/>
      <c r="B2158" s="5"/>
      <c r="C2158" s="5"/>
    </row>
    <row r="2159" spans="1:3" x14ac:dyDescent="0.25">
      <c r="A2159" s="5"/>
      <c r="B2159" s="5"/>
      <c r="C2159" s="5"/>
    </row>
    <row r="2160" spans="1:3" x14ac:dyDescent="0.25">
      <c r="A2160" s="5"/>
      <c r="B2160" s="5"/>
      <c r="C2160" s="5"/>
    </row>
    <row r="2161" spans="1:3" x14ac:dyDescent="0.25">
      <c r="A2161" s="5"/>
      <c r="B2161" s="5"/>
      <c r="C2161" s="5"/>
    </row>
    <row r="2162" spans="1:3" x14ac:dyDescent="0.25">
      <c r="A2162" s="5"/>
      <c r="B2162" s="5"/>
      <c r="C2162" s="5"/>
    </row>
    <row r="2163" spans="1:3" x14ac:dyDescent="0.25">
      <c r="A2163" s="5"/>
      <c r="B2163" s="5"/>
      <c r="C2163" s="5"/>
    </row>
    <row r="2164" spans="1:3" x14ac:dyDescent="0.25">
      <c r="A2164" s="5"/>
      <c r="B2164" s="5"/>
      <c r="C2164" s="5"/>
    </row>
    <row r="2165" spans="1:3" x14ac:dyDescent="0.25">
      <c r="A2165" s="5"/>
      <c r="B2165" s="5"/>
      <c r="C2165" s="5"/>
    </row>
    <row r="2166" spans="1:3" x14ac:dyDescent="0.25">
      <c r="A2166" s="5"/>
      <c r="B2166" s="5"/>
      <c r="C2166" s="5"/>
    </row>
    <row r="2167" spans="1:3" x14ac:dyDescent="0.25">
      <c r="A2167" s="5"/>
      <c r="B2167" s="5"/>
      <c r="C2167" s="5"/>
    </row>
    <row r="2168" spans="1:3" x14ac:dyDescent="0.25">
      <c r="A2168" s="5"/>
      <c r="B2168" s="5"/>
      <c r="C2168" s="5"/>
    </row>
    <row r="2169" spans="1:3" x14ac:dyDescent="0.25">
      <c r="A2169" s="5"/>
      <c r="B2169" s="5"/>
      <c r="C2169" s="5"/>
    </row>
    <row r="2170" spans="1:3" x14ac:dyDescent="0.25">
      <c r="A2170" s="5"/>
      <c r="B2170" s="5"/>
      <c r="C2170" s="5"/>
    </row>
    <row r="2171" spans="1:3" x14ac:dyDescent="0.25">
      <c r="A2171" s="5"/>
      <c r="B2171" s="5"/>
      <c r="C2171" s="5"/>
    </row>
    <row r="2172" spans="1:3" x14ac:dyDescent="0.25">
      <c r="A2172" s="5"/>
      <c r="B2172" s="5"/>
      <c r="C2172" s="5"/>
    </row>
    <row r="2173" spans="1:3" x14ac:dyDescent="0.25">
      <c r="A2173" s="5"/>
      <c r="B2173" s="5"/>
      <c r="C2173" s="5"/>
    </row>
    <row r="2174" spans="1:3" x14ac:dyDescent="0.25">
      <c r="A2174" s="5"/>
      <c r="B2174" s="5"/>
      <c r="C2174" s="5"/>
    </row>
    <row r="2175" spans="1:3" x14ac:dyDescent="0.25">
      <c r="A2175" s="5"/>
      <c r="B2175" s="5"/>
      <c r="C2175" s="5"/>
    </row>
    <row r="2176" spans="1:3" x14ac:dyDescent="0.25">
      <c r="A2176" s="5"/>
      <c r="B2176" s="5"/>
      <c r="C2176" s="5"/>
    </row>
    <row r="2177" spans="1:3" x14ac:dyDescent="0.25">
      <c r="A2177" s="5"/>
      <c r="B2177" s="5"/>
      <c r="C2177" s="5"/>
    </row>
    <row r="2178" spans="1:3" x14ac:dyDescent="0.25">
      <c r="A2178" s="5"/>
      <c r="B2178" s="5"/>
      <c r="C2178" s="5"/>
    </row>
    <row r="2179" spans="1:3" x14ac:dyDescent="0.25">
      <c r="A2179" s="5"/>
      <c r="B2179" s="5"/>
      <c r="C2179" s="5"/>
    </row>
    <row r="2180" spans="1:3" x14ac:dyDescent="0.25">
      <c r="A2180" s="5"/>
      <c r="B2180" s="5"/>
      <c r="C2180" s="5"/>
    </row>
    <row r="2181" spans="1:3" x14ac:dyDescent="0.25">
      <c r="A2181" s="5"/>
      <c r="B2181" s="5"/>
      <c r="C2181" s="5"/>
    </row>
    <row r="2182" spans="1:3" x14ac:dyDescent="0.25">
      <c r="A2182" s="23"/>
      <c r="B2182" s="23"/>
      <c r="C2182" s="23"/>
    </row>
    <row r="2183" spans="1:3" x14ac:dyDescent="0.25">
      <c r="A2183" s="5"/>
      <c r="B2183" s="5"/>
      <c r="C2183" s="5"/>
    </row>
    <row r="2184" spans="1:3" x14ac:dyDescent="0.25">
      <c r="A2184" s="5"/>
      <c r="B2184" s="5"/>
      <c r="C2184" s="5"/>
    </row>
    <row r="2185" spans="1:3" x14ac:dyDescent="0.25">
      <c r="A2185" s="5"/>
      <c r="B2185" s="5"/>
      <c r="C2185" s="5"/>
    </row>
    <row r="2186" spans="1:3" x14ac:dyDescent="0.25">
      <c r="A2186" s="5"/>
      <c r="B2186" s="5"/>
      <c r="C2186" s="5"/>
    </row>
    <row r="2187" spans="1:3" x14ac:dyDescent="0.25">
      <c r="A2187" s="5"/>
      <c r="B2187" s="5"/>
      <c r="C2187" s="5"/>
    </row>
    <row r="2188" spans="1:3" x14ac:dyDescent="0.25">
      <c r="A2188" s="5"/>
      <c r="B2188" s="5"/>
      <c r="C2188" s="5"/>
    </row>
    <row r="2189" spans="1:3" x14ac:dyDescent="0.25">
      <c r="A2189" s="5"/>
      <c r="B2189" s="5"/>
      <c r="C2189" s="5"/>
    </row>
    <row r="2190" spans="1:3" x14ac:dyDescent="0.25">
      <c r="A2190" s="5"/>
      <c r="B2190" s="5"/>
      <c r="C2190" s="5"/>
    </row>
    <row r="2191" spans="1:3" x14ac:dyDescent="0.25">
      <c r="A2191" s="5"/>
      <c r="B2191" s="5"/>
      <c r="C2191" s="5"/>
    </row>
    <row r="2192" spans="1:3" x14ac:dyDescent="0.25">
      <c r="A2192" s="5"/>
      <c r="B2192" s="5"/>
      <c r="C2192" s="5"/>
    </row>
    <row r="2193" spans="1:3" x14ac:dyDescent="0.25">
      <c r="A2193" s="5"/>
      <c r="B2193" s="5"/>
      <c r="C2193" s="5"/>
    </row>
    <row r="2194" spans="1:3" x14ac:dyDescent="0.25">
      <c r="A2194" s="5"/>
      <c r="B2194" s="5"/>
      <c r="C2194" s="5"/>
    </row>
    <row r="2195" spans="1:3" x14ac:dyDescent="0.25">
      <c r="A2195" s="5"/>
      <c r="B2195" s="5"/>
      <c r="C2195" s="5"/>
    </row>
    <row r="2196" spans="1:3" x14ac:dyDescent="0.25">
      <c r="A2196" s="5"/>
      <c r="B2196" s="5"/>
      <c r="C2196" s="5"/>
    </row>
    <row r="2197" spans="1:3" x14ac:dyDescent="0.25">
      <c r="A2197" s="5"/>
      <c r="B2197" s="5"/>
      <c r="C2197" s="5"/>
    </row>
    <row r="2198" spans="1:3" x14ac:dyDescent="0.25">
      <c r="A2198" s="5"/>
      <c r="B2198" s="5"/>
      <c r="C2198" s="5"/>
    </row>
    <row r="2199" spans="1:3" x14ac:dyDescent="0.25">
      <c r="A2199" s="5"/>
      <c r="B2199" s="5"/>
      <c r="C2199" s="5"/>
    </row>
    <row r="2200" spans="1:3" x14ac:dyDescent="0.25">
      <c r="A2200" s="5"/>
      <c r="B2200" s="5"/>
      <c r="C2200" s="5"/>
    </row>
    <row r="2201" spans="1:3" x14ac:dyDescent="0.25">
      <c r="A2201" s="5"/>
      <c r="B2201" s="5"/>
      <c r="C2201" s="5"/>
    </row>
    <row r="2202" spans="1:3" x14ac:dyDescent="0.25">
      <c r="A2202" s="5"/>
      <c r="B2202" s="5"/>
      <c r="C2202" s="5"/>
    </row>
    <row r="2203" spans="1:3" x14ac:dyDescent="0.25">
      <c r="A2203" s="5"/>
      <c r="B2203" s="5"/>
      <c r="C2203" s="5"/>
    </row>
    <row r="2204" spans="1:3" x14ac:dyDescent="0.25">
      <c r="A2204" s="5"/>
      <c r="B2204" s="5"/>
      <c r="C2204" s="5"/>
    </row>
    <row r="2205" spans="1:3" x14ac:dyDescent="0.25">
      <c r="A2205" s="5"/>
      <c r="B2205" s="5"/>
      <c r="C2205" s="5"/>
    </row>
    <row r="2206" spans="1:3" x14ac:dyDescent="0.25">
      <c r="A2206" s="5"/>
      <c r="B2206" s="5"/>
      <c r="C2206" s="5"/>
    </row>
    <row r="2207" spans="1:3" x14ac:dyDescent="0.25">
      <c r="A2207" s="5"/>
      <c r="B2207" s="5"/>
      <c r="C2207" s="5"/>
    </row>
    <row r="2208" spans="1:3" x14ac:dyDescent="0.25">
      <c r="A2208" s="5"/>
      <c r="B2208" s="5"/>
      <c r="C2208" s="5"/>
    </row>
    <row r="2209" spans="1:3" x14ac:dyDescent="0.25">
      <c r="A2209" s="5"/>
      <c r="B2209" s="5"/>
      <c r="C2209" s="5"/>
    </row>
    <row r="2210" spans="1:3" x14ac:dyDescent="0.25">
      <c r="A2210" s="5"/>
      <c r="B2210" s="5"/>
      <c r="C2210" s="5"/>
    </row>
    <row r="2211" spans="1:3" x14ac:dyDescent="0.25">
      <c r="A2211" s="5"/>
      <c r="B2211" s="5"/>
      <c r="C2211" s="5"/>
    </row>
    <row r="2212" spans="1:3" x14ac:dyDescent="0.25">
      <c r="A2212" s="5"/>
      <c r="B2212" s="5"/>
      <c r="C2212" s="5"/>
    </row>
    <row r="2213" spans="1:3" x14ac:dyDescent="0.25">
      <c r="A2213" s="5"/>
      <c r="B2213" s="5"/>
      <c r="C2213" s="5"/>
    </row>
    <row r="2214" spans="1:3" x14ac:dyDescent="0.25">
      <c r="A2214" s="5"/>
      <c r="B2214" s="5"/>
      <c r="C2214" s="5"/>
    </row>
    <row r="2215" spans="1:3" x14ac:dyDescent="0.25">
      <c r="A2215" s="5"/>
      <c r="B2215" s="5"/>
      <c r="C2215" s="5"/>
    </row>
    <row r="2216" spans="1:3" x14ac:dyDescent="0.25">
      <c r="A2216" s="5"/>
      <c r="B2216" s="5"/>
      <c r="C2216" s="5"/>
    </row>
    <row r="2217" spans="1:3" x14ac:dyDescent="0.25">
      <c r="A2217" s="5"/>
      <c r="B2217" s="5"/>
      <c r="C2217" s="5"/>
    </row>
    <row r="2218" spans="1:3" x14ac:dyDescent="0.25">
      <c r="A2218" s="5"/>
      <c r="B2218" s="5"/>
      <c r="C2218" s="5"/>
    </row>
    <row r="2219" spans="1:3" x14ac:dyDescent="0.25">
      <c r="A2219" s="5"/>
      <c r="B2219" s="5"/>
      <c r="C2219" s="5"/>
    </row>
    <row r="2220" spans="1:3" x14ac:dyDescent="0.25">
      <c r="A2220" s="5"/>
      <c r="B2220" s="5"/>
      <c r="C2220" s="5"/>
    </row>
    <row r="2221" spans="1:3" x14ac:dyDescent="0.25">
      <c r="A2221" s="5"/>
      <c r="B2221" s="5"/>
      <c r="C2221" s="5"/>
    </row>
    <row r="2222" spans="1:3" x14ac:dyDescent="0.25">
      <c r="A2222" s="5"/>
      <c r="B2222" s="5"/>
      <c r="C2222" s="5"/>
    </row>
    <row r="2223" spans="1:3" x14ac:dyDescent="0.25">
      <c r="A2223" s="5"/>
      <c r="B2223" s="5"/>
      <c r="C2223" s="5"/>
    </row>
    <row r="2224" spans="1:3" x14ac:dyDescent="0.25">
      <c r="A2224" s="5"/>
      <c r="B2224" s="5"/>
      <c r="C2224" s="5"/>
    </row>
    <row r="2225" spans="1:3" x14ac:dyDescent="0.25">
      <c r="A2225" s="5"/>
      <c r="B2225" s="5"/>
      <c r="C2225" s="5"/>
    </row>
    <row r="2226" spans="1:3" x14ac:dyDescent="0.25">
      <c r="A2226" s="5"/>
      <c r="B2226" s="5"/>
      <c r="C2226" s="5"/>
    </row>
    <row r="2227" spans="1:3" x14ac:dyDescent="0.25">
      <c r="A2227" s="5"/>
      <c r="B2227" s="5"/>
      <c r="C2227" s="5"/>
    </row>
    <row r="2228" spans="1:3" x14ac:dyDescent="0.25">
      <c r="A2228" s="5"/>
      <c r="B2228" s="5"/>
      <c r="C2228" s="5"/>
    </row>
    <row r="2229" spans="1:3" x14ac:dyDescent="0.25">
      <c r="A2229" s="5"/>
      <c r="B2229" s="5"/>
      <c r="C2229" s="5"/>
    </row>
    <row r="2230" spans="1:3" x14ac:dyDescent="0.25">
      <c r="A2230" s="5"/>
      <c r="B2230" s="5"/>
      <c r="C2230" s="5"/>
    </row>
    <row r="2231" spans="1:3" x14ac:dyDescent="0.25">
      <c r="A2231" s="5"/>
      <c r="B2231" s="5"/>
      <c r="C2231" s="5"/>
    </row>
    <row r="2232" spans="1:3" x14ac:dyDescent="0.25">
      <c r="A2232" s="5"/>
      <c r="B2232" s="5"/>
      <c r="C2232" s="5"/>
    </row>
    <row r="2233" spans="1:3" x14ac:dyDescent="0.25">
      <c r="A2233" s="5"/>
      <c r="B2233" s="5"/>
      <c r="C2233" s="5"/>
    </row>
    <row r="2234" spans="1:3" x14ac:dyDescent="0.25">
      <c r="A2234" s="5"/>
      <c r="B2234" s="5"/>
      <c r="C2234" s="5"/>
    </row>
    <row r="2235" spans="1:3" x14ac:dyDescent="0.25">
      <c r="A2235" s="5"/>
      <c r="B2235" s="5"/>
      <c r="C2235" s="5"/>
    </row>
    <row r="2236" spans="1:3" x14ac:dyDescent="0.25">
      <c r="A2236" s="5"/>
      <c r="B2236" s="5"/>
      <c r="C2236" s="5"/>
    </row>
    <row r="2237" spans="1:3" x14ac:dyDescent="0.25">
      <c r="A2237" s="5"/>
      <c r="B2237" s="5"/>
      <c r="C2237" s="5"/>
    </row>
    <row r="2238" spans="1:3" x14ac:dyDescent="0.25">
      <c r="A2238" s="5"/>
      <c r="B2238" s="5"/>
      <c r="C2238" s="5"/>
    </row>
    <row r="2239" spans="1:3" x14ac:dyDescent="0.25">
      <c r="A2239" s="5"/>
      <c r="B2239" s="5"/>
      <c r="C2239" s="5"/>
    </row>
    <row r="2240" spans="1:3" x14ac:dyDescent="0.25">
      <c r="A2240" s="5"/>
      <c r="B2240" s="5"/>
      <c r="C2240" s="5"/>
    </row>
    <row r="2241" spans="1:3" x14ac:dyDescent="0.25">
      <c r="A2241" s="5"/>
      <c r="B2241" s="5"/>
      <c r="C2241" s="5"/>
    </row>
    <row r="2242" spans="1:3" x14ac:dyDescent="0.25">
      <c r="A2242" s="5"/>
      <c r="B2242" s="5"/>
      <c r="C2242" s="5"/>
    </row>
    <row r="2243" spans="1:3" x14ac:dyDescent="0.25">
      <c r="A2243" s="5"/>
      <c r="B2243" s="5"/>
      <c r="C2243" s="5"/>
    </row>
    <row r="2244" spans="1:3" x14ac:dyDescent="0.25">
      <c r="A2244" s="5"/>
      <c r="B2244" s="5"/>
      <c r="C2244" s="5"/>
    </row>
    <row r="2245" spans="1:3" x14ac:dyDescent="0.25">
      <c r="A2245" s="5"/>
      <c r="B2245" s="5"/>
      <c r="C2245" s="5"/>
    </row>
    <row r="2246" spans="1:3" x14ac:dyDescent="0.25">
      <c r="A2246" s="5"/>
      <c r="B2246" s="5"/>
      <c r="C2246" s="5"/>
    </row>
    <row r="2247" spans="1:3" x14ac:dyDescent="0.25">
      <c r="A2247" s="5"/>
      <c r="B2247" s="5"/>
      <c r="C2247" s="5"/>
    </row>
    <row r="2248" spans="1:3" x14ac:dyDescent="0.25">
      <c r="A2248" s="5"/>
      <c r="B2248" s="5"/>
      <c r="C2248" s="5"/>
    </row>
    <row r="2249" spans="1:3" x14ac:dyDescent="0.25">
      <c r="A2249" s="5"/>
      <c r="B2249" s="5"/>
      <c r="C2249" s="5"/>
    </row>
    <row r="2250" spans="1:3" x14ac:dyDescent="0.25">
      <c r="A2250" s="5"/>
      <c r="B2250" s="5"/>
      <c r="C2250" s="5"/>
    </row>
    <row r="2251" spans="1:3" x14ac:dyDescent="0.25">
      <c r="A2251" s="5"/>
      <c r="B2251" s="5"/>
      <c r="C2251" s="5"/>
    </row>
    <row r="2252" spans="1:3" x14ac:dyDescent="0.25">
      <c r="A2252" s="5"/>
      <c r="B2252" s="5"/>
      <c r="C2252" s="5"/>
    </row>
    <row r="2253" spans="1:3" x14ac:dyDescent="0.25">
      <c r="A2253" s="5"/>
      <c r="B2253" s="5"/>
      <c r="C2253" s="5"/>
    </row>
    <row r="2254" spans="1:3" x14ac:dyDescent="0.25">
      <c r="A2254" s="5"/>
      <c r="B2254" s="5"/>
      <c r="C2254" s="5"/>
    </row>
    <row r="2255" spans="1:3" x14ac:dyDescent="0.25">
      <c r="A2255" s="5"/>
      <c r="B2255" s="5"/>
      <c r="C2255" s="5"/>
    </row>
    <row r="2256" spans="1:3" x14ac:dyDescent="0.25">
      <c r="A2256" s="5"/>
      <c r="B2256" s="5"/>
      <c r="C2256" s="5"/>
    </row>
    <row r="2257" spans="1:3" x14ac:dyDescent="0.25">
      <c r="A2257" s="5"/>
      <c r="B2257" s="5"/>
      <c r="C2257" s="5"/>
    </row>
    <row r="2258" spans="1:3" x14ac:dyDescent="0.25">
      <c r="A2258" s="5"/>
      <c r="B2258" s="5"/>
      <c r="C2258" s="5"/>
    </row>
    <row r="2259" spans="1:3" x14ac:dyDescent="0.25">
      <c r="A2259" s="5"/>
      <c r="B2259" s="5"/>
      <c r="C2259" s="5"/>
    </row>
    <row r="2260" spans="1:3" x14ac:dyDescent="0.25">
      <c r="A2260" s="5"/>
      <c r="B2260" s="5"/>
      <c r="C2260" s="5"/>
    </row>
    <row r="2261" spans="1:3" x14ac:dyDescent="0.25">
      <c r="A2261" s="5"/>
      <c r="B2261" s="5"/>
      <c r="C2261" s="5"/>
    </row>
    <row r="2262" spans="1:3" x14ac:dyDescent="0.25">
      <c r="A2262" s="5"/>
      <c r="B2262" s="5"/>
      <c r="C2262" s="5"/>
    </row>
    <row r="2263" spans="1:3" x14ac:dyDescent="0.25">
      <c r="A2263" s="5"/>
      <c r="B2263" s="5"/>
      <c r="C2263" s="5"/>
    </row>
    <row r="2264" spans="1:3" x14ac:dyDescent="0.25">
      <c r="A2264" s="5"/>
      <c r="B2264" s="5"/>
      <c r="C2264" s="5"/>
    </row>
    <row r="2265" spans="1:3" x14ac:dyDescent="0.25">
      <c r="A2265" s="5"/>
      <c r="B2265" s="5"/>
      <c r="C2265" s="5"/>
    </row>
    <row r="2266" spans="1:3" x14ac:dyDescent="0.25">
      <c r="A2266" s="5"/>
      <c r="B2266" s="5"/>
      <c r="C2266" s="5"/>
    </row>
    <row r="2267" spans="1:3" x14ac:dyDescent="0.25">
      <c r="A2267" s="5"/>
      <c r="B2267" s="5"/>
      <c r="C2267" s="5"/>
    </row>
    <row r="2268" spans="1:3" x14ac:dyDescent="0.25">
      <c r="A2268" s="5"/>
      <c r="B2268" s="5"/>
      <c r="C2268" s="5"/>
    </row>
    <row r="2269" spans="1:3" x14ac:dyDescent="0.25">
      <c r="A2269" s="5"/>
      <c r="B2269" s="5"/>
      <c r="C2269" s="5"/>
    </row>
    <row r="2270" spans="1:3" x14ac:dyDescent="0.25">
      <c r="A2270" s="5"/>
      <c r="B2270" s="5"/>
      <c r="C2270" s="5"/>
    </row>
    <row r="2271" spans="1:3" x14ac:dyDescent="0.25">
      <c r="A2271" s="5"/>
      <c r="B2271" s="5"/>
      <c r="C2271" s="5"/>
    </row>
    <row r="2272" spans="1:3" x14ac:dyDescent="0.25">
      <c r="A2272" s="5"/>
      <c r="B2272" s="5"/>
      <c r="C2272" s="5"/>
    </row>
    <row r="2273" spans="1:3" x14ac:dyDescent="0.25">
      <c r="A2273" s="5"/>
      <c r="B2273" s="5"/>
      <c r="C2273" s="5"/>
    </row>
    <row r="2274" spans="1:3" x14ac:dyDescent="0.25">
      <c r="A2274" s="5"/>
      <c r="B2274" s="5"/>
      <c r="C2274" s="5"/>
    </row>
    <row r="2275" spans="1:3" x14ac:dyDescent="0.25">
      <c r="A2275" s="5"/>
      <c r="B2275" s="5"/>
      <c r="C2275" s="5"/>
    </row>
    <row r="2276" spans="1:3" x14ac:dyDescent="0.25">
      <c r="A2276" s="5"/>
      <c r="B2276" s="5"/>
      <c r="C2276" s="5"/>
    </row>
    <row r="2277" spans="1:3" x14ac:dyDescent="0.25">
      <c r="A2277" s="5"/>
      <c r="B2277" s="5"/>
      <c r="C2277" s="5"/>
    </row>
    <row r="2278" spans="1:3" x14ac:dyDescent="0.25">
      <c r="A2278" s="5"/>
      <c r="B2278" s="5"/>
      <c r="C2278" s="5"/>
    </row>
    <row r="2279" spans="1:3" x14ac:dyDescent="0.25">
      <c r="A2279" s="5"/>
      <c r="B2279" s="5"/>
      <c r="C2279" s="5"/>
    </row>
    <row r="2280" spans="1:3" x14ac:dyDescent="0.25">
      <c r="A2280" s="5"/>
      <c r="B2280" s="5"/>
      <c r="C2280" s="5"/>
    </row>
    <row r="2281" spans="1:3" x14ac:dyDescent="0.25">
      <c r="A2281" s="5"/>
      <c r="B2281" s="5"/>
      <c r="C2281" s="5"/>
    </row>
    <row r="2282" spans="1:3" x14ac:dyDescent="0.25">
      <c r="A2282" s="5"/>
      <c r="B2282" s="5"/>
      <c r="C2282" s="5"/>
    </row>
    <row r="2283" spans="1:3" x14ac:dyDescent="0.25">
      <c r="A2283" s="5"/>
      <c r="B2283" s="5"/>
      <c r="C2283" s="5"/>
    </row>
    <row r="2284" spans="1:3" x14ac:dyDescent="0.25">
      <c r="A2284" s="5"/>
      <c r="B2284" s="5"/>
      <c r="C2284" s="5"/>
    </row>
    <row r="2285" spans="1:3" x14ac:dyDescent="0.25">
      <c r="A2285" s="5"/>
      <c r="B2285" s="5"/>
      <c r="C2285" s="5"/>
    </row>
    <row r="2286" spans="1:3" x14ac:dyDescent="0.25">
      <c r="A2286" s="5"/>
      <c r="B2286" s="5"/>
      <c r="C2286" s="5"/>
    </row>
    <row r="2287" spans="1:3" x14ac:dyDescent="0.25">
      <c r="A2287" s="5"/>
      <c r="B2287" s="5"/>
      <c r="C2287" s="5"/>
    </row>
    <row r="2288" spans="1:3" x14ac:dyDescent="0.25">
      <c r="A2288" s="5"/>
      <c r="B2288" s="5"/>
      <c r="C2288" s="5"/>
    </row>
    <row r="2289" spans="1:3" x14ac:dyDescent="0.25">
      <c r="A2289" s="5"/>
      <c r="B2289" s="5"/>
      <c r="C2289" s="5"/>
    </row>
    <row r="2290" spans="1:3" x14ac:dyDescent="0.25">
      <c r="A2290" s="5"/>
      <c r="B2290" s="5"/>
      <c r="C2290" s="5"/>
    </row>
    <row r="2291" spans="1:3" x14ac:dyDescent="0.25">
      <c r="A2291" s="5"/>
      <c r="B2291" s="5"/>
      <c r="C2291" s="5"/>
    </row>
    <row r="2292" spans="1:3" x14ac:dyDescent="0.25">
      <c r="A2292" s="5"/>
      <c r="B2292" s="5"/>
      <c r="C2292" s="5"/>
    </row>
    <row r="2293" spans="1:3" x14ac:dyDescent="0.25">
      <c r="A2293" s="5"/>
      <c r="B2293" s="5"/>
      <c r="C2293" s="5"/>
    </row>
    <row r="2294" spans="1:3" x14ac:dyDescent="0.25">
      <c r="A2294" s="5"/>
      <c r="B2294" s="5"/>
      <c r="C2294" s="5"/>
    </row>
    <row r="2295" spans="1:3" x14ac:dyDescent="0.25">
      <c r="A2295" s="5"/>
      <c r="B2295" s="5"/>
      <c r="C2295" s="5"/>
    </row>
    <row r="2296" spans="1:3" x14ac:dyDescent="0.25">
      <c r="A2296" s="5"/>
      <c r="B2296" s="5"/>
      <c r="C2296" s="5"/>
    </row>
    <row r="2297" spans="1:3" x14ac:dyDescent="0.25">
      <c r="A2297" s="5"/>
      <c r="B2297" s="5"/>
      <c r="C2297" s="5"/>
    </row>
    <row r="2298" spans="1:3" x14ac:dyDescent="0.25">
      <c r="A2298" s="5"/>
      <c r="B2298" s="5"/>
      <c r="C2298" s="5"/>
    </row>
    <row r="2299" spans="1:3" x14ac:dyDescent="0.25">
      <c r="A2299" s="5"/>
      <c r="B2299" s="5"/>
      <c r="C2299" s="5"/>
    </row>
    <row r="2300" spans="1:3" x14ac:dyDescent="0.25">
      <c r="A2300" s="5"/>
      <c r="B2300" s="5"/>
      <c r="C2300" s="5"/>
    </row>
    <row r="2301" spans="1:3" x14ac:dyDescent="0.25">
      <c r="A2301" s="5"/>
      <c r="B2301" s="5"/>
      <c r="C2301" s="5"/>
    </row>
    <row r="2302" spans="1:3" x14ac:dyDescent="0.25">
      <c r="A2302" s="5"/>
      <c r="B2302" s="5"/>
      <c r="C2302" s="5"/>
    </row>
    <row r="2303" spans="1:3" x14ac:dyDescent="0.25">
      <c r="A2303" s="5"/>
      <c r="B2303" s="5"/>
      <c r="C2303" s="5"/>
    </row>
    <row r="2304" spans="1:3" x14ac:dyDescent="0.25">
      <c r="A2304" s="5"/>
      <c r="B2304" s="5"/>
      <c r="C2304" s="5"/>
    </row>
    <row r="2305" spans="1:3" x14ac:dyDescent="0.25">
      <c r="A2305" s="5"/>
      <c r="B2305" s="5"/>
      <c r="C2305" s="5"/>
    </row>
    <row r="2306" spans="1:3" x14ac:dyDescent="0.25">
      <c r="A2306" s="5"/>
      <c r="B2306" s="5"/>
      <c r="C2306" s="5"/>
    </row>
    <row r="2307" spans="1:3" x14ac:dyDescent="0.25">
      <c r="A2307" s="5"/>
      <c r="B2307" s="5"/>
      <c r="C2307" s="5"/>
    </row>
    <row r="2308" spans="1:3" x14ac:dyDescent="0.25">
      <c r="A2308" s="5"/>
      <c r="B2308" s="5"/>
      <c r="C2308" s="5"/>
    </row>
    <row r="2309" spans="1:3" x14ac:dyDescent="0.25">
      <c r="A2309" s="5"/>
      <c r="B2309" s="5"/>
      <c r="C2309" s="5"/>
    </row>
    <row r="2310" spans="1:3" x14ac:dyDescent="0.25">
      <c r="A2310" s="5"/>
      <c r="B2310" s="5"/>
      <c r="C2310" s="5"/>
    </row>
    <row r="2311" spans="1:3" x14ac:dyDescent="0.25">
      <c r="A2311" s="5"/>
      <c r="B2311" s="5"/>
      <c r="C2311" s="5"/>
    </row>
    <row r="2312" spans="1:3" x14ac:dyDescent="0.25">
      <c r="A2312" s="5"/>
      <c r="B2312" s="5"/>
      <c r="C2312" s="5"/>
    </row>
    <row r="2313" spans="1:3" x14ac:dyDescent="0.25">
      <c r="A2313" s="5"/>
      <c r="B2313" s="5"/>
      <c r="C2313" s="5"/>
    </row>
    <row r="2314" spans="1:3" x14ac:dyDescent="0.25">
      <c r="A2314" s="5"/>
      <c r="B2314" s="5"/>
      <c r="C2314" s="5"/>
    </row>
    <row r="2315" spans="1:3" x14ac:dyDescent="0.25">
      <c r="A2315" s="5"/>
      <c r="B2315" s="5"/>
      <c r="C2315" s="5"/>
    </row>
    <row r="2316" spans="1:3" x14ac:dyDescent="0.25">
      <c r="A2316" s="5"/>
      <c r="B2316" s="5"/>
      <c r="C2316" s="5"/>
    </row>
    <row r="2317" spans="1:3" x14ac:dyDescent="0.25">
      <c r="A2317" s="5"/>
      <c r="B2317" s="5"/>
      <c r="C2317" s="5"/>
    </row>
    <row r="2318" spans="1:3" x14ac:dyDescent="0.25">
      <c r="A2318" s="5"/>
      <c r="B2318" s="5"/>
      <c r="C2318" s="5"/>
    </row>
    <row r="2319" spans="1:3" x14ac:dyDescent="0.25">
      <c r="A2319" s="5"/>
      <c r="B2319" s="5"/>
      <c r="C2319" s="5"/>
    </row>
    <row r="2320" spans="1:3" x14ac:dyDescent="0.25">
      <c r="A2320" s="5"/>
      <c r="B2320" s="5"/>
      <c r="C2320" s="5"/>
    </row>
    <row r="2321" spans="1:3" x14ac:dyDescent="0.25">
      <c r="A2321" s="5"/>
      <c r="B2321" s="5"/>
      <c r="C2321" s="5"/>
    </row>
    <row r="2322" spans="1:3" x14ac:dyDescent="0.25">
      <c r="A2322" s="5"/>
      <c r="B2322" s="5"/>
      <c r="C2322" s="5"/>
    </row>
    <row r="2323" spans="1:3" x14ac:dyDescent="0.25">
      <c r="A2323" s="5"/>
      <c r="B2323" s="5"/>
      <c r="C2323" s="5"/>
    </row>
    <row r="2324" spans="1:3" x14ac:dyDescent="0.25">
      <c r="A2324" s="5"/>
      <c r="B2324" s="5"/>
      <c r="C2324" s="5"/>
    </row>
    <row r="2325" spans="1:3" x14ac:dyDescent="0.25">
      <c r="A2325" s="5"/>
      <c r="B2325" s="5"/>
      <c r="C2325" s="5"/>
    </row>
    <row r="2326" spans="1:3" x14ac:dyDescent="0.25">
      <c r="A2326" s="5"/>
      <c r="B2326" s="5"/>
      <c r="C2326" s="5"/>
    </row>
    <row r="2327" spans="1:3" x14ac:dyDescent="0.25">
      <c r="A2327" s="5"/>
      <c r="B2327" s="5"/>
      <c r="C2327" s="5"/>
    </row>
    <row r="2328" spans="1:3" x14ac:dyDescent="0.25">
      <c r="A2328" s="5"/>
      <c r="B2328" s="5"/>
      <c r="C2328" s="5"/>
    </row>
    <row r="2329" spans="1:3" x14ac:dyDescent="0.25">
      <c r="A2329" s="5"/>
      <c r="B2329" s="5"/>
      <c r="C2329" s="5"/>
    </row>
    <row r="2330" spans="1:3" x14ac:dyDescent="0.25">
      <c r="A2330" s="5"/>
      <c r="B2330" s="5"/>
      <c r="C2330" s="5"/>
    </row>
    <row r="2331" spans="1:3" x14ac:dyDescent="0.25">
      <c r="A2331" s="5"/>
      <c r="B2331" s="5"/>
      <c r="C2331" s="5"/>
    </row>
    <row r="2332" spans="1:3" x14ac:dyDescent="0.25">
      <c r="A2332" s="5"/>
      <c r="B2332" s="5"/>
      <c r="C2332" s="5"/>
    </row>
    <row r="2333" spans="1:3" x14ac:dyDescent="0.25">
      <c r="A2333" s="5"/>
      <c r="B2333" s="5"/>
      <c r="C2333" s="5"/>
    </row>
    <row r="2334" spans="1:3" x14ac:dyDescent="0.25">
      <c r="A2334" s="5"/>
      <c r="B2334" s="5"/>
      <c r="C2334" s="5"/>
    </row>
    <row r="2335" spans="1:3" x14ac:dyDescent="0.25">
      <c r="A2335" s="5"/>
      <c r="B2335" s="5"/>
      <c r="C2335" s="5"/>
    </row>
    <row r="2336" spans="1:3" x14ac:dyDescent="0.25">
      <c r="A2336" s="5"/>
      <c r="B2336" s="5"/>
      <c r="C2336" s="5"/>
    </row>
    <row r="2337" spans="1:3" x14ac:dyDescent="0.25">
      <c r="A2337" s="5"/>
      <c r="B2337" s="5"/>
      <c r="C2337" s="5"/>
    </row>
    <row r="2338" spans="1:3" x14ac:dyDescent="0.25">
      <c r="A2338" s="5"/>
      <c r="B2338" s="5"/>
      <c r="C2338" s="5"/>
    </row>
    <row r="2339" spans="1:3" x14ac:dyDescent="0.25">
      <c r="A2339" s="5"/>
      <c r="B2339" s="5"/>
      <c r="C2339" s="5"/>
    </row>
    <row r="2340" spans="1:3" x14ac:dyDescent="0.25">
      <c r="A2340" s="5"/>
      <c r="B2340" s="5"/>
      <c r="C2340" s="5"/>
    </row>
    <row r="2341" spans="1:3" x14ac:dyDescent="0.25">
      <c r="A2341" s="5"/>
      <c r="B2341" s="5"/>
      <c r="C2341" s="5"/>
    </row>
    <row r="2342" spans="1:3" x14ac:dyDescent="0.25">
      <c r="A2342" s="5"/>
      <c r="B2342" s="5"/>
      <c r="C2342" s="5"/>
    </row>
    <row r="2343" spans="1:3" x14ac:dyDescent="0.25">
      <c r="A2343" s="5"/>
      <c r="B2343" s="5"/>
      <c r="C2343" s="5"/>
    </row>
    <row r="2344" spans="1:3" x14ac:dyDescent="0.25">
      <c r="A2344" s="5"/>
      <c r="B2344" s="5"/>
      <c r="C2344" s="5"/>
    </row>
    <row r="2345" spans="1:3" x14ac:dyDescent="0.25">
      <c r="A2345" s="5"/>
      <c r="B2345" s="5"/>
      <c r="C2345" s="5"/>
    </row>
    <row r="2346" spans="1:3" x14ac:dyDescent="0.25">
      <c r="A2346" s="5"/>
      <c r="B2346" s="5"/>
      <c r="C2346" s="5"/>
    </row>
    <row r="2347" spans="1:3" x14ac:dyDescent="0.25">
      <c r="A2347" s="5"/>
      <c r="B2347" s="5"/>
      <c r="C2347" s="5"/>
    </row>
    <row r="2348" spans="1:3" x14ac:dyDescent="0.25">
      <c r="A2348" s="5"/>
      <c r="B2348" s="5"/>
      <c r="C2348" s="5"/>
    </row>
    <row r="2349" spans="1:3" x14ac:dyDescent="0.25">
      <c r="A2349" s="5"/>
      <c r="B2349" s="5"/>
      <c r="C2349" s="5"/>
    </row>
    <row r="2350" spans="1:3" x14ac:dyDescent="0.25">
      <c r="A2350" s="5"/>
      <c r="B2350" s="5"/>
      <c r="C2350" s="5"/>
    </row>
    <row r="2351" spans="1:3" x14ac:dyDescent="0.25">
      <c r="A2351" s="5"/>
      <c r="B2351" s="5"/>
      <c r="C2351" s="5"/>
    </row>
    <row r="2352" spans="1:3" x14ac:dyDescent="0.25">
      <c r="A2352" s="5"/>
      <c r="B2352" s="5"/>
      <c r="C2352" s="5"/>
    </row>
    <row r="2353" spans="1:3" x14ac:dyDescent="0.25">
      <c r="A2353" s="5"/>
      <c r="B2353" s="5"/>
      <c r="C2353" s="5"/>
    </row>
    <row r="2354" spans="1:3" x14ac:dyDescent="0.25">
      <c r="A2354" s="5"/>
      <c r="B2354" s="5"/>
      <c r="C2354" s="5"/>
    </row>
    <row r="2355" spans="1:3" x14ac:dyDescent="0.25">
      <c r="A2355" s="5"/>
      <c r="B2355" s="5"/>
      <c r="C2355" s="5"/>
    </row>
    <row r="2356" spans="1:3" x14ac:dyDescent="0.25">
      <c r="A2356" s="5"/>
      <c r="B2356" s="5"/>
      <c r="C2356" s="5"/>
    </row>
    <row r="2357" spans="1:3" x14ac:dyDescent="0.25">
      <c r="A2357" s="5"/>
      <c r="B2357" s="5"/>
      <c r="C2357" s="5"/>
    </row>
    <row r="2358" spans="1:3" x14ac:dyDescent="0.25">
      <c r="A2358" s="5"/>
      <c r="B2358" s="5"/>
      <c r="C2358" s="5"/>
    </row>
    <row r="2359" spans="1:3" x14ac:dyDescent="0.25">
      <c r="A2359" s="5"/>
      <c r="B2359" s="5"/>
      <c r="C2359" s="5"/>
    </row>
    <row r="2360" spans="1:3" x14ac:dyDescent="0.25">
      <c r="A2360" s="5"/>
      <c r="B2360" s="5"/>
      <c r="C2360" s="5"/>
    </row>
    <row r="2361" spans="1:3" x14ac:dyDescent="0.25">
      <c r="A2361" s="5"/>
      <c r="B2361" s="5"/>
      <c r="C2361" s="5"/>
    </row>
    <row r="2362" spans="1:3" x14ac:dyDescent="0.25">
      <c r="A2362" s="5"/>
      <c r="B2362" s="5"/>
      <c r="C2362" s="5"/>
    </row>
    <row r="2363" spans="1:3" x14ac:dyDescent="0.25">
      <c r="A2363" s="5"/>
      <c r="B2363" s="5"/>
      <c r="C2363" s="5"/>
    </row>
    <row r="2364" spans="1:3" x14ac:dyDescent="0.25">
      <c r="A2364" s="5"/>
      <c r="B2364" s="5"/>
      <c r="C2364" s="5"/>
    </row>
    <row r="2365" spans="1:3" x14ac:dyDescent="0.25">
      <c r="A2365" s="5"/>
      <c r="B2365" s="5"/>
      <c r="C2365" s="5"/>
    </row>
    <row r="2366" spans="1:3" x14ac:dyDescent="0.25">
      <c r="A2366" s="5"/>
      <c r="B2366" s="5"/>
      <c r="C2366" s="5"/>
    </row>
    <row r="2367" spans="1:3" x14ac:dyDescent="0.25">
      <c r="A2367" s="5"/>
      <c r="B2367" s="5"/>
      <c r="C2367" s="5"/>
    </row>
    <row r="2368" spans="1:3" x14ac:dyDescent="0.25">
      <c r="A2368" s="5"/>
      <c r="B2368" s="5"/>
      <c r="C2368" s="5"/>
    </row>
    <row r="2369" spans="1:3" x14ac:dyDescent="0.25">
      <c r="A2369" s="5"/>
      <c r="B2369" s="5"/>
      <c r="C2369" s="5"/>
    </row>
    <row r="2370" spans="1:3" x14ac:dyDescent="0.25">
      <c r="A2370" s="5"/>
      <c r="B2370" s="5"/>
      <c r="C2370" s="5"/>
    </row>
    <row r="2371" spans="1:3" x14ac:dyDescent="0.25">
      <c r="A2371" s="5"/>
      <c r="B2371" s="5"/>
      <c r="C2371" s="5"/>
    </row>
    <row r="2372" spans="1:3" x14ac:dyDescent="0.25">
      <c r="A2372" s="5"/>
      <c r="B2372" s="5"/>
      <c r="C2372" s="5"/>
    </row>
    <row r="2373" spans="1:3" x14ac:dyDescent="0.25">
      <c r="A2373" s="5"/>
      <c r="B2373" s="5"/>
      <c r="C2373" s="5"/>
    </row>
    <row r="2374" spans="1:3" x14ac:dyDescent="0.25">
      <c r="A2374" s="5"/>
      <c r="B2374" s="5"/>
      <c r="C2374" s="5"/>
    </row>
    <row r="2375" spans="1:3" x14ac:dyDescent="0.25">
      <c r="A2375" s="5"/>
      <c r="B2375" s="5"/>
      <c r="C2375" s="5"/>
    </row>
    <row r="2376" spans="1:3" x14ac:dyDescent="0.25">
      <c r="A2376" s="5"/>
      <c r="B2376" s="5"/>
      <c r="C2376" s="5"/>
    </row>
    <row r="2377" spans="1:3" x14ac:dyDescent="0.25">
      <c r="A2377" s="5"/>
      <c r="B2377" s="5"/>
      <c r="C2377" s="5"/>
    </row>
    <row r="2378" spans="1:3" x14ac:dyDescent="0.25">
      <c r="A2378" s="5"/>
      <c r="B2378" s="5"/>
      <c r="C2378" s="5"/>
    </row>
    <row r="2379" spans="1:3" x14ac:dyDescent="0.25">
      <c r="A2379" s="5"/>
      <c r="B2379" s="5"/>
      <c r="C2379" s="5"/>
    </row>
    <row r="2380" spans="1:3" x14ac:dyDescent="0.25">
      <c r="A2380" s="5"/>
      <c r="B2380" s="5"/>
      <c r="C2380" s="5"/>
    </row>
    <row r="2381" spans="1:3" x14ac:dyDescent="0.25">
      <c r="A2381" s="5"/>
      <c r="B2381" s="5"/>
      <c r="C2381" s="5"/>
    </row>
    <row r="2382" spans="1:3" x14ac:dyDescent="0.25">
      <c r="A2382" s="5"/>
      <c r="B2382" s="5"/>
      <c r="C2382" s="5"/>
    </row>
    <row r="2383" spans="1:3" x14ac:dyDescent="0.25">
      <c r="A2383" s="5"/>
      <c r="B2383" s="5"/>
      <c r="C2383" s="5"/>
    </row>
    <row r="2384" spans="1:3" x14ac:dyDescent="0.25">
      <c r="A2384" s="5"/>
      <c r="B2384" s="5"/>
      <c r="C2384" s="5"/>
    </row>
    <row r="2385" spans="1:3" x14ac:dyDescent="0.25">
      <c r="A2385" s="5"/>
      <c r="B2385" s="5"/>
      <c r="C2385" s="5"/>
    </row>
    <row r="2386" spans="1:3" x14ac:dyDescent="0.25">
      <c r="A2386" s="5"/>
      <c r="B2386" s="5"/>
      <c r="C2386" s="5"/>
    </row>
    <row r="2387" spans="1:3" x14ac:dyDescent="0.25">
      <c r="A2387" s="5"/>
      <c r="B2387" s="5"/>
      <c r="C2387" s="5"/>
    </row>
    <row r="2388" spans="1:3" x14ac:dyDescent="0.25">
      <c r="A2388" s="5"/>
      <c r="B2388" s="5"/>
      <c r="C2388" s="5"/>
    </row>
    <row r="2389" spans="1:3" x14ac:dyDescent="0.25">
      <c r="A2389" s="5"/>
      <c r="B2389" s="5"/>
      <c r="C2389" s="5"/>
    </row>
    <row r="2390" spans="1:3" x14ac:dyDescent="0.25">
      <c r="A2390" s="5"/>
      <c r="B2390" s="5"/>
      <c r="C2390" s="5"/>
    </row>
    <row r="2391" spans="1:3" x14ac:dyDescent="0.25">
      <c r="A2391" s="5"/>
      <c r="B2391" s="5"/>
      <c r="C2391" s="5"/>
    </row>
    <row r="2392" spans="1:3" x14ac:dyDescent="0.25">
      <c r="A2392" s="5"/>
      <c r="B2392" s="5"/>
      <c r="C2392" s="5"/>
    </row>
    <row r="2393" spans="1:3" x14ac:dyDescent="0.25">
      <c r="A2393" s="5"/>
      <c r="B2393" s="5"/>
      <c r="C2393" s="5"/>
    </row>
    <row r="2394" spans="1:3" x14ac:dyDescent="0.25">
      <c r="A2394" s="5"/>
      <c r="B2394" s="5"/>
      <c r="C2394" s="5"/>
    </row>
    <row r="2395" spans="1:3" x14ac:dyDescent="0.25">
      <c r="A2395" s="5"/>
      <c r="B2395" s="5"/>
      <c r="C2395" s="5"/>
    </row>
    <row r="2396" spans="1:3" x14ac:dyDescent="0.25">
      <c r="A2396" s="5"/>
      <c r="B2396" s="5"/>
      <c r="C2396" s="5"/>
    </row>
    <row r="2397" spans="1:3" x14ac:dyDescent="0.25">
      <c r="A2397" s="5"/>
      <c r="B2397" s="5"/>
      <c r="C2397" s="5"/>
    </row>
    <row r="2398" spans="1:3" x14ac:dyDescent="0.25">
      <c r="A2398" s="5"/>
      <c r="B2398" s="5"/>
      <c r="C2398" s="5"/>
    </row>
    <row r="2399" spans="1:3" x14ac:dyDescent="0.25">
      <c r="A2399" s="5"/>
      <c r="B2399" s="5"/>
      <c r="C2399" s="5"/>
    </row>
    <row r="2400" spans="1:3" x14ac:dyDescent="0.25">
      <c r="A2400" s="5"/>
      <c r="B2400" s="5"/>
      <c r="C2400" s="5"/>
    </row>
    <row r="2401" spans="1:3" x14ac:dyDescent="0.25">
      <c r="A2401" s="5"/>
      <c r="B2401" s="5"/>
      <c r="C2401" s="5"/>
    </row>
    <row r="2402" spans="1:3" x14ac:dyDescent="0.25">
      <c r="A2402" s="5"/>
      <c r="B2402" s="5"/>
      <c r="C2402" s="5"/>
    </row>
    <row r="2403" spans="1:3" x14ac:dyDescent="0.25">
      <c r="A2403" s="5"/>
      <c r="B2403" s="5"/>
      <c r="C2403" s="5"/>
    </row>
    <row r="2404" spans="1:3" x14ac:dyDescent="0.25">
      <c r="A2404" s="5"/>
      <c r="B2404" s="5"/>
      <c r="C2404" s="5"/>
    </row>
    <row r="2405" spans="1:3" x14ac:dyDescent="0.25">
      <c r="A2405" s="5"/>
      <c r="B2405" s="5"/>
      <c r="C2405" s="5"/>
    </row>
    <row r="2406" spans="1:3" x14ac:dyDescent="0.25">
      <c r="A2406" s="5"/>
      <c r="B2406" s="5"/>
      <c r="C2406" s="5"/>
    </row>
    <row r="2407" spans="1:3" x14ac:dyDescent="0.25">
      <c r="A2407" s="5"/>
      <c r="B2407" s="5"/>
      <c r="C2407" s="5"/>
    </row>
    <row r="2408" spans="1:3" x14ac:dyDescent="0.25">
      <c r="A2408" s="5"/>
      <c r="B2408" s="5"/>
      <c r="C2408" s="5"/>
    </row>
    <row r="2409" spans="1:3" x14ac:dyDescent="0.25">
      <c r="A2409" s="5"/>
      <c r="B2409" s="5"/>
      <c r="C2409" s="5"/>
    </row>
    <row r="2410" spans="1:3" x14ac:dyDescent="0.25">
      <c r="A2410" s="5"/>
      <c r="B2410" s="5"/>
      <c r="C2410" s="5"/>
    </row>
    <row r="2411" spans="1:3" x14ac:dyDescent="0.25">
      <c r="A2411" s="5"/>
      <c r="B2411" s="5"/>
      <c r="C2411" s="5"/>
    </row>
    <row r="2412" spans="1:3" x14ac:dyDescent="0.25">
      <c r="A2412" s="5"/>
      <c r="B2412" s="5"/>
      <c r="C2412" s="5"/>
    </row>
    <row r="2413" spans="1:3" x14ac:dyDescent="0.25">
      <c r="A2413" s="5"/>
      <c r="B2413" s="5"/>
      <c r="C2413" s="5"/>
    </row>
    <row r="2414" spans="1:3" x14ac:dyDescent="0.25">
      <c r="A2414" s="5"/>
      <c r="B2414" s="5"/>
      <c r="C2414" s="5"/>
    </row>
    <row r="2415" spans="1:3" x14ac:dyDescent="0.25">
      <c r="A2415" s="5"/>
      <c r="B2415" s="5"/>
      <c r="C2415" s="5"/>
    </row>
    <row r="2416" spans="1:3" x14ac:dyDescent="0.25">
      <c r="A2416" s="5"/>
      <c r="B2416" s="5"/>
      <c r="C2416" s="5"/>
    </row>
    <row r="2417" spans="1:3" x14ac:dyDescent="0.25">
      <c r="A2417" s="5"/>
      <c r="B2417" s="5"/>
      <c r="C2417" s="5"/>
    </row>
    <row r="2418" spans="1:3" x14ac:dyDescent="0.25">
      <c r="A2418" s="5"/>
      <c r="B2418" s="5"/>
      <c r="C2418" s="5"/>
    </row>
    <row r="2419" spans="1:3" x14ac:dyDescent="0.25">
      <c r="A2419" s="5"/>
      <c r="B2419" s="5"/>
      <c r="C2419" s="5"/>
    </row>
    <row r="2420" spans="1:3" x14ac:dyDescent="0.25">
      <c r="A2420" s="5"/>
      <c r="B2420" s="5"/>
      <c r="C2420" s="5"/>
    </row>
    <row r="2421" spans="1:3" x14ac:dyDescent="0.25">
      <c r="A2421" s="5"/>
      <c r="B2421" s="5"/>
      <c r="C2421" s="5"/>
    </row>
    <row r="2422" spans="1:3" x14ac:dyDescent="0.25">
      <c r="A2422" s="5"/>
      <c r="B2422" s="5"/>
      <c r="C2422" s="5"/>
    </row>
    <row r="2423" spans="1:3" x14ac:dyDescent="0.25">
      <c r="A2423" s="5"/>
      <c r="B2423" s="5"/>
      <c r="C2423" s="5"/>
    </row>
    <row r="2424" spans="1:3" x14ac:dyDescent="0.25">
      <c r="A2424" s="5"/>
      <c r="B2424" s="5"/>
      <c r="C2424" s="5"/>
    </row>
    <row r="2425" spans="1:3" x14ac:dyDescent="0.25">
      <c r="A2425" s="5"/>
      <c r="B2425" s="5"/>
      <c r="C2425" s="5"/>
    </row>
    <row r="2426" spans="1:3" x14ac:dyDescent="0.25">
      <c r="A2426" s="5"/>
      <c r="B2426" s="5"/>
      <c r="C2426" s="5"/>
    </row>
    <row r="2427" spans="1:3" x14ac:dyDescent="0.25">
      <c r="A2427" s="5"/>
      <c r="B2427" s="5"/>
      <c r="C2427" s="5"/>
    </row>
    <row r="2428" spans="1:3" x14ac:dyDescent="0.25">
      <c r="A2428" s="5"/>
      <c r="B2428" s="5"/>
      <c r="C2428" s="5"/>
    </row>
    <row r="2429" spans="1:3" x14ac:dyDescent="0.25">
      <c r="A2429" s="5"/>
      <c r="B2429" s="5"/>
      <c r="C2429" s="5"/>
    </row>
    <row r="2430" spans="1:3" x14ac:dyDescent="0.25">
      <c r="A2430" s="5"/>
      <c r="B2430" s="5"/>
      <c r="C2430" s="5"/>
    </row>
    <row r="2431" spans="1:3" x14ac:dyDescent="0.25">
      <c r="A2431" s="5"/>
      <c r="B2431" s="5"/>
      <c r="C2431" s="5"/>
    </row>
    <row r="2432" spans="1:3" x14ac:dyDescent="0.25">
      <c r="A2432" s="5"/>
      <c r="B2432" s="5"/>
      <c r="C2432" s="5"/>
    </row>
    <row r="2433" spans="1:3" x14ac:dyDescent="0.25">
      <c r="A2433" s="5"/>
      <c r="B2433" s="5"/>
      <c r="C2433" s="5"/>
    </row>
    <row r="2434" spans="1:3" x14ac:dyDescent="0.25">
      <c r="A2434" s="5"/>
      <c r="B2434" s="5"/>
      <c r="C2434" s="5"/>
    </row>
    <row r="2435" spans="1:3" x14ac:dyDescent="0.25">
      <c r="A2435" s="5"/>
      <c r="B2435" s="5"/>
      <c r="C2435" s="5"/>
    </row>
    <row r="2436" spans="1:3" x14ac:dyDescent="0.25">
      <c r="A2436" s="5"/>
      <c r="B2436" s="5"/>
      <c r="C2436" s="5"/>
    </row>
    <row r="2437" spans="1:3" x14ac:dyDescent="0.25">
      <c r="A2437" s="5"/>
      <c r="B2437" s="5"/>
      <c r="C2437" s="5"/>
    </row>
    <row r="2438" spans="1:3" x14ac:dyDescent="0.25">
      <c r="A2438" s="5"/>
      <c r="B2438" s="5"/>
      <c r="C2438" s="5"/>
    </row>
    <row r="2439" spans="1:3" x14ac:dyDescent="0.25">
      <c r="A2439" s="5"/>
      <c r="B2439" s="5"/>
      <c r="C2439" s="5"/>
    </row>
    <row r="2440" spans="1:3" x14ac:dyDescent="0.25">
      <c r="A2440" s="5"/>
      <c r="B2440" s="5"/>
      <c r="C2440" s="5"/>
    </row>
    <row r="2441" spans="1:3" x14ac:dyDescent="0.25">
      <c r="A2441" s="5"/>
      <c r="B2441" s="5"/>
      <c r="C2441" s="5"/>
    </row>
    <row r="2442" spans="1:3" x14ac:dyDescent="0.25">
      <c r="A2442" s="5"/>
      <c r="B2442" s="5"/>
      <c r="C2442" s="5"/>
    </row>
    <row r="2443" spans="1:3" x14ac:dyDescent="0.25">
      <c r="A2443" s="5"/>
      <c r="B2443" s="5"/>
      <c r="C2443" s="5"/>
    </row>
    <row r="2444" spans="1:3" x14ac:dyDescent="0.25">
      <c r="A2444" s="5"/>
      <c r="B2444" s="5"/>
      <c r="C2444" s="5"/>
    </row>
    <row r="2445" spans="1:3" x14ac:dyDescent="0.25">
      <c r="A2445" s="5"/>
      <c r="B2445" s="5"/>
      <c r="C2445" s="5"/>
    </row>
    <row r="2446" spans="1:3" x14ac:dyDescent="0.25">
      <c r="A2446" s="5"/>
      <c r="B2446" s="5"/>
      <c r="C2446" s="5"/>
    </row>
    <row r="2447" spans="1:3" x14ac:dyDescent="0.25">
      <c r="A2447" s="5"/>
      <c r="B2447" s="5"/>
      <c r="C2447" s="5"/>
    </row>
    <row r="2448" spans="1:3" x14ac:dyDescent="0.25">
      <c r="A2448" s="5"/>
      <c r="B2448" s="5"/>
      <c r="C2448" s="5"/>
    </row>
    <row r="2449" spans="1:3" x14ac:dyDescent="0.25">
      <c r="A2449" s="5"/>
      <c r="B2449" s="5"/>
      <c r="C2449" s="5"/>
    </row>
    <row r="2450" spans="1:3" x14ac:dyDescent="0.25">
      <c r="A2450" s="5"/>
      <c r="B2450" s="5"/>
      <c r="C2450" s="5"/>
    </row>
    <row r="2451" spans="1:3" x14ac:dyDescent="0.25">
      <c r="A2451" s="5"/>
      <c r="B2451" s="5"/>
      <c r="C2451" s="5"/>
    </row>
    <row r="2452" spans="1:3" x14ac:dyDescent="0.25">
      <c r="A2452" s="5"/>
      <c r="B2452" s="5"/>
      <c r="C2452" s="5"/>
    </row>
    <row r="2453" spans="1:3" x14ac:dyDescent="0.25">
      <c r="A2453" s="5"/>
      <c r="B2453" s="5"/>
      <c r="C2453" s="5"/>
    </row>
    <row r="2454" spans="1:3" x14ac:dyDescent="0.25">
      <c r="A2454" s="5"/>
      <c r="B2454" s="5"/>
      <c r="C2454" s="5"/>
    </row>
    <row r="2455" spans="1:3" x14ac:dyDescent="0.25">
      <c r="A2455" s="5"/>
      <c r="B2455" s="5"/>
      <c r="C2455" s="5"/>
    </row>
    <row r="2456" spans="1:3" x14ac:dyDescent="0.25">
      <c r="A2456" s="5"/>
      <c r="B2456" s="5"/>
      <c r="C2456" s="5"/>
    </row>
    <row r="2457" spans="1:3" x14ac:dyDescent="0.25">
      <c r="A2457" s="5"/>
      <c r="B2457" s="5"/>
      <c r="C2457" s="5"/>
    </row>
    <row r="2458" spans="1:3" x14ac:dyDescent="0.25">
      <c r="A2458" s="5"/>
      <c r="B2458" s="5"/>
      <c r="C2458" s="5"/>
    </row>
    <row r="2459" spans="1:3" x14ac:dyDescent="0.25">
      <c r="A2459" s="5"/>
      <c r="B2459" s="5"/>
      <c r="C2459" s="5"/>
    </row>
    <row r="2460" spans="1:3" x14ac:dyDescent="0.25">
      <c r="A2460" s="5"/>
      <c r="B2460" s="5"/>
      <c r="C2460" s="5"/>
    </row>
    <row r="2461" spans="1:3" x14ac:dyDescent="0.25">
      <c r="A2461" s="5"/>
      <c r="B2461" s="5"/>
      <c r="C2461" s="5"/>
    </row>
    <row r="2462" spans="1:3" x14ac:dyDescent="0.25">
      <c r="A2462" s="5"/>
      <c r="B2462" s="5"/>
      <c r="C2462" s="5"/>
    </row>
    <row r="2463" spans="1:3" x14ac:dyDescent="0.25">
      <c r="A2463" s="5"/>
      <c r="B2463" s="5"/>
      <c r="C2463" s="5"/>
    </row>
    <row r="2464" spans="1:3" x14ac:dyDescent="0.25">
      <c r="A2464" s="5"/>
      <c r="B2464" s="5"/>
      <c r="C2464" s="5"/>
    </row>
    <row r="2465" spans="1:3" x14ac:dyDescent="0.25">
      <c r="A2465" s="5"/>
      <c r="B2465" s="5"/>
      <c r="C2465" s="5"/>
    </row>
    <row r="2466" spans="1:3" x14ac:dyDescent="0.25">
      <c r="A2466" s="5"/>
      <c r="B2466" s="5"/>
      <c r="C2466" s="5"/>
    </row>
    <row r="2467" spans="1:3" x14ac:dyDescent="0.25">
      <c r="A2467" s="5"/>
      <c r="B2467" s="5"/>
      <c r="C2467" s="5"/>
    </row>
    <row r="2468" spans="1:3" x14ac:dyDescent="0.25">
      <c r="A2468" s="5"/>
      <c r="B2468" s="5"/>
      <c r="C2468" s="5"/>
    </row>
    <row r="2469" spans="1:3" x14ac:dyDescent="0.25">
      <c r="A2469" s="5"/>
      <c r="B2469" s="5"/>
      <c r="C2469" s="5"/>
    </row>
    <row r="2470" spans="1:3" x14ac:dyDescent="0.25">
      <c r="A2470" s="5"/>
      <c r="B2470" s="5"/>
      <c r="C2470" s="5"/>
    </row>
    <row r="2471" spans="1:3" x14ac:dyDescent="0.25">
      <c r="A2471" s="5"/>
      <c r="B2471" s="5"/>
      <c r="C2471" s="5"/>
    </row>
    <row r="2472" spans="1:3" x14ac:dyDescent="0.25">
      <c r="A2472" s="5"/>
      <c r="B2472" s="5"/>
      <c r="C2472" s="5"/>
    </row>
    <row r="2473" spans="1:3" x14ac:dyDescent="0.25">
      <c r="A2473" s="5"/>
      <c r="B2473" s="5"/>
      <c r="C2473" s="5"/>
    </row>
    <row r="2474" spans="1:3" x14ac:dyDescent="0.25">
      <c r="A2474" s="5"/>
      <c r="B2474" s="5"/>
      <c r="C2474" s="5"/>
    </row>
    <row r="2475" spans="1:3" x14ac:dyDescent="0.25">
      <c r="A2475" s="5"/>
      <c r="B2475" s="5"/>
      <c r="C2475" s="5"/>
    </row>
    <row r="2476" spans="1:3" x14ac:dyDescent="0.25">
      <c r="A2476" s="5"/>
      <c r="B2476" s="5"/>
      <c r="C2476" s="5"/>
    </row>
    <row r="2477" spans="1:3" x14ac:dyDescent="0.25">
      <c r="A2477" s="5"/>
      <c r="B2477" s="5"/>
      <c r="C2477" s="5"/>
    </row>
    <row r="2478" spans="1:3" x14ac:dyDescent="0.25">
      <c r="A2478" s="5"/>
      <c r="B2478" s="5"/>
      <c r="C2478" s="5"/>
    </row>
    <row r="2479" spans="1:3" x14ac:dyDescent="0.25">
      <c r="A2479" s="5"/>
      <c r="B2479" s="5"/>
      <c r="C2479" s="5"/>
    </row>
    <row r="2480" spans="1:3" x14ac:dyDescent="0.25">
      <c r="A2480" s="5"/>
      <c r="B2480" s="5"/>
      <c r="C2480" s="5"/>
    </row>
    <row r="2481" spans="1:3" x14ac:dyDescent="0.25">
      <c r="A2481" s="5"/>
      <c r="B2481" s="5"/>
      <c r="C2481" s="5"/>
    </row>
    <row r="2482" spans="1:3" x14ac:dyDescent="0.25">
      <c r="A2482" s="5"/>
      <c r="B2482" s="5"/>
      <c r="C2482" s="5"/>
    </row>
    <row r="2483" spans="1:3" x14ac:dyDescent="0.25">
      <c r="A2483" s="5"/>
      <c r="B2483" s="5"/>
      <c r="C2483" s="5"/>
    </row>
    <row r="2484" spans="1:3" x14ac:dyDescent="0.25">
      <c r="A2484" s="5"/>
      <c r="B2484" s="5"/>
      <c r="C2484" s="5"/>
    </row>
    <row r="2485" spans="1:3" x14ac:dyDescent="0.25">
      <c r="A2485" s="5"/>
      <c r="B2485" s="5"/>
      <c r="C2485" s="5"/>
    </row>
    <row r="2486" spans="1:3" x14ac:dyDescent="0.25">
      <c r="A2486" s="5"/>
      <c r="B2486" s="5"/>
      <c r="C2486" s="5"/>
    </row>
    <row r="2487" spans="1:3" x14ac:dyDescent="0.25">
      <c r="A2487" s="5"/>
      <c r="B2487" s="5"/>
      <c r="C2487" s="5"/>
    </row>
    <row r="2488" spans="1:3" x14ac:dyDescent="0.25">
      <c r="A2488" s="5"/>
      <c r="B2488" s="5"/>
      <c r="C2488" s="5"/>
    </row>
    <row r="2489" spans="1:3" x14ac:dyDescent="0.25">
      <c r="A2489" s="5"/>
      <c r="B2489" s="5"/>
      <c r="C2489" s="5"/>
    </row>
    <row r="2490" spans="1:3" x14ac:dyDescent="0.25">
      <c r="A2490" s="5"/>
      <c r="B2490" s="5"/>
      <c r="C2490" s="5"/>
    </row>
    <row r="2491" spans="1:3" x14ac:dyDescent="0.25">
      <c r="A2491" s="5"/>
      <c r="B2491" s="5"/>
      <c r="C2491" s="5"/>
    </row>
    <row r="2492" spans="1:3" x14ac:dyDescent="0.25">
      <c r="A2492" s="5"/>
      <c r="B2492" s="5"/>
      <c r="C2492" s="5"/>
    </row>
    <row r="2493" spans="1:3" x14ac:dyDescent="0.25">
      <c r="A2493" s="5"/>
      <c r="B2493" s="5"/>
      <c r="C2493" s="5"/>
    </row>
    <row r="2494" spans="1:3" x14ac:dyDescent="0.25">
      <c r="A2494" s="5"/>
      <c r="B2494" s="5"/>
      <c r="C2494" s="5"/>
    </row>
    <row r="2495" spans="1:3" x14ac:dyDescent="0.25">
      <c r="A2495" s="5"/>
      <c r="B2495" s="5"/>
      <c r="C2495" s="5"/>
    </row>
    <row r="2496" spans="1:3" x14ac:dyDescent="0.25">
      <c r="A2496" s="5"/>
      <c r="B2496" s="5"/>
      <c r="C2496" s="5"/>
    </row>
    <row r="2497" spans="1:3" x14ac:dyDescent="0.25">
      <c r="A2497" s="5"/>
      <c r="B2497" s="5"/>
      <c r="C2497" s="5"/>
    </row>
    <row r="2498" spans="1:3" x14ac:dyDescent="0.25">
      <c r="A2498" s="5"/>
      <c r="B2498" s="5"/>
      <c r="C2498" s="5"/>
    </row>
    <row r="2499" spans="1:3" x14ac:dyDescent="0.25">
      <c r="A2499" s="5"/>
      <c r="B2499" s="5"/>
      <c r="C2499" s="5"/>
    </row>
    <row r="2500" spans="1:3" x14ac:dyDescent="0.25">
      <c r="A2500" s="5"/>
      <c r="B2500" s="5"/>
      <c r="C2500" s="5"/>
    </row>
    <row r="2501" spans="1:3" x14ac:dyDescent="0.25">
      <c r="A2501" s="5"/>
      <c r="B2501" s="5"/>
      <c r="C2501" s="5"/>
    </row>
    <row r="2502" spans="1:3" x14ac:dyDescent="0.25">
      <c r="A2502" s="5"/>
      <c r="B2502" s="5"/>
      <c r="C2502" s="5"/>
    </row>
    <row r="2503" spans="1:3" x14ac:dyDescent="0.25">
      <c r="A2503" s="5"/>
      <c r="B2503" s="5"/>
      <c r="C2503" s="5"/>
    </row>
    <row r="2504" spans="1:3" x14ac:dyDescent="0.25">
      <c r="A2504" s="5"/>
      <c r="B2504" s="5"/>
      <c r="C2504" s="5"/>
    </row>
    <row r="2505" spans="1:3" x14ac:dyDescent="0.25">
      <c r="A2505" s="5"/>
      <c r="B2505" s="5"/>
      <c r="C2505" s="5"/>
    </row>
    <row r="2506" spans="1:3" x14ac:dyDescent="0.25">
      <c r="A2506" s="5"/>
      <c r="B2506" s="5"/>
      <c r="C2506" s="5"/>
    </row>
    <row r="2507" spans="1:3" x14ac:dyDescent="0.25">
      <c r="A2507" s="5"/>
      <c r="B2507" s="5"/>
      <c r="C2507" s="5"/>
    </row>
    <row r="2508" spans="1:3" x14ac:dyDescent="0.25">
      <c r="A2508" s="5"/>
      <c r="B2508" s="5"/>
      <c r="C2508" s="5"/>
    </row>
    <row r="2509" spans="1:3" x14ac:dyDescent="0.25">
      <c r="A2509" s="5"/>
      <c r="B2509" s="5"/>
      <c r="C2509" s="5"/>
    </row>
    <row r="2510" spans="1:3" x14ac:dyDescent="0.25">
      <c r="A2510" s="5"/>
      <c r="B2510" s="5"/>
      <c r="C2510" s="5"/>
    </row>
    <row r="2511" spans="1:3" x14ac:dyDescent="0.25">
      <c r="A2511" s="5"/>
      <c r="B2511" s="5"/>
      <c r="C2511" s="5"/>
    </row>
    <row r="2512" spans="1:3" x14ac:dyDescent="0.25">
      <c r="A2512" s="5"/>
      <c r="B2512" s="5"/>
      <c r="C2512" s="5"/>
    </row>
    <row r="2513" spans="1:3" x14ac:dyDescent="0.25">
      <c r="A2513" s="5"/>
      <c r="B2513" s="5"/>
      <c r="C2513" s="5"/>
    </row>
    <row r="2514" spans="1:3" x14ac:dyDescent="0.25">
      <c r="A2514" s="5"/>
      <c r="B2514" s="5"/>
      <c r="C2514" s="5"/>
    </row>
    <row r="2515" spans="1:3" x14ac:dyDescent="0.25">
      <c r="A2515" s="5"/>
      <c r="B2515" s="5"/>
      <c r="C2515" s="5"/>
    </row>
    <row r="2516" spans="1:3" x14ac:dyDescent="0.25">
      <c r="A2516" s="5"/>
      <c r="B2516" s="5"/>
      <c r="C2516" s="5"/>
    </row>
    <row r="2517" spans="1:3" x14ac:dyDescent="0.25">
      <c r="A2517" s="5"/>
      <c r="B2517" s="5"/>
      <c r="C2517" s="5"/>
    </row>
    <row r="2518" spans="1:3" x14ac:dyDescent="0.25">
      <c r="A2518" s="5"/>
      <c r="B2518" s="5"/>
      <c r="C2518" s="5"/>
    </row>
    <row r="2519" spans="1:3" x14ac:dyDescent="0.25">
      <c r="A2519" s="5"/>
      <c r="B2519" s="5"/>
      <c r="C2519" s="5"/>
    </row>
    <row r="2520" spans="1:3" x14ac:dyDescent="0.25">
      <c r="A2520" s="5"/>
      <c r="B2520" s="5"/>
      <c r="C2520" s="5"/>
    </row>
    <row r="2521" spans="1:3" x14ac:dyDescent="0.25">
      <c r="A2521" s="5"/>
      <c r="B2521" s="5"/>
      <c r="C2521" s="5"/>
    </row>
    <row r="2522" spans="1:3" x14ac:dyDescent="0.25">
      <c r="A2522" s="5"/>
      <c r="B2522" s="5"/>
      <c r="C2522" s="5"/>
    </row>
    <row r="2523" spans="1:3" x14ac:dyDescent="0.25">
      <c r="A2523" s="5"/>
      <c r="B2523" s="5"/>
      <c r="C2523" s="5"/>
    </row>
    <row r="2524" spans="1:3" x14ac:dyDescent="0.25">
      <c r="A2524" s="5"/>
      <c r="B2524" s="5"/>
      <c r="C2524" s="5"/>
    </row>
    <row r="2525" spans="1:3" x14ac:dyDescent="0.25">
      <c r="A2525" s="5"/>
      <c r="B2525" s="5"/>
      <c r="C2525" s="5"/>
    </row>
    <row r="2526" spans="1:3" x14ac:dyDescent="0.25">
      <c r="A2526" s="5"/>
      <c r="B2526" s="5"/>
      <c r="C2526" s="5"/>
    </row>
    <row r="2527" spans="1:3" x14ac:dyDescent="0.25">
      <c r="A2527" s="5"/>
      <c r="B2527" s="5"/>
      <c r="C2527" s="5"/>
    </row>
    <row r="2528" spans="1:3" x14ac:dyDescent="0.25">
      <c r="A2528" s="5"/>
      <c r="B2528" s="5"/>
      <c r="C2528" s="5"/>
    </row>
    <row r="2529" spans="1:3" x14ac:dyDescent="0.25">
      <c r="A2529" s="5"/>
      <c r="B2529" s="5"/>
      <c r="C2529" s="5"/>
    </row>
    <row r="2530" spans="1:3" x14ac:dyDescent="0.25">
      <c r="A2530" s="5"/>
      <c r="B2530" s="5"/>
      <c r="C2530" s="5"/>
    </row>
    <row r="2531" spans="1:3" x14ac:dyDescent="0.25">
      <c r="A2531" s="5"/>
      <c r="B2531" s="5"/>
      <c r="C2531" s="5"/>
    </row>
    <row r="2532" spans="1:3" x14ac:dyDescent="0.25">
      <c r="A2532" s="5"/>
      <c r="B2532" s="5"/>
      <c r="C2532" s="5"/>
    </row>
    <row r="2533" spans="1:3" x14ac:dyDescent="0.25">
      <c r="A2533" s="5"/>
      <c r="B2533" s="5"/>
      <c r="C2533" s="5"/>
    </row>
    <row r="2534" spans="1:3" x14ac:dyDescent="0.25">
      <c r="A2534" s="5"/>
      <c r="B2534" s="5"/>
      <c r="C2534" s="5"/>
    </row>
    <row r="2535" spans="1:3" x14ac:dyDescent="0.25">
      <c r="A2535" s="5"/>
      <c r="B2535" s="5"/>
      <c r="C2535" s="5"/>
    </row>
    <row r="2536" spans="1:3" x14ac:dyDescent="0.25">
      <c r="A2536" s="5"/>
      <c r="B2536" s="5"/>
      <c r="C2536" s="5"/>
    </row>
    <row r="2537" spans="1:3" x14ac:dyDescent="0.25">
      <c r="A2537" s="5"/>
      <c r="B2537" s="5"/>
      <c r="C2537" s="5"/>
    </row>
    <row r="2538" spans="1:3" x14ac:dyDescent="0.25">
      <c r="A2538" s="5"/>
      <c r="B2538" s="5"/>
      <c r="C2538" s="5"/>
    </row>
    <row r="2539" spans="1:3" x14ac:dyDescent="0.25">
      <c r="A2539" s="5"/>
      <c r="B2539" s="5"/>
      <c r="C2539" s="5"/>
    </row>
    <row r="2540" spans="1:3" x14ac:dyDescent="0.25">
      <c r="A2540" s="5"/>
      <c r="B2540" s="5"/>
      <c r="C2540" s="5"/>
    </row>
    <row r="2541" spans="1:3" x14ac:dyDescent="0.25">
      <c r="A2541" s="5"/>
      <c r="B2541" s="5"/>
      <c r="C2541" s="5"/>
    </row>
    <row r="2542" spans="1:3" x14ac:dyDescent="0.25">
      <c r="A2542" s="5"/>
      <c r="B2542" s="5"/>
      <c r="C2542" s="5"/>
    </row>
    <row r="2543" spans="1:3" x14ac:dyDescent="0.25">
      <c r="A2543" s="5"/>
      <c r="B2543" s="5"/>
      <c r="C2543" s="5"/>
    </row>
    <row r="2544" spans="1:3" x14ac:dyDescent="0.25">
      <c r="A2544" s="5"/>
      <c r="B2544" s="5"/>
      <c r="C2544" s="5"/>
    </row>
    <row r="2545" spans="1:3" x14ac:dyDescent="0.25">
      <c r="A2545" s="5"/>
      <c r="B2545" s="5"/>
      <c r="C2545" s="5"/>
    </row>
    <row r="2546" spans="1:3" x14ac:dyDescent="0.25">
      <c r="A2546" s="5"/>
      <c r="B2546" s="5"/>
      <c r="C2546" s="5"/>
    </row>
    <row r="2547" spans="1:3" x14ac:dyDescent="0.25">
      <c r="A2547" s="5"/>
      <c r="B2547" s="5"/>
      <c r="C2547" s="5"/>
    </row>
    <row r="2548" spans="1:3" x14ac:dyDescent="0.25">
      <c r="A2548" s="5"/>
      <c r="B2548" s="5"/>
      <c r="C2548" s="5"/>
    </row>
    <row r="2549" spans="1:3" x14ac:dyDescent="0.25">
      <c r="A2549" s="5"/>
      <c r="B2549" s="5"/>
      <c r="C2549" s="5"/>
    </row>
    <row r="2550" spans="1:3" x14ac:dyDescent="0.25">
      <c r="A2550" s="5"/>
      <c r="B2550" s="5"/>
      <c r="C2550" s="5"/>
    </row>
    <row r="2551" spans="1:3" x14ac:dyDescent="0.25">
      <c r="A2551" s="5"/>
      <c r="B2551" s="5"/>
      <c r="C2551" s="5"/>
    </row>
    <row r="2552" spans="1:3" x14ac:dyDescent="0.25">
      <c r="A2552" s="5"/>
      <c r="B2552" s="5"/>
      <c r="C2552" s="5"/>
    </row>
    <row r="2553" spans="1:3" x14ac:dyDescent="0.25">
      <c r="A2553" s="5"/>
      <c r="B2553" s="5"/>
      <c r="C2553" s="5"/>
    </row>
    <row r="2554" spans="1:3" x14ac:dyDescent="0.25">
      <c r="A2554" s="5"/>
      <c r="B2554" s="5"/>
      <c r="C2554" s="5"/>
    </row>
    <row r="2555" spans="1:3" x14ac:dyDescent="0.25">
      <c r="A2555" s="5"/>
      <c r="B2555" s="5"/>
      <c r="C2555" s="5"/>
    </row>
    <row r="2556" spans="1:3" x14ac:dyDescent="0.25">
      <c r="A2556" s="5"/>
      <c r="B2556" s="5"/>
      <c r="C2556" s="5"/>
    </row>
    <row r="2557" spans="1:3" x14ac:dyDescent="0.25">
      <c r="A2557" s="5"/>
      <c r="B2557" s="5"/>
      <c r="C2557" s="5"/>
    </row>
    <row r="2558" spans="1:3" x14ac:dyDescent="0.25">
      <c r="A2558" s="5"/>
      <c r="B2558" s="5"/>
      <c r="C2558" s="5"/>
    </row>
    <row r="2559" spans="1:3" x14ac:dyDescent="0.25">
      <c r="A2559" s="5"/>
      <c r="B2559" s="5"/>
      <c r="C2559" s="5"/>
    </row>
    <row r="2560" spans="1:3" x14ac:dyDescent="0.25">
      <c r="A2560" s="5"/>
      <c r="B2560" s="5"/>
      <c r="C2560" s="5"/>
    </row>
    <row r="2561" spans="1:3" x14ac:dyDescent="0.25">
      <c r="A2561" s="5"/>
      <c r="B2561" s="5"/>
      <c r="C2561" s="5"/>
    </row>
    <row r="2562" spans="1:3" x14ac:dyDescent="0.25">
      <c r="A2562" s="5"/>
      <c r="B2562" s="5"/>
      <c r="C2562" s="5"/>
    </row>
    <row r="2563" spans="1:3" x14ac:dyDescent="0.25">
      <c r="A2563" s="5"/>
      <c r="B2563" s="5"/>
      <c r="C2563" s="5"/>
    </row>
    <row r="2564" spans="1:3" x14ac:dyDescent="0.25">
      <c r="A2564" s="5"/>
      <c r="B2564" s="5"/>
      <c r="C2564" s="5"/>
    </row>
    <row r="2565" spans="1:3" x14ac:dyDescent="0.25">
      <c r="A2565" s="5"/>
      <c r="B2565" s="5"/>
      <c r="C2565" s="5"/>
    </row>
    <row r="2566" spans="1:3" x14ac:dyDescent="0.25">
      <c r="A2566" s="5"/>
      <c r="B2566" s="5"/>
      <c r="C2566" s="5"/>
    </row>
    <row r="2567" spans="1:3" x14ac:dyDescent="0.25">
      <c r="A2567" s="5"/>
      <c r="B2567" s="5"/>
      <c r="C2567" s="5"/>
    </row>
    <row r="2568" spans="1:3" x14ac:dyDescent="0.25">
      <c r="A2568" s="5"/>
      <c r="B2568" s="5"/>
      <c r="C2568" s="5"/>
    </row>
    <row r="2569" spans="1:3" x14ac:dyDescent="0.25">
      <c r="A2569" s="5"/>
      <c r="B2569" s="5"/>
      <c r="C2569" s="5"/>
    </row>
    <row r="2570" spans="1:3" x14ac:dyDescent="0.25">
      <c r="A2570" s="5"/>
      <c r="B2570" s="5"/>
      <c r="C2570" s="5"/>
    </row>
    <row r="2571" spans="1:3" x14ac:dyDescent="0.25">
      <c r="A2571" s="5"/>
      <c r="B2571" s="5"/>
      <c r="C2571" s="5"/>
    </row>
    <row r="2572" spans="1:3" x14ac:dyDescent="0.25">
      <c r="A2572" s="5"/>
      <c r="B2572" s="5"/>
      <c r="C2572" s="5"/>
    </row>
    <row r="2573" spans="1:3" x14ac:dyDescent="0.25">
      <c r="A2573" s="5"/>
      <c r="B2573" s="5"/>
      <c r="C2573" s="5"/>
    </row>
    <row r="2574" spans="1:3" x14ac:dyDescent="0.25">
      <c r="A2574" s="5"/>
      <c r="B2574" s="5"/>
      <c r="C2574" s="5"/>
    </row>
    <row r="2575" spans="1:3" x14ac:dyDescent="0.25">
      <c r="A2575" s="5"/>
      <c r="B2575" s="5"/>
      <c r="C2575" s="5"/>
    </row>
    <row r="2576" spans="1:3" x14ac:dyDescent="0.25">
      <c r="A2576" s="5"/>
      <c r="B2576" s="5"/>
      <c r="C2576" s="5"/>
    </row>
    <row r="2577" spans="1:3" x14ac:dyDescent="0.25">
      <c r="A2577" s="5"/>
      <c r="B2577" s="5"/>
      <c r="C2577" s="5"/>
    </row>
    <row r="2578" spans="1:3" x14ac:dyDescent="0.25">
      <c r="A2578" s="5"/>
      <c r="B2578" s="5"/>
      <c r="C2578" s="5"/>
    </row>
    <row r="2579" spans="1:3" x14ac:dyDescent="0.25">
      <c r="A2579" s="5"/>
      <c r="B2579" s="5"/>
      <c r="C2579" s="5"/>
    </row>
    <row r="2580" spans="1:3" x14ac:dyDescent="0.25">
      <c r="A2580" s="5"/>
      <c r="B2580" s="5"/>
      <c r="C2580" s="5"/>
    </row>
    <row r="2581" spans="1:3" x14ac:dyDescent="0.25">
      <c r="A2581" s="5"/>
      <c r="B2581" s="5"/>
      <c r="C2581" s="5"/>
    </row>
    <row r="2582" spans="1:3" x14ac:dyDescent="0.25">
      <c r="A2582" s="5"/>
      <c r="B2582" s="5"/>
      <c r="C2582" s="5"/>
    </row>
    <row r="2583" spans="1:3" x14ac:dyDescent="0.25">
      <c r="A2583" s="5"/>
      <c r="B2583" s="5"/>
      <c r="C2583" s="5"/>
    </row>
    <row r="2584" spans="1:3" x14ac:dyDescent="0.25">
      <c r="A2584" s="5"/>
      <c r="B2584" s="5"/>
      <c r="C2584" s="5"/>
    </row>
    <row r="2585" spans="1:3" x14ac:dyDescent="0.25">
      <c r="A2585" s="5"/>
      <c r="B2585" s="5"/>
      <c r="C2585" s="5"/>
    </row>
    <row r="2586" spans="1:3" x14ac:dyDescent="0.25">
      <c r="A2586" s="5"/>
      <c r="B2586" s="5"/>
      <c r="C2586" s="5"/>
    </row>
    <row r="2587" spans="1:3" x14ac:dyDescent="0.25">
      <c r="A2587" s="5"/>
      <c r="B2587" s="5"/>
      <c r="C2587" s="5"/>
    </row>
    <row r="2588" spans="1:3" x14ac:dyDescent="0.25">
      <c r="A2588" s="5"/>
      <c r="B2588" s="5"/>
      <c r="C2588" s="5"/>
    </row>
    <row r="2589" spans="1:3" x14ac:dyDescent="0.25">
      <c r="A2589" s="5"/>
      <c r="B2589" s="5"/>
      <c r="C2589" s="5"/>
    </row>
    <row r="2590" spans="1:3" x14ac:dyDescent="0.25">
      <c r="A2590" s="5"/>
      <c r="B2590" s="5"/>
      <c r="C2590" s="5"/>
    </row>
    <row r="2591" spans="1:3" x14ac:dyDescent="0.25">
      <c r="A2591" s="5"/>
      <c r="B2591" s="5"/>
      <c r="C2591" s="5"/>
    </row>
    <row r="2592" spans="1:3" x14ac:dyDescent="0.25">
      <c r="A2592" s="5"/>
      <c r="B2592" s="5"/>
      <c r="C2592" s="5"/>
    </row>
    <row r="2593" spans="1:3" x14ac:dyDescent="0.25">
      <c r="A2593" s="5"/>
      <c r="B2593" s="5"/>
      <c r="C2593" s="5"/>
    </row>
    <row r="2594" spans="1:3" x14ac:dyDescent="0.25">
      <c r="A2594" s="5"/>
      <c r="B2594" s="5"/>
      <c r="C2594" s="5"/>
    </row>
    <row r="2595" spans="1:3" x14ac:dyDescent="0.25">
      <c r="A2595" s="5"/>
      <c r="B2595" s="5"/>
      <c r="C2595" s="5"/>
    </row>
    <row r="2596" spans="1:3" x14ac:dyDescent="0.25">
      <c r="A2596" s="5"/>
      <c r="B2596" s="5"/>
      <c r="C2596" s="5"/>
    </row>
    <row r="2597" spans="1:3" x14ac:dyDescent="0.25">
      <c r="A2597" s="5"/>
      <c r="B2597" s="5"/>
      <c r="C2597" s="5"/>
    </row>
    <row r="2598" spans="1:3" x14ac:dyDescent="0.25">
      <c r="A2598" s="5"/>
      <c r="B2598" s="5"/>
      <c r="C2598" s="5"/>
    </row>
    <row r="2599" spans="1:3" x14ac:dyDescent="0.25">
      <c r="A2599" s="5"/>
      <c r="B2599" s="5"/>
      <c r="C2599" s="5"/>
    </row>
    <row r="2600" spans="1:3" x14ac:dyDescent="0.25">
      <c r="A2600" s="5"/>
      <c r="B2600" s="5"/>
      <c r="C2600" s="5"/>
    </row>
    <row r="2601" spans="1:3" x14ac:dyDescent="0.25">
      <c r="A2601" s="5"/>
      <c r="B2601" s="5"/>
      <c r="C2601" s="5"/>
    </row>
    <row r="2602" spans="1:3" x14ac:dyDescent="0.25">
      <c r="A2602" s="5"/>
      <c r="B2602" s="5"/>
      <c r="C2602" s="5"/>
    </row>
    <row r="2603" spans="1:3" x14ac:dyDescent="0.25">
      <c r="A2603" s="5"/>
      <c r="B2603" s="5"/>
      <c r="C2603" s="5"/>
    </row>
    <row r="2604" spans="1:3" x14ac:dyDescent="0.25">
      <c r="A2604" s="5"/>
      <c r="B2604" s="5"/>
      <c r="C2604" s="5"/>
    </row>
    <row r="2605" spans="1:3" x14ac:dyDescent="0.25">
      <c r="A2605" s="5"/>
      <c r="B2605" s="5"/>
      <c r="C2605" s="5"/>
    </row>
    <row r="2606" spans="1:3" x14ac:dyDescent="0.25">
      <c r="A2606" s="5"/>
      <c r="B2606" s="5"/>
      <c r="C2606" s="5"/>
    </row>
    <row r="2607" spans="1:3" x14ac:dyDescent="0.25">
      <c r="A2607" s="5"/>
      <c r="B2607" s="5"/>
      <c r="C2607" s="5"/>
    </row>
    <row r="2608" spans="1:3" x14ac:dyDescent="0.25">
      <c r="A2608" s="5"/>
      <c r="B2608" s="5"/>
      <c r="C2608" s="5"/>
    </row>
    <row r="2609" spans="1:3" x14ac:dyDescent="0.25">
      <c r="A2609" s="5"/>
      <c r="B2609" s="5"/>
      <c r="C2609" s="5"/>
    </row>
    <row r="2610" spans="1:3" x14ac:dyDescent="0.25">
      <c r="A2610" s="5"/>
      <c r="B2610" s="5"/>
      <c r="C2610" s="5"/>
    </row>
    <row r="2611" spans="1:3" x14ac:dyDescent="0.25">
      <c r="A2611" s="5"/>
      <c r="B2611" s="5"/>
      <c r="C2611" s="5"/>
    </row>
    <row r="2612" spans="1:3" x14ac:dyDescent="0.25">
      <c r="A2612" s="5"/>
      <c r="B2612" s="5"/>
      <c r="C2612" s="5"/>
    </row>
    <row r="2613" spans="1:3" x14ac:dyDescent="0.25">
      <c r="A2613" s="5"/>
      <c r="B2613" s="5"/>
      <c r="C2613" s="5"/>
    </row>
    <row r="2614" spans="1:3" x14ac:dyDescent="0.25">
      <c r="A2614" s="5"/>
      <c r="B2614" s="5"/>
      <c r="C2614" s="5"/>
    </row>
    <row r="2615" spans="1:3" x14ac:dyDescent="0.25">
      <c r="A2615" s="5"/>
      <c r="B2615" s="5"/>
      <c r="C2615" s="5"/>
    </row>
    <row r="2616" spans="1:3" x14ac:dyDescent="0.25">
      <c r="A2616" s="5"/>
      <c r="B2616" s="5"/>
      <c r="C2616" s="5"/>
    </row>
    <row r="2617" spans="1:3" x14ac:dyDescent="0.25">
      <c r="A2617" s="5"/>
      <c r="B2617" s="5"/>
      <c r="C2617" s="5"/>
    </row>
    <row r="2618" spans="1:3" x14ac:dyDescent="0.25">
      <c r="A2618" s="5"/>
      <c r="B2618" s="5"/>
      <c r="C2618" s="5"/>
    </row>
    <row r="2619" spans="1:3" x14ac:dyDescent="0.25">
      <c r="A2619" s="5"/>
      <c r="B2619" s="5"/>
      <c r="C2619" s="5"/>
    </row>
    <row r="2620" spans="1:3" x14ac:dyDescent="0.25">
      <c r="A2620" s="5"/>
      <c r="B2620" s="5"/>
      <c r="C2620" s="5"/>
    </row>
    <row r="2621" spans="1:3" x14ac:dyDescent="0.25">
      <c r="A2621" s="5"/>
      <c r="B2621" s="5"/>
      <c r="C2621" s="5"/>
    </row>
    <row r="2622" spans="1:3" x14ac:dyDescent="0.25">
      <c r="A2622" s="5"/>
      <c r="B2622" s="5"/>
      <c r="C2622" s="5"/>
    </row>
    <row r="2623" spans="1:3" x14ac:dyDescent="0.25">
      <c r="A2623" s="5"/>
      <c r="B2623" s="5"/>
      <c r="C2623" s="5"/>
    </row>
    <row r="2624" spans="1:3" x14ac:dyDescent="0.25">
      <c r="A2624" s="5"/>
      <c r="B2624" s="5"/>
      <c r="C2624" s="5"/>
    </row>
    <row r="2625" spans="1:3" x14ac:dyDescent="0.25">
      <c r="A2625" s="5"/>
      <c r="B2625" s="5"/>
      <c r="C2625" s="5"/>
    </row>
    <row r="2626" spans="1:3" x14ac:dyDescent="0.25">
      <c r="A2626" s="5"/>
      <c r="B2626" s="5"/>
      <c r="C2626" s="5"/>
    </row>
    <row r="2627" spans="1:3" x14ac:dyDescent="0.25">
      <c r="A2627" s="5"/>
      <c r="B2627" s="5"/>
      <c r="C2627" s="5"/>
    </row>
    <row r="2628" spans="1:3" x14ac:dyDescent="0.25">
      <c r="A2628" s="5"/>
      <c r="B2628" s="5"/>
      <c r="C2628" s="5"/>
    </row>
    <row r="2629" spans="1:3" x14ac:dyDescent="0.25">
      <c r="A2629" s="5"/>
      <c r="B2629" s="5"/>
      <c r="C2629" s="5"/>
    </row>
    <row r="2630" spans="1:3" x14ac:dyDescent="0.25">
      <c r="A2630" s="5"/>
      <c r="B2630" s="5"/>
      <c r="C2630" s="5"/>
    </row>
    <row r="2631" spans="1:3" x14ac:dyDescent="0.25">
      <c r="A2631" s="5"/>
      <c r="B2631" s="5"/>
      <c r="C2631" s="5"/>
    </row>
    <row r="2632" spans="1:3" x14ac:dyDescent="0.25">
      <c r="A2632" s="5"/>
      <c r="B2632" s="5"/>
      <c r="C2632" s="5"/>
    </row>
    <row r="2633" spans="1:3" x14ac:dyDescent="0.25">
      <c r="A2633" s="5"/>
      <c r="B2633" s="5"/>
      <c r="C2633" s="5"/>
    </row>
    <row r="2634" spans="1:3" x14ac:dyDescent="0.25">
      <c r="A2634" s="5"/>
      <c r="B2634" s="5"/>
      <c r="C2634" s="5"/>
    </row>
    <row r="2635" spans="1:3" x14ac:dyDescent="0.25">
      <c r="A2635" s="5"/>
      <c r="B2635" s="5"/>
      <c r="C2635" s="5"/>
    </row>
    <row r="2636" spans="1:3" x14ac:dyDescent="0.25">
      <c r="A2636" s="5"/>
      <c r="B2636" s="5"/>
      <c r="C2636" s="5"/>
    </row>
    <row r="2637" spans="1:3" x14ac:dyDescent="0.25">
      <c r="A2637" s="5"/>
      <c r="B2637" s="5"/>
      <c r="C2637" s="5"/>
    </row>
    <row r="2638" spans="1:3" x14ac:dyDescent="0.25">
      <c r="A2638" s="5"/>
      <c r="B2638" s="5"/>
      <c r="C2638" s="5"/>
    </row>
    <row r="2639" spans="1:3" x14ac:dyDescent="0.25">
      <c r="A2639" s="5"/>
      <c r="B2639" s="5"/>
      <c r="C2639" s="5"/>
    </row>
    <row r="2640" spans="1:3" x14ac:dyDescent="0.25">
      <c r="A2640" s="5"/>
      <c r="B2640" s="5"/>
      <c r="C2640" s="5"/>
    </row>
    <row r="2641" spans="1:3" x14ac:dyDescent="0.25">
      <c r="A2641" s="5"/>
      <c r="B2641" s="5"/>
      <c r="C2641" s="5"/>
    </row>
    <row r="2642" spans="1:3" x14ac:dyDescent="0.25">
      <c r="A2642" s="5"/>
      <c r="B2642" s="5"/>
      <c r="C2642" s="5"/>
    </row>
    <row r="2643" spans="1:3" x14ac:dyDescent="0.25">
      <c r="A2643" s="5"/>
      <c r="B2643" s="5"/>
      <c r="C2643" s="5"/>
    </row>
    <row r="2644" spans="1:3" x14ac:dyDescent="0.25">
      <c r="A2644" s="5"/>
      <c r="B2644" s="5"/>
      <c r="C2644" s="5"/>
    </row>
    <row r="2645" spans="1:3" x14ac:dyDescent="0.25">
      <c r="A2645" s="5"/>
      <c r="B2645" s="5"/>
      <c r="C2645" s="5"/>
    </row>
    <row r="2646" spans="1:3" x14ac:dyDescent="0.25">
      <c r="A2646" s="5"/>
      <c r="B2646" s="5"/>
      <c r="C2646" s="5"/>
    </row>
    <row r="2647" spans="1:3" x14ac:dyDescent="0.25">
      <c r="A2647" s="5"/>
      <c r="B2647" s="5"/>
      <c r="C2647" s="5"/>
    </row>
    <row r="2648" spans="1:3" x14ac:dyDescent="0.25">
      <c r="A2648" s="5"/>
      <c r="B2648" s="5"/>
      <c r="C2648" s="5"/>
    </row>
    <row r="2649" spans="1:3" x14ac:dyDescent="0.25">
      <c r="A2649" s="5"/>
      <c r="B2649" s="5"/>
      <c r="C2649" s="5"/>
    </row>
    <row r="2650" spans="1:3" x14ac:dyDescent="0.25">
      <c r="A2650" s="5"/>
      <c r="B2650" s="5"/>
      <c r="C2650" s="5"/>
    </row>
    <row r="2651" spans="1:3" x14ac:dyDescent="0.25">
      <c r="A2651" s="5"/>
      <c r="B2651" s="5"/>
      <c r="C2651" s="5"/>
    </row>
    <row r="2652" spans="1:3" x14ac:dyDescent="0.25">
      <c r="A2652" s="5"/>
      <c r="B2652" s="5"/>
      <c r="C2652" s="5"/>
    </row>
    <row r="2653" spans="1:3" x14ac:dyDescent="0.25">
      <c r="A2653" s="5"/>
      <c r="B2653" s="5"/>
      <c r="C2653" s="5"/>
    </row>
    <row r="2654" spans="1:3" x14ac:dyDescent="0.25">
      <c r="A2654" s="5"/>
      <c r="B2654" s="5"/>
      <c r="C2654" s="5"/>
    </row>
    <row r="2655" spans="1:3" x14ac:dyDescent="0.25">
      <c r="A2655" s="5"/>
      <c r="B2655" s="5"/>
      <c r="C2655" s="5"/>
    </row>
    <row r="2656" spans="1:3" x14ac:dyDescent="0.25">
      <c r="A2656" s="5"/>
      <c r="B2656" s="5"/>
      <c r="C2656" s="5"/>
    </row>
    <row r="2657" spans="1:3" x14ac:dyDescent="0.25">
      <c r="A2657" s="5"/>
      <c r="B2657" s="5"/>
      <c r="C2657" s="5"/>
    </row>
    <row r="2658" spans="1:3" x14ac:dyDescent="0.25">
      <c r="A2658" s="5"/>
      <c r="B2658" s="5"/>
      <c r="C2658" s="5"/>
    </row>
    <row r="2659" spans="1:3" x14ac:dyDescent="0.25">
      <c r="A2659" s="5"/>
      <c r="B2659" s="5"/>
      <c r="C2659" s="5"/>
    </row>
    <row r="2660" spans="1:3" x14ac:dyDescent="0.25">
      <c r="A2660" s="5"/>
      <c r="B2660" s="5"/>
      <c r="C2660" s="5"/>
    </row>
    <row r="2661" spans="1:3" x14ac:dyDescent="0.25">
      <c r="A2661" s="5"/>
      <c r="B2661" s="5"/>
      <c r="C2661" s="5"/>
    </row>
    <row r="2662" spans="1:3" x14ac:dyDescent="0.25">
      <c r="A2662" s="5"/>
      <c r="B2662" s="5"/>
      <c r="C2662" s="5"/>
    </row>
    <row r="2663" spans="1:3" x14ac:dyDescent="0.25">
      <c r="A2663" s="5"/>
      <c r="B2663" s="5"/>
      <c r="C2663" s="5"/>
    </row>
    <row r="2664" spans="1:3" x14ac:dyDescent="0.25">
      <c r="A2664" s="5"/>
      <c r="B2664" s="5"/>
      <c r="C2664" s="5"/>
    </row>
    <row r="2665" spans="1:3" x14ac:dyDescent="0.25">
      <c r="A2665" s="5"/>
      <c r="B2665" s="5"/>
      <c r="C2665" s="5"/>
    </row>
    <row r="2666" spans="1:3" x14ac:dyDescent="0.25">
      <c r="A2666" s="5"/>
      <c r="B2666" s="5"/>
      <c r="C2666" s="5"/>
    </row>
    <row r="2667" spans="1:3" x14ac:dyDescent="0.25">
      <c r="A2667" s="5"/>
      <c r="B2667" s="5"/>
      <c r="C2667" s="5"/>
    </row>
    <row r="2668" spans="1:3" x14ac:dyDescent="0.25">
      <c r="A2668" s="5"/>
      <c r="B2668" s="5"/>
      <c r="C2668" s="5"/>
    </row>
    <row r="2669" spans="1:3" x14ac:dyDescent="0.25">
      <c r="A2669" s="5"/>
      <c r="B2669" s="5"/>
      <c r="C2669" s="5"/>
    </row>
    <row r="2670" spans="1:3" x14ac:dyDescent="0.25">
      <c r="A2670" s="5"/>
      <c r="B2670" s="5"/>
      <c r="C2670" s="5"/>
    </row>
    <row r="2671" spans="1:3" x14ac:dyDescent="0.25">
      <c r="A2671" s="5"/>
      <c r="B2671" s="5"/>
      <c r="C2671" s="5"/>
    </row>
    <row r="2672" spans="1:3" x14ac:dyDescent="0.25">
      <c r="A2672" s="5"/>
      <c r="B2672" s="5"/>
      <c r="C2672" s="5"/>
    </row>
    <row r="2673" spans="1:3" x14ac:dyDescent="0.25">
      <c r="A2673" s="5"/>
      <c r="B2673" s="5"/>
      <c r="C2673" s="5"/>
    </row>
    <row r="2674" spans="1:3" x14ac:dyDescent="0.25">
      <c r="A2674" s="5"/>
      <c r="B2674" s="5"/>
      <c r="C2674" s="5"/>
    </row>
    <row r="2675" spans="1:3" x14ac:dyDescent="0.25">
      <c r="A2675" s="5"/>
      <c r="B2675" s="5"/>
      <c r="C2675" s="5"/>
    </row>
    <row r="2676" spans="1:3" x14ac:dyDescent="0.25">
      <c r="A2676" s="5"/>
      <c r="B2676" s="5"/>
      <c r="C2676" s="5"/>
    </row>
    <row r="2677" spans="1:3" x14ac:dyDescent="0.25">
      <c r="A2677" s="5"/>
      <c r="B2677" s="5"/>
      <c r="C2677" s="5"/>
    </row>
    <row r="2678" spans="1:3" x14ac:dyDescent="0.25">
      <c r="A2678" s="5"/>
      <c r="B2678" s="5"/>
      <c r="C2678" s="5"/>
    </row>
    <row r="2679" spans="1:3" x14ac:dyDescent="0.25">
      <c r="A2679" s="5"/>
      <c r="B2679" s="5"/>
      <c r="C2679" s="5"/>
    </row>
    <row r="2680" spans="1:3" x14ac:dyDescent="0.25">
      <c r="A2680" s="5"/>
      <c r="B2680" s="5"/>
      <c r="C2680" s="5"/>
    </row>
    <row r="2681" spans="1:3" x14ac:dyDescent="0.25">
      <c r="A2681" s="5"/>
      <c r="B2681" s="5"/>
      <c r="C2681" s="5"/>
    </row>
    <row r="2682" spans="1:3" x14ac:dyDescent="0.25">
      <c r="A2682" s="5"/>
      <c r="B2682" s="5"/>
      <c r="C2682" s="5"/>
    </row>
    <row r="2683" spans="1:3" x14ac:dyDescent="0.25">
      <c r="A2683" s="5"/>
      <c r="B2683" s="5"/>
      <c r="C2683" s="5"/>
    </row>
    <row r="2684" spans="1:3" x14ac:dyDescent="0.25">
      <c r="A2684" s="5"/>
      <c r="B2684" s="5"/>
      <c r="C2684" s="5"/>
    </row>
    <row r="2685" spans="1:3" x14ac:dyDescent="0.25">
      <c r="A2685" s="5"/>
      <c r="B2685" s="5"/>
      <c r="C2685" s="5"/>
    </row>
    <row r="2686" spans="1:3" x14ac:dyDescent="0.25">
      <c r="A2686" s="5"/>
      <c r="B2686" s="5"/>
      <c r="C2686" s="5"/>
    </row>
    <row r="2687" spans="1:3" x14ac:dyDescent="0.25">
      <c r="A2687" s="5"/>
      <c r="B2687" s="5"/>
      <c r="C2687" s="5"/>
    </row>
    <row r="2688" spans="1:3" x14ac:dyDescent="0.25">
      <c r="A2688" s="5"/>
      <c r="B2688" s="5"/>
      <c r="C2688" s="5"/>
    </row>
    <row r="2689" spans="1:3" x14ac:dyDescent="0.25">
      <c r="A2689" s="5"/>
      <c r="B2689" s="5"/>
      <c r="C2689" s="5"/>
    </row>
    <row r="2690" spans="1:3" x14ac:dyDescent="0.25">
      <c r="A2690" s="5"/>
      <c r="B2690" s="5"/>
      <c r="C2690" s="5"/>
    </row>
    <row r="2691" spans="1:3" x14ac:dyDescent="0.25">
      <c r="A2691" s="5"/>
      <c r="B2691" s="5"/>
      <c r="C2691" s="5"/>
    </row>
    <row r="2692" spans="1:3" x14ac:dyDescent="0.25">
      <c r="A2692" s="5"/>
      <c r="B2692" s="5"/>
      <c r="C2692" s="5"/>
    </row>
    <row r="2693" spans="1:3" x14ac:dyDescent="0.25">
      <c r="A2693" s="5"/>
      <c r="B2693" s="5"/>
      <c r="C2693" s="5"/>
    </row>
    <row r="2694" spans="1:3" x14ac:dyDescent="0.25">
      <c r="A2694" s="5"/>
      <c r="B2694" s="5"/>
      <c r="C2694" s="5"/>
    </row>
    <row r="2695" spans="1:3" x14ac:dyDescent="0.25">
      <c r="A2695" s="5"/>
      <c r="B2695" s="5"/>
      <c r="C2695" s="5"/>
    </row>
    <row r="2696" spans="1:3" x14ac:dyDescent="0.25">
      <c r="A2696" s="5"/>
      <c r="B2696" s="5"/>
      <c r="C2696" s="5"/>
    </row>
    <row r="2697" spans="1:3" x14ac:dyDescent="0.25">
      <c r="A2697" s="5"/>
      <c r="B2697" s="5"/>
      <c r="C2697" s="5"/>
    </row>
    <row r="2698" spans="1:3" x14ac:dyDescent="0.25">
      <c r="A2698" s="5"/>
      <c r="B2698" s="5"/>
      <c r="C2698" s="5"/>
    </row>
    <row r="2699" spans="1:3" x14ac:dyDescent="0.25">
      <c r="A2699" s="5"/>
      <c r="B2699" s="5"/>
      <c r="C2699" s="5"/>
    </row>
    <row r="2700" spans="1:3" x14ac:dyDescent="0.25">
      <c r="A2700" s="5"/>
      <c r="B2700" s="5"/>
      <c r="C2700" s="5"/>
    </row>
    <row r="2701" spans="1:3" x14ac:dyDescent="0.25">
      <c r="A2701" s="5"/>
      <c r="B2701" s="5"/>
      <c r="C2701" s="5"/>
    </row>
    <row r="2702" spans="1:3" x14ac:dyDescent="0.25">
      <c r="A2702" s="5"/>
      <c r="B2702" s="5"/>
      <c r="C2702" s="5"/>
    </row>
    <row r="2703" spans="1:3" x14ac:dyDescent="0.25">
      <c r="A2703" s="5"/>
      <c r="B2703" s="5"/>
      <c r="C2703" s="5"/>
    </row>
    <row r="2704" spans="1:3" x14ac:dyDescent="0.25">
      <c r="A2704" s="5"/>
      <c r="B2704" s="5"/>
      <c r="C2704" s="5"/>
    </row>
    <row r="2705" spans="1:3" x14ac:dyDescent="0.25">
      <c r="A2705" s="5"/>
      <c r="B2705" s="5"/>
      <c r="C2705" s="5"/>
    </row>
    <row r="2706" spans="1:3" x14ac:dyDescent="0.25">
      <c r="A2706" s="5"/>
      <c r="B2706" s="5"/>
      <c r="C2706" s="5"/>
    </row>
    <row r="2707" spans="1:3" x14ac:dyDescent="0.25">
      <c r="A2707" s="5"/>
      <c r="B2707" s="5"/>
      <c r="C2707" s="5"/>
    </row>
    <row r="2708" spans="1:3" x14ac:dyDescent="0.25">
      <c r="A2708" s="5"/>
      <c r="B2708" s="5"/>
      <c r="C2708" s="5"/>
    </row>
    <row r="2709" spans="1:3" x14ac:dyDescent="0.25">
      <c r="A2709" s="5"/>
      <c r="B2709" s="5"/>
      <c r="C2709" s="5"/>
    </row>
    <row r="2710" spans="1:3" x14ac:dyDescent="0.25">
      <c r="A2710" s="5"/>
      <c r="B2710" s="5"/>
      <c r="C2710" s="5"/>
    </row>
    <row r="2711" spans="1:3" x14ac:dyDescent="0.25">
      <c r="A2711" s="5"/>
      <c r="B2711" s="5"/>
      <c r="C2711" s="5"/>
    </row>
    <row r="2712" spans="1:3" x14ac:dyDescent="0.25">
      <c r="A2712" s="5"/>
      <c r="B2712" s="5"/>
      <c r="C2712" s="5"/>
    </row>
    <row r="2713" spans="1:3" x14ac:dyDescent="0.25">
      <c r="A2713" s="5"/>
      <c r="B2713" s="5"/>
      <c r="C2713" s="5"/>
    </row>
    <row r="2714" spans="1:3" x14ac:dyDescent="0.25">
      <c r="A2714" s="5"/>
      <c r="B2714" s="5"/>
      <c r="C2714" s="5"/>
    </row>
    <row r="2715" spans="1:3" x14ac:dyDescent="0.25">
      <c r="A2715" s="5"/>
      <c r="B2715" s="5"/>
      <c r="C2715" s="5"/>
    </row>
    <row r="2716" spans="1:3" x14ac:dyDescent="0.25">
      <c r="A2716" s="5"/>
      <c r="B2716" s="5"/>
      <c r="C2716" s="5"/>
    </row>
    <row r="2717" spans="1:3" x14ac:dyDescent="0.25">
      <c r="A2717" s="5"/>
      <c r="B2717" s="5"/>
      <c r="C2717" s="5"/>
    </row>
    <row r="2718" spans="1:3" x14ac:dyDescent="0.25">
      <c r="A2718" s="5"/>
      <c r="B2718" s="5"/>
      <c r="C2718" s="5"/>
    </row>
    <row r="2719" spans="1:3" x14ac:dyDescent="0.25">
      <c r="A2719" s="5"/>
      <c r="B2719" s="5"/>
      <c r="C2719" s="5"/>
    </row>
    <row r="2720" spans="1:3" x14ac:dyDescent="0.25">
      <c r="A2720" s="5"/>
      <c r="B2720" s="5"/>
      <c r="C2720" s="5"/>
    </row>
    <row r="2721" spans="1:3" x14ac:dyDescent="0.25">
      <c r="A2721" s="5"/>
      <c r="B2721" s="5"/>
      <c r="C2721" s="5"/>
    </row>
    <row r="2722" spans="1:3" x14ac:dyDescent="0.25">
      <c r="A2722" s="5"/>
      <c r="B2722" s="5"/>
      <c r="C2722" s="5"/>
    </row>
    <row r="2723" spans="1:3" x14ac:dyDescent="0.25">
      <c r="A2723" s="5"/>
      <c r="B2723" s="5"/>
      <c r="C2723" s="5"/>
    </row>
    <row r="2724" spans="1:3" x14ac:dyDescent="0.25">
      <c r="A2724" s="5"/>
      <c r="B2724" s="5"/>
      <c r="C2724" s="5"/>
    </row>
    <row r="2725" spans="1:3" x14ac:dyDescent="0.25">
      <c r="A2725" s="5"/>
      <c r="B2725" s="5"/>
      <c r="C2725" s="5"/>
    </row>
    <row r="2726" spans="1:3" x14ac:dyDescent="0.25">
      <c r="A2726" s="5"/>
      <c r="B2726" s="5"/>
      <c r="C2726" s="5"/>
    </row>
    <row r="2727" spans="1:3" x14ac:dyDescent="0.25">
      <c r="A2727" s="5"/>
      <c r="B2727" s="5"/>
      <c r="C2727" s="5"/>
    </row>
    <row r="2728" spans="1:3" x14ac:dyDescent="0.25">
      <c r="A2728" s="5"/>
      <c r="B2728" s="5"/>
      <c r="C2728" s="5"/>
    </row>
    <row r="2729" spans="1:3" x14ac:dyDescent="0.25">
      <c r="A2729" s="5"/>
      <c r="B2729" s="5"/>
      <c r="C2729" s="5"/>
    </row>
    <row r="2730" spans="1:3" x14ac:dyDescent="0.25">
      <c r="A2730" s="5"/>
      <c r="B2730" s="5"/>
      <c r="C2730" s="5"/>
    </row>
    <row r="2731" spans="1:3" x14ac:dyDescent="0.25">
      <c r="A2731" s="5"/>
      <c r="B2731" s="5"/>
      <c r="C2731" s="5"/>
    </row>
    <row r="2732" spans="1:3" x14ac:dyDescent="0.25">
      <c r="A2732" s="5"/>
      <c r="B2732" s="5"/>
      <c r="C2732" s="5"/>
    </row>
    <row r="2733" spans="1:3" x14ac:dyDescent="0.25">
      <c r="A2733" s="5"/>
      <c r="B2733" s="5"/>
      <c r="C2733" s="5"/>
    </row>
    <row r="2734" spans="1:3" x14ac:dyDescent="0.25">
      <c r="A2734" s="5"/>
      <c r="B2734" s="5"/>
      <c r="C2734" s="5"/>
    </row>
    <row r="2735" spans="1:3" x14ac:dyDescent="0.25">
      <c r="A2735" s="5"/>
      <c r="B2735" s="5"/>
      <c r="C2735" s="5"/>
    </row>
    <row r="2736" spans="1:3" x14ac:dyDescent="0.25">
      <c r="A2736" s="5"/>
      <c r="B2736" s="5"/>
      <c r="C2736" s="5"/>
    </row>
    <row r="2737" spans="1:3" x14ac:dyDescent="0.25">
      <c r="A2737" s="5"/>
      <c r="B2737" s="5"/>
      <c r="C2737" s="5"/>
    </row>
    <row r="2738" spans="1:3" x14ac:dyDescent="0.25">
      <c r="A2738" s="5"/>
      <c r="B2738" s="5"/>
      <c r="C2738" s="5"/>
    </row>
    <row r="2739" spans="1:3" x14ac:dyDescent="0.25">
      <c r="A2739" s="5"/>
      <c r="B2739" s="5"/>
      <c r="C2739" s="5"/>
    </row>
    <row r="2740" spans="1:3" x14ac:dyDescent="0.25">
      <c r="A2740" s="5"/>
      <c r="B2740" s="5"/>
      <c r="C2740" s="5"/>
    </row>
    <row r="2741" spans="1:3" x14ac:dyDescent="0.25">
      <c r="A2741" s="5"/>
      <c r="B2741" s="5"/>
      <c r="C2741" s="5"/>
    </row>
    <row r="2742" spans="1:3" x14ac:dyDescent="0.25">
      <c r="A2742" s="5"/>
      <c r="B2742" s="5"/>
      <c r="C2742" s="5"/>
    </row>
    <row r="2743" spans="1:3" x14ac:dyDescent="0.25">
      <c r="A2743" s="5"/>
      <c r="B2743" s="5"/>
      <c r="C2743" s="5"/>
    </row>
    <row r="2744" spans="1:3" x14ac:dyDescent="0.25">
      <c r="A2744" s="5"/>
      <c r="B2744" s="5"/>
      <c r="C2744" s="5"/>
    </row>
    <row r="2745" spans="1:3" x14ac:dyDescent="0.25">
      <c r="A2745" s="5"/>
      <c r="B2745" s="5"/>
      <c r="C2745" s="5"/>
    </row>
    <row r="2746" spans="1:3" x14ac:dyDescent="0.25">
      <c r="A2746" s="5"/>
      <c r="B2746" s="5"/>
      <c r="C2746" s="5"/>
    </row>
    <row r="2747" spans="1:3" x14ac:dyDescent="0.25">
      <c r="A2747" s="5"/>
      <c r="B2747" s="5"/>
      <c r="C2747" s="5"/>
    </row>
    <row r="2748" spans="1:3" x14ac:dyDescent="0.25">
      <c r="A2748" s="5"/>
      <c r="B2748" s="5"/>
      <c r="C2748" s="5"/>
    </row>
    <row r="2749" spans="1:3" x14ac:dyDescent="0.25">
      <c r="A2749" s="5"/>
      <c r="B2749" s="5"/>
      <c r="C2749" s="5"/>
    </row>
    <row r="2750" spans="1:3" x14ac:dyDescent="0.25">
      <c r="A2750" s="5"/>
      <c r="B2750" s="5"/>
      <c r="C2750" s="5"/>
    </row>
    <row r="2751" spans="1:3" x14ac:dyDescent="0.25">
      <c r="A2751" s="5"/>
      <c r="B2751" s="5"/>
      <c r="C2751" s="5"/>
    </row>
    <row r="2752" spans="1:3" x14ac:dyDescent="0.25">
      <c r="A2752" s="5"/>
      <c r="B2752" s="5"/>
      <c r="C2752" s="5"/>
    </row>
    <row r="2753" spans="1:3" x14ac:dyDescent="0.25">
      <c r="A2753" s="5"/>
      <c r="B2753" s="5"/>
      <c r="C2753" s="5"/>
    </row>
    <row r="2754" spans="1:3" x14ac:dyDescent="0.25">
      <c r="A2754" s="5"/>
      <c r="B2754" s="5"/>
      <c r="C2754" s="5"/>
    </row>
    <row r="2755" spans="1:3" x14ac:dyDescent="0.25">
      <c r="A2755" s="5"/>
      <c r="B2755" s="5"/>
      <c r="C2755" s="5"/>
    </row>
    <row r="2756" spans="1:3" x14ac:dyDescent="0.25">
      <c r="A2756" s="5"/>
      <c r="B2756" s="5"/>
      <c r="C2756" s="5"/>
    </row>
    <row r="2757" spans="1:3" x14ac:dyDescent="0.25">
      <c r="A2757" s="5"/>
      <c r="B2757" s="5"/>
      <c r="C2757" s="5"/>
    </row>
    <row r="2758" spans="1:3" x14ac:dyDescent="0.25">
      <c r="A2758" s="5"/>
      <c r="B2758" s="5"/>
      <c r="C2758" s="5"/>
    </row>
    <row r="2759" spans="1:3" x14ac:dyDescent="0.25">
      <c r="A2759" s="5"/>
      <c r="B2759" s="5"/>
      <c r="C2759" s="5"/>
    </row>
    <row r="2760" spans="1:3" x14ac:dyDescent="0.25">
      <c r="A2760" s="5"/>
      <c r="B2760" s="5"/>
      <c r="C2760" s="5"/>
    </row>
    <row r="2761" spans="1:3" x14ac:dyDescent="0.25">
      <c r="A2761" s="5"/>
      <c r="B2761" s="5"/>
      <c r="C2761" s="5"/>
    </row>
    <row r="2762" spans="1:3" x14ac:dyDescent="0.25">
      <c r="A2762" s="5"/>
      <c r="B2762" s="5"/>
      <c r="C2762" s="5"/>
    </row>
    <row r="2763" spans="1:3" x14ac:dyDescent="0.25">
      <c r="A2763" s="5"/>
      <c r="B2763" s="5"/>
      <c r="C2763" s="5"/>
    </row>
    <row r="2764" spans="1:3" x14ac:dyDescent="0.25">
      <c r="A2764" s="5"/>
      <c r="B2764" s="5"/>
      <c r="C2764" s="5"/>
    </row>
    <row r="2765" spans="1:3" x14ac:dyDescent="0.25">
      <c r="A2765" s="5"/>
      <c r="B2765" s="5"/>
      <c r="C2765" s="5"/>
    </row>
    <row r="2766" spans="1:3" x14ac:dyDescent="0.25">
      <c r="A2766" s="5"/>
      <c r="B2766" s="5"/>
      <c r="C2766" s="5"/>
    </row>
    <row r="2767" spans="1:3" x14ac:dyDescent="0.25">
      <c r="A2767" s="5"/>
      <c r="B2767" s="5"/>
      <c r="C2767" s="5"/>
    </row>
    <row r="2768" spans="1:3" x14ac:dyDescent="0.25">
      <c r="A2768" s="5"/>
      <c r="B2768" s="5"/>
      <c r="C2768" s="5"/>
    </row>
    <row r="2769" spans="1:3" x14ac:dyDescent="0.25">
      <c r="A2769" s="5"/>
      <c r="B2769" s="5"/>
      <c r="C2769" s="5"/>
    </row>
    <row r="2770" spans="1:3" x14ac:dyDescent="0.25">
      <c r="A2770" s="5"/>
      <c r="B2770" s="5"/>
      <c r="C2770" s="5"/>
    </row>
    <row r="2771" spans="1:3" x14ac:dyDescent="0.25">
      <c r="A2771" s="5"/>
      <c r="B2771" s="5"/>
      <c r="C2771" s="5"/>
    </row>
    <row r="2772" spans="1:3" x14ac:dyDescent="0.25">
      <c r="A2772" s="5"/>
      <c r="B2772" s="5"/>
      <c r="C2772" s="5"/>
    </row>
    <row r="2773" spans="1:3" x14ac:dyDescent="0.25">
      <c r="A2773" s="5"/>
      <c r="B2773" s="5"/>
      <c r="C2773" s="5"/>
    </row>
    <row r="2774" spans="1:3" x14ac:dyDescent="0.25">
      <c r="A2774" s="5"/>
      <c r="B2774" s="5"/>
      <c r="C2774" s="5"/>
    </row>
    <row r="2775" spans="1:3" x14ac:dyDescent="0.25">
      <c r="A2775" s="5"/>
      <c r="B2775" s="5"/>
      <c r="C2775" s="5"/>
    </row>
    <row r="2776" spans="1:3" x14ac:dyDescent="0.25">
      <c r="A2776" s="5"/>
      <c r="B2776" s="5"/>
      <c r="C2776" s="5"/>
    </row>
    <row r="2777" spans="1:3" x14ac:dyDescent="0.25">
      <c r="A2777" s="5"/>
      <c r="B2777" s="5"/>
      <c r="C2777" s="5"/>
    </row>
    <row r="2778" spans="1:3" x14ac:dyDescent="0.25">
      <c r="A2778" s="5"/>
      <c r="B2778" s="5"/>
      <c r="C2778" s="5"/>
    </row>
    <row r="2779" spans="1:3" x14ac:dyDescent="0.25">
      <c r="A2779" s="5"/>
      <c r="B2779" s="5"/>
      <c r="C2779" s="5"/>
    </row>
    <row r="2780" spans="1:3" x14ac:dyDescent="0.25">
      <c r="A2780" s="5"/>
      <c r="B2780" s="5"/>
      <c r="C2780" s="5"/>
    </row>
    <row r="2781" spans="1:3" x14ac:dyDescent="0.25">
      <c r="A2781" s="5"/>
      <c r="B2781" s="5"/>
      <c r="C2781" s="5"/>
    </row>
    <row r="2782" spans="1:3" x14ac:dyDescent="0.25">
      <c r="A2782" s="5"/>
      <c r="B2782" s="5"/>
      <c r="C2782" s="5"/>
    </row>
    <row r="2783" spans="1:3" x14ac:dyDescent="0.25">
      <c r="A2783" s="5"/>
      <c r="B2783" s="5"/>
      <c r="C2783" s="5"/>
    </row>
    <row r="2784" spans="1:3" x14ac:dyDescent="0.25">
      <c r="A2784" s="5"/>
      <c r="B2784" s="5"/>
      <c r="C2784" s="5"/>
    </row>
    <row r="2785" spans="1:3" x14ac:dyDescent="0.25">
      <c r="A2785" s="5"/>
      <c r="B2785" s="5"/>
      <c r="C2785" s="5"/>
    </row>
    <row r="2786" spans="1:3" x14ac:dyDescent="0.25">
      <c r="A2786" s="5"/>
      <c r="B2786" s="5"/>
      <c r="C2786" s="5"/>
    </row>
    <row r="2787" spans="1:3" x14ac:dyDescent="0.25">
      <c r="A2787" s="5"/>
      <c r="B2787" s="5"/>
      <c r="C2787" s="5"/>
    </row>
    <row r="2788" spans="1:3" x14ac:dyDescent="0.25">
      <c r="A2788" s="5"/>
      <c r="B2788" s="5"/>
      <c r="C2788" s="5"/>
    </row>
    <row r="2789" spans="1:3" x14ac:dyDescent="0.25">
      <c r="A2789" s="5"/>
      <c r="B2789" s="5"/>
      <c r="C2789" s="5"/>
    </row>
    <row r="2790" spans="1:3" x14ac:dyDescent="0.25">
      <c r="A2790" s="5"/>
      <c r="B2790" s="5"/>
      <c r="C2790" s="5"/>
    </row>
    <row r="2791" spans="1:3" x14ac:dyDescent="0.25">
      <c r="A2791" s="5"/>
      <c r="B2791" s="5"/>
      <c r="C2791" s="5"/>
    </row>
    <row r="2792" spans="1:3" x14ac:dyDescent="0.25">
      <c r="A2792" s="5"/>
      <c r="B2792" s="5"/>
      <c r="C2792" s="5"/>
    </row>
    <row r="2793" spans="1:3" x14ac:dyDescent="0.25">
      <c r="A2793" s="5"/>
      <c r="B2793" s="5"/>
      <c r="C2793" s="5"/>
    </row>
    <row r="2794" spans="1:3" x14ac:dyDescent="0.25">
      <c r="A2794" s="5"/>
      <c r="B2794" s="5"/>
      <c r="C2794" s="5"/>
    </row>
    <row r="2795" spans="1:3" x14ac:dyDescent="0.25">
      <c r="A2795" s="5"/>
      <c r="B2795" s="5"/>
      <c r="C2795" s="5"/>
    </row>
    <row r="2796" spans="1:3" x14ac:dyDescent="0.25">
      <c r="A2796" s="5"/>
      <c r="B2796" s="5"/>
      <c r="C2796" s="5"/>
    </row>
    <row r="2797" spans="1:3" x14ac:dyDescent="0.25">
      <c r="A2797" s="5"/>
      <c r="B2797" s="5"/>
      <c r="C2797" s="5"/>
    </row>
    <row r="2798" spans="1:3" x14ac:dyDescent="0.25">
      <c r="A2798" s="5"/>
      <c r="B2798" s="5"/>
      <c r="C2798" s="5"/>
    </row>
    <row r="2799" spans="1:3" x14ac:dyDescent="0.25">
      <c r="A2799" s="5"/>
      <c r="B2799" s="5"/>
      <c r="C2799" s="5"/>
    </row>
    <row r="2800" spans="1:3" x14ac:dyDescent="0.25">
      <c r="A2800" s="5"/>
      <c r="B2800" s="5"/>
      <c r="C2800" s="5"/>
    </row>
    <row r="2801" spans="1:3" x14ac:dyDescent="0.25">
      <c r="A2801" s="5"/>
      <c r="B2801" s="5"/>
      <c r="C2801" s="5"/>
    </row>
    <row r="2802" spans="1:3" x14ac:dyDescent="0.25">
      <c r="A2802" s="5"/>
      <c r="B2802" s="5"/>
      <c r="C2802" s="5"/>
    </row>
    <row r="2803" spans="1:3" x14ac:dyDescent="0.25">
      <c r="A2803" s="5"/>
      <c r="B2803" s="5"/>
      <c r="C2803" s="5"/>
    </row>
    <row r="2804" spans="1:3" x14ac:dyDescent="0.25">
      <c r="A2804" s="5"/>
      <c r="B2804" s="5"/>
      <c r="C2804" s="5"/>
    </row>
    <row r="2805" spans="1:3" x14ac:dyDescent="0.25">
      <c r="A2805" s="5"/>
      <c r="B2805" s="5"/>
      <c r="C2805" s="5"/>
    </row>
    <row r="2806" spans="1:3" x14ac:dyDescent="0.25">
      <c r="A2806" s="5"/>
      <c r="B2806" s="5"/>
      <c r="C2806" s="5"/>
    </row>
    <row r="2807" spans="1:3" x14ac:dyDescent="0.25">
      <c r="A2807" s="5"/>
      <c r="B2807" s="5"/>
      <c r="C2807" s="5"/>
    </row>
    <row r="2808" spans="1:3" x14ac:dyDescent="0.25">
      <c r="A2808" s="5"/>
      <c r="B2808" s="5"/>
      <c r="C2808" s="5"/>
    </row>
    <row r="2809" spans="1:3" x14ac:dyDescent="0.25">
      <c r="A2809" s="5"/>
      <c r="B2809" s="5"/>
      <c r="C2809" s="5"/>
    </row>
    <row r="2810" spans="1:3" x14ac:dyDescent="0.25">
      <c r="A2810" s="5"/>
      <c r="B2810" s="5"/>
      <c r="C2810" s="5"/>
    </row>
    <row r="2811" spans="1:3" x14ac:dyDescent="0.25">
      <c r="A2811" s="5"/>
      <c r="B2811" s="5"/>
      <c r="C2811" s="5"/>
    </row>
    <row r="2812" spans="1:3" x14ac:dyDescent="0.25">
      <c r="A2812" s="5"/>
      <c r="B2812" s="5"/>
      <c r="C2812" s="5"/>
    </row>
    <row r="2813" spans="1:3" x14ac:dyDescent="0.25">
      <c r="A2813" s="5"/>
      <c r="B2813" s="5"/>
      <c r="C2813" s="5"/>
    </row>
    <row r="2814" spans="1:3" x14ac:dyDescent="0.25">
      <c r="A2814" s="5"/>
      <c r="B2814" s="5"/>
      <c r="C2814" s="5"/>
    </row>
    <row r="2815" spans="1:3" x14ac:dyDescent="0.25">
      <c r="A2815" s="5"/>
      <c r="B2815" s="5"/>
      <c r="C2815" s="5"/>
    </row>
    <row r="2816" spans="1:3" x14ac:dyDescent="0.25">
      <c r="A2816" s="5"/>
      <c r="B2816" s="5"/>
      <c r="C2816" s="5"/>
    </row>
    <row r="2817" spans="1:3" x14ac:dyDescent="0.25">
      <c r="A2817" s="5"/>
      <c r="B2817" s="5"/>
      <c r="C2817" s="5"/>
    </row>
    <row r="2818" spans="1:3" x14ac:dyDescent="0.25">
      <c r="A2818" s="5"/>
      <c r="B2818" s="5"/>
      <c r="C2818" s="5"/>
    </row>
    <row r="2819" spans="1:3" x14ac:dyDescent="0.25">
      <c r="A2819" s="5"/>
      <c r="B2819" s="5"/>
      <c r="C2819" s="5"/>
    </row>
    <row r="2820" spans="1:3" x14ac:dyDescent="0.25">
      <c r="A2820" s="5"/>
      <c r="B2820" s="5"/>
      <c r="C2820" s="5"/>
    </row>
    <row r="2821" spans="1:3" x14ac:dyDescent="0.25">
      <c r="A2821" s="5"/>
      <c r="B2821" s="5"/>
      <c r="C2821" s="5"/>
    </row>
    <row r="2822" spans="1:3" x14ac:dyDescent="0.25">
      <c r="A2822" s="5"/>
      <c r="B2822" s="5"/>
      <c r="C2822" s="5"/>
    </row>
    <row r="2823" spans="1:3" x14ac:dyDescent="0.25">
      <c r="A2823" s="5"/>
      <c r="B2823" s="5"/>
      <c r="C2823" s="5"/>
    </row>
    <row r="2824" spans="1:3" x14ac:dyDescent="0.25">
      <c r="A2824" s="5"/>
      <c r="B2824" s="5"/>
      <c r="C2824" s="5"/>
    </row>
    <row r="2825" spans="1:3" x14ac:dyDescent="0.25">
      <c r="A2825" s="5"/>
      <c r="B2825" s="5"/>
      <c r="C2825" s="5"/>
    </row>
    <row r="2826" spans="1:3" x14ac:dyDescent="0.25">
      <c r="A2826" s="5"/>
      <c r="B2826" s="5"/>
      <c r="C2826" s="5"/>
    </row>
    <row r="2827" spans="1:3" x14ac:dyDescent="0.25">
      <c r="A2827" s="5"/>
      <c r="B2827" s="5"/>
      <c r="C2827" s="5"/>
    </row>
    <row r="2828" spans="1:3" x14ac:dyDescent="0.25">
      <c r="A2828" s="5"/>
      <c r="B2828" s="5"/>
      <c r="C2828" s="5"/>
    </row>
    <row r="2829" spans="1:3" x14ac:dyDescent="0.25">
      <c r="A2829" s="5"/>
      <c r="B2829" s="5"/>
      <c r="C2829" s="5"/>
    </row>
    <row r="2830" spans="1:3" x14ac:dyDescent="0.25">
      <c r="A2830" s="5"/>
      <c r="B2830" s="5"/>
      <c r="C2830" s="5"/>
    </row>
    <row r="2831" spans="1:3" x14ac:dyDescent="0.25">
      <c r="A2831" s="5"/>
      <c r="B2831" s="5"/>
      <c r="C2831" s="5"/>
    </row>
    <row r="2832" spans="1:3" x14ac:dyDescent="0.25">
      <c r="A2832" s="5"/>
      <c r="B2832" s="5"/>
      <c r="C2832" s="5"/>
    </row>
    <row r="2833" spans="1:3" x14ac:dyDescent="0.25">
      <c r="A2833" s="5"/>
      <c r="B2833" s="5"/>
      <c r="C2833" s="5"/>
    </row>
    <row r="2834" spans="1:3" x14ac:dyDescent="0.25">
      <c r="A2834" s="5"/>
      <c r="B2834" s="5"/>
      <c r="C2834" s="5"/>
    </row>
    <row r="2835" spans="1:3" x14ac:dyDescent="0.25">
      <c r="A2835" s="5"/>
      <c r="B2835" s="5"/>
      <c r="C2835" s="5"/>
    </row>
    <row r="2836" spans="1:3" x14ac:dyDescent="0.25">
      <c r="A2836" s="5"/>
      <c r="B2836" s="5"/>
      <c r="C2836" s="5"/>
    </row>
    <row r="2837" spans="1:3" x14ac:dyDescent="0.25">
      <c r="A2837" s="5"/>
      <c r="B2837" s="5"/>
      <c r="C2837" s="5"/>
    </row>
    <row r="2838" spans="1:3" x14ac:dyDescent="0.25">
      <c r="A2838" s="5"/>
      <c r="B2838" s="5"/>
      <c r="C2838" s="5"/>
    </row>
    <row r="2839" spans="1:3" x14ac:dyDescent="0.25">
      <c r="A2839" s="5"/>
      <c r="B2839" s="5"/>
      <c r="C2839" s="5"/>
    </row>
    <row r="2840" spans="1:3" x14ac:dyDescent="0.25">
      <c r="A2840" s="5"/>
      <c r="B2840" s="5"/>
      <c r="C2840" s="5"/>
    </row>
    <row r="2841" spans="1:3" x14ac:dyDescent="0.25">
      <c r="A2841" s="5"/>
      <c r="B2841" s="5"/>
      <c r="C2841" s="5"/>
    </row>
    <row r="2842" spans="1:3" x14ac:dyDescent="0.25">
      <c r="A2842" s="5"/>
      <c r="B2842" s="5"/>
      <c r="C2842" s="5"/>
    </row>
    <row r="2843" spans="1:3" x14ac:dyDescent="0.25">
      <c r="A2843" s="5"/>
      <c r="B2843" s="5"/>
      <c r="C2843" s="5"/>
    </row>
    <row r="2844" spans="1:3" x14ac:dyDescent="0.25">
      <c r="A2844" s="5"/>
      <c r="B2844" s="5"/>
      <c r="C2844" s="5"/>
    </row>
    <row r="2845" spans="1:3" x14ac:dyDescent="0.25">
      <c r="A2845" s="5"/>
      <c r="B2845" s="5"/>
      <c r="C2845" s="5"/>
    </row>
    <row r="2846" spans="1:3" x14ac:dyDescent="0.25">
      <c r="A2846" s="5"/>
      <c r="B2846" s="5"/>
      <c r="C2846" s="5"/>
    </row>
    <row r="2847" spans="1:3" x14ac:dyDescent="0.25">
      <c r="A2847" s="5"/>
      <c r="B2847" s="5"/>
      <c r="C2847" s="5"/>
    </row>
    <row r="2848" spans="1:3" x14ac:dyDescent="0.25">
      <c r="A2848" s="5"/>
      <c r="B2848" s="5"/>
      <c r="C2848" s="5"/>
    </row>
    <row r="2849" spans="1:3" x14ac:dyDescent="0.25">
      <c r="A2849" s="5"/>
      <c r="B2849" s="5"/>
      <c r="C2849" s="5"/>
    </row>
    <row r="2850" spans="1:3" x14ac:dyDescent="0.25">
      <c r="A2850" s="5"/>
      <c r="B2850" s="5"/>
      <c r="C2850" s="5"/>
    </row>
    <row r="2851" spans="1:3" x14ac:dyDescent="0.25">
      <c r="A2851" s="5"/>
      <c r="B2851" s="5"/>
      <c r="C2851" s="5"/>
    </row>
    <row r="2852" spans="1:3" x14ac:dyDescent="0.25">
      <c r="A2852" s="5"/>
      <c r="B2852" s="5"/>
      <c r="C2852" s="5"/>
    </row>
    <row r="2853" spans="1:3" x14ac:dyDescent="0.25">
      <c r="A2853" s="5"/>
      <c r="B2853" s="5"/>
      <c r="C2853" s="5"/>
    </row>
    <row r="2854" spans="1:3" x14ac:dyDescent="0.25">
      <c r="A2854" s="5"/>
      <c r="B2854" s="5"/>
      <c r="C2854" s="5"/>
    </row>
    <row r="2855" spans="1:3" x14ac:dyDescent="0.25">
      <c r="A2855" s="5"/>
      <c r="B2855" s="5"/>
      <c r="C2855" s="5"/>
    </row>
    <row r="2856" spans="1:3" x14ac:dyDescent="0.25">
      <c r="A2856" s="5"/>
      <c r="B2856" s="5"/>
      <c r="C2856" s="5"/>
    </row>
    <row r="2857" spans="1:3" x14ac:dyDescent="0.25">
      <c r="A2857" s="5"/>
      <c r="B2857" s="5"/>
      <c r="C2857" s="5"/>
    </row>
    <row r="2858" spans="1:3" x14ac:dyDescent="0.25">
      <c r="A2858" s="5"/>
      <c r="B2858" s="5"/>
      <c r="C2858" s="5"/>
    </row>
    <row r="2859" spans="1:3" x14ac:dyDescent="0.25">
      <c r="A2859" s="5"/>
      <c r="B2859" s="5"/>
      <c r="C2859" s="5"/>
    </row>
    <row r="2860" spans="1:3" x14ac:dyDescent="0.25">
      <c r="A2860" s="5"/>
      <c r="B2860" s="5"/>
      <c r="C2860" s="5"/>
    </row>
    <row r="2861" spans="1:3" x14ac:dyDescent="0.25">
      <c r="A2861" s="5"/>
      <c r="B2861" s="5"/>
      <c r="C2861" s="5"/>
    </row>
    <row r="2862" spans="1:3" x14ac:dyDescent="0.25">
      <c r="A2862" s="5"/>
      <c r="B2862" s="5"/>
      <c r="C2862" s="5"/>
    </row>
    <row r="2863" spans="1:3" x14ac:dyDescent="0.25">
      <c r="A2863" s="5"/>
      <c r="B2863" s="5"/>
      <c r="C2863" s="5"/>
    </row>
    <row r="2864" spans="1:3" x14ac:dyDescent="0.25">
      <c r="A2864" s="5"/>
      <c r="B2864" s="5"/>
      <c r="C2864" s="5"/>
    </row>
    <row r="2865" spans="1:3" x14ac:dyDescent="0.25">
      <c r="A2865" s="5"/>
      <c r="B2865" s="5"/>
      <c r="C2865" s="5"/>
    </row>
    <row r="2866" spans="1:3" x14ac:dyDescent="0.25">
      <c r="A2866" s="5"/>
      <c r="B2866" s="5"/>
      <c r="C2866" s="5"/>
    </row>
    <row r="2867" spans="1:3" x14ac:dyDescent="0.25">
      <c r="A2867" s="5"/>
      <c r="B2867" s="5"/>
      <c r="C2867" s="5"/>
    </row>
    <row r="2868" spans="1:3" x14ac:dyDescent="0.25">
      <c r="A2868" s="5"/>
      <c r="B2868" s="5"/>
      <c r="C2868" s="5"/>
    </row>
    <row r="2869" spans="1:3" x14ac:dyDescent="0.25">
      <c r="A2869" s="5"/>
      <c r="B2869" s="5"/>
      <c r="C2869" s="5"/>
    </row>
    <row r="2870" spans="1:3" x14ac:dyDescent="0.25">
      <c r="A2870" s="5"/>
      <c r="B2870" s="5"/>
      <c r="C2870" s="5"/>
    </row>
    <row r="2871" spans="1:3" x14ac:dyDescent="0.25">
      <c r="A2871" s="5"/>
      <c r="B2871" s="5"/>
      <c r="C2871" s="5"/>
    </row>
    <row r="2872" spans="1:3" x14ac:dyDescent="0.25">
      <c r="A2872" s="5"/>
      <c r="B2872" s="5"/>
      <c r="C2872" s="5"/>
    </row>
    <row r="2873" spans="1:3" x14ac:dyDescent="0.25">
      <c r="A2873" s="5"/>
      <c r="B2873" s="5"/>
      <c r="C2873" s="5"/>
    </row>
    <row r="2874" spans="1:3" x14ac:dyDescent="0.25">
      <c r="A2874" s="5"/>
      <c r="B2874" s="5"/>
      <c r="C2874" s="5"/>
    </row>
    <row r="2875" spans="1:3" x14ac:dyDescent="0.25">
      <c r="A2875" s="5"/>
      <c r="B2875" s="5"/>
      <c r="C2875" s="5"/>
    </row>
    <row r="2876" spans="1:3" x14ac:dyDescent="0.25">
      <c r="A2876" s="5"/>
      <c r="B2876" s="5"/>
      <c r="C2876" s="5"/>
    </row>
    <row r="2877" spans="1:3" x14ac:dyDescent="0.25">
      <c r="A2877" s="5"/>
      <c r="B2877" s="5"/>
      <c r="C2877" s="5"/>
    </row>
    <row r="2878" spans="1:3" x14ac:dyDescent="0.25">
      <c r="A2878" s="5"/>
      <c r="B2878" s="5"/>
      <c r="C2878" s="5"/>
    </row>
    <row r="2879" spans="1:3" x14ac:dyDescent="0.25">
      <c r="A2879" s="5"/>
      <c r="B2879" s="5"/>
      <c r="C2879" s="5"/>
    </row>
    <row r="2880" spans="1:3" x14ac:dyDescent="0.25">
      <c r="A2880" s="5"/>
      <c r="B2880" s="5"/>
      <c r="C2880" s="5"/>
    </row>
    <row r="2881" spans="1:3" x14ac:dyDescent="0.25">
      <c r="A2881" s="5"/>
      <c r="B2881" s="5"/>
      <c r="C2881" s="5"/>
    </row>
    <row r="2882" spans="1:3" x14ac:dyDescent="0.25">
      <c r="A2882" s="5"/>
      <c r="B2882" s="5"/>
      <c r="C2882" s="5"/>
    </row>
    <row r="2883" spans="1:3" x14ac:dyDescent="0.25">
      <c r="A2883" s="5"/>
      <c r="B2883" s="5"/>
      <c r="C2883" s="5"/>
    </row>
    <row r="2884" spans="1:3" x14ac:dyDescent="0.25">
      <c r="A2884" s="5"/>
      <c r="B2884" s="5"/>
      <c r="C2884" s="5"/>
    </row>
    <row r="2885" spans="1:3" x14ac:dyDescent="0.25">
      <c r="A2885" s="5"/>
      <c r="B2885" s="5"/>
      <c r="C2885" s="5"/>
    </row>
    <row r="2886" spans="1:3" x14ac:dyDescent="0.25">
      <c r="A2886" s="5"/>
      <c r="B2886" s="5"/>
      <c r="C2886" s="5"/>
    </row>
    <row r="2887" spans="1:3" x14ac:dyDescent="0.25">
      <c r="A2887" s="5"/>
      <c r="B2887" s="5"/>
      <c r="C2887" s="5"/>
    </row>
    <row r="2888" spans="1:3" x14ac:dyDescent="0.25">
      <c r="A2888" s="5"/>
      <c r="B2888" s="5"/>
      <c r="C2888" s="5"/>
    </row>
    <row r="2889" spans="1:3" x14ac:dyDescent="0.25">
      <c r="A2889" s="5"/>
      <c r="B2889" s="5"/>
      <c r="C2889" s="5"/>
    </row>
    <row r="2890" spans="1:3" x14ac:dyDescent="0.25">
      <c r="A2890" s="5"/>
      <c r="B2890" s="5"/>
      <c r="C2890" s="5"/>
    </row>
    <row r="2891" spans="1:3" x14ac:dyDescent="0.25">
      <c r="A2891" s="5"/>
      <c r="B2891" s="5"/>
      <c r="C2891" s="5"/>
    </row>
    <row r="2892" spans="1:3" x14ac:dyDescent="0.25">
      <c r="A2892" s="5"/>
      <c r="B2892" s="5"/>
      <c r="C2892" s="5"/>
    </row>
    <row r="2893" spans="1:3" x14ac:dyDescent="0.25">
      <c r="A2893" s="5"/>
      <c r="B2893" s="5"/>
      <c r="C2893" s="5"/>
    </row>
    <row r="2894" spans="1:3" x14ac:dyDescent="0.25">
      <c r="A2894" s="5"/>
      <c r="B2894" s="5"/>
      <c r="C2894" s="5"/>
    </row>
    <row r="2895" spans="1:3" x14ac:dyDescent="0.25">
      <c r="A2895" s="5"/>
      <c r="B2895" s="5"/>
      <c r="C2895" s="5"/>
    </row>
    <row r="2896" spans="1:3" x14ac:dyDescent="0.25">
      <c r="A2896" s="5"/>
      <c r="B2896" s="5"/>
      <c r="C2896" s="5"/>
    </row>
    <row r="2897" spans="1:3" x14ac:dyDescent="0.25">
      <c r="A2897" s="5"/>
      <c r="B2897" s="5"/>
      <c r="C2897" s="5"/>
    </row>
    <row r="2898" spans="1:3" x14ac:dyDescent="0.25">
      <c r="A2898" s="5"/>
      <c r="B2898" s="5"/>
      <c r="C2898" s="5"/>
    </row>
    <row r="2899" spans="1:3" x14ac:dyDescent="0.25">
      <c r="A2899" s="5"/>
      <c r="B2899" s="5"/>
      <c r="C2899" s="5"/>
    </row>
    <row r="2900" spans="1:3" x14ac:dyDescent="0.25">
      <c r="A2900" s="5"/>
      <c r="B2900" s="5"/>
      <c r="C2900" s="5"/>
    </row>
    <row r="2901" spans="1:3" x14ac:dyDescent="0.25">
      <c r="A2901" s="5"/>
      <c r="B2901" s="5"/>
      <c r="C2901" s="5"/>
    </row>
    <row r="2902" spans="1:3" x14ac:dyDescent="0.25">
      <c r="A2902" s="5"/>
      <c r="B2902" s="5"/>
      <c r="C2902" s="5"/>
    </row>
    <row r="2903" spans="1:3" x14ac:dyDescent="0.25">
      <c r="A2903" s="5"/>
      <c r="B2903" s="5"/>
      <c r="C2903" s="5"/>
    </row>
    <row r="2904" spans="1:3" x14ac:dyDescent="0.25">
      <c r="A2904" s="5"/>
      <c r="B2904" s="5"/>
      <c r="C2904" s="5"/>
    </row>
    <row r="2905" spans="1:3" x14ac:dyDescent="0.25">
      <c r="A2905" s="5"/>
      <c r="B2905" s="5"/>
      <c r="C2905" s="5"/>
    </row>
    <row r="2906" spans="1:3" x14ac:dyDescent="0.25">
      <c r="A2906" s="5"/>
      <c r="B2906" s="5"/>
      <c r="C2906" s="5"/>
    </row>
    <row r="2907" spans="1:3" x14ac:dyDescent="0.25">
      <c r="A2907" s="5"/>
      <c r="B2907" s="5"/>
      <c r="C2907" s="5"/>
    </row>
    <row r="2908" spans="1:3" x14ac:dyDescent="0.25">
      <c r="A2908" s="5"/>
      <c r="B2908" s="5"/>
      <c r="C2908" s="5"/>
    </row>
    <row r="2909" spans="1:3" x14ac:dyDescent="0.25">
      <c r="A2909" s="5"/>
      <c r="B2909" s="5"/>
      <c r="C2909" s="5"/>
    </row>
    <row r="2910" spans="1:3" x14ac:dyDescent="0.25">
      <c r="A2910" s="5"/>
      <c r="B2910" s="5"/>
      <c r="C2910" s="5"/>
    </row>
    <row r="2911" spans="1:3" x14ac:dyDescent="0.25">
      <c r="A2911" s="5"/>
      <c r="B2911" s="5"/>
      <c r="C2911" s="5"/>
    </row>
    <row r="2912" spans="1:3" x14ac:dyDescent="0.25">
      <c r="A2912" s="5"/>
      <c r="B2912" s="5"/>
      <c r="C2912" s="5"/>
    </row>
    <row r="2913" spans="1:3" x14ac:dyDescent="0.25">
      <c r="A2913" s="5"/>
      <c r="B2913" s="5"/>
      <c r="C2913" s="5"/>
    </row>
    <row r="2914" spans="1:3" x14ac:dyDescent="0.25">
      <c r="A2914" s="5"/>
      <c r="B2914" s="5"/>
      <c r="C2914" s="5"/>
    </row>
    <row r="2915" spans="1:3" x14ac:dyDescent="0.25">
      <c r="A2915" s="5"/>
      <c r="B2915" s="5"/>
      <c r="C2915" s="5"/>
    </row>
    <row r="2916" spans="1:3" x14ac:dyDescent="0.25">
      <c r="A2916" s="5"/>
      <c r="B2916" s="5"/>
      <c r="C2916" s="5"/>
    </row>
    <row r="2917" spans="1:3" x14ac:dyDescent="0.25">
      <c r="A2917" s="5"/>
      <c r="B2917" s="5"/>
      <c r="C2917" s="5"/>
    </row>
    <row r="2918" spans="1:3" x14ac:dyDescent="0.25">
      <c r="A2918" s="5"/>
      <c r="B2918" s="5"/>
      <c r="C2918" s="5"/>
    </row>
    <row r="2919" spans="1:3" x14ac:dyDescent="0.25">
      <c r="A2919" s="5"/>
      <c r="B2919" s="5"/>
      <c r="C2919" s="5"/>
    </row>
    <row r="2920" spans="1:3" x14ac:dyDescent="0.25">
      <c r="A2920" s="5"/>
      <c r="B2920" s="5"/>
      <c r="C2920" s="5"/>
    </row>
    <row r="2921" spans="1:3" x14ac:dyDescent="0.25">
      <c r="A2921" s="5"/>
      <c r="B2921" s="5"/>
      <c r="C2921" s="5"/>
    </row>
    <row r="2922" spans="1:3" x14ac:dyDescent="0.25">
      <c r="A2922" s="5"/>
      <c r="B2922" s="5"/>
      <c r="C2922" s="5"/>
    </row>
    <row r="2923" spans="1:3" x14ac:dyDescent="0.25">
      <c r="A2923" s="5"/>
      <c r="B2923" s="5"/>
      <c r="C2923" s="5"/>
    </row>
    <row r="2924" spans="1:3" x14ac:dyDescent="0.25">
      <c r="A2924" s="5"/>
      <c r="B2924" s="5"/>
      <c r="C2924" s="5"/>
    </row>
    <row r="2925" spans="1:3" x14ac:dyDescent="0.25">
      <c r="A2925" s="5"/>
      <c r="B2925" s="5"/>
      <c r="C2925" s="5"/>
    </row>
    <row r="2926" spans="1:3" x14ac:dyDescent="0.25">
      <c r="A2926" s="5"/>
      <c r="B2926" s="5"/>
      <c r="C2926" s="5"/>
    </row>
    <row r="2927" spans="1:3" x14ac:dyDescent="0.25">
      <c r="A2927" s="5"/>
      <c r="B2927" s="5"/>
      <c r="C2927" s="5"/>
    </row>
    <row r="2928" spans="1:3" x14ac:dyDescent="0.25">
      <c r="A2928" s="5"/>
      <c r="B2928" s="5"/>
      <c r="C2928" s="5"/>
    </row>
    <row r="2929" spans="1:3" x14ac:dyDescent="0.25">
      <c r="A2929" s="5"/>
      <c r="B2929" s="5"/>
      <c r="C2929" s="5"/>
    </row>
    <row r="2930" spans="1:3" x14ac:dyDescent="0.25">
      <c r="A2930" s="5"/>
      <c r="B2930" s="5"/>
      <c r="C2930" s="5"/>
    </row>
    <row r="2931" spans="1:3" x14ac:dyDescent="0.25">
      <c r="A2931" s="5"/>
      <c r="B2931" s="5"/>
      <c r="C2931" s="5"/>
    </row>
    <row r="2932" spans="1:3" x14ac:dyDescent="0.25">
      <c r="A2932" s="5"/>
      <c r="B2932" s="5"/>
      <c r="C2932" s="5"/>
    </row>
    <row r="2933" spans="1:3" x14ac:dyDescent="0.25">
      <c r="A2933" s="5"/>
      <c r="B2933" s="5"/>
      <c r="C2933" s="5"/>
    </row>
    <row r="2934" spans="1:3" x14ac:dyDescent="0.25">
      <c r="A2934" s="5"/>
      <c r="B2934" s="5"/>
      <c r="C2934" s="5"/>
    </row>
    <row r="2935" spans="1:3" x14ac:dyDescent="0.25">
      <c r="A2935" s="5"/>
      <c r="B2935" s="5"/>
      <c r="C2935" s="5"/>
    </row>
    <row r="2936" spans="1:3" x14ac:dyDescent="0.25">
      <c r="A2936" s="5"/>
      <c r="B2936" s="5"/>
      <c r="C2936" s="5"/>
    </row>
    <row r="2937" spans="1:3" x14ac:dyDescent="0.25">
      <c r="A2937" s="5"/>
      <c r="B2937" s="5"/>
      <c r="C2937" s="5"/>
    </row>
    <row r="2938" spans="1:3" x14ac:dyDescent="0.25">
      <c r="A2938" s="5"/>
      <c r="B2938" s="5"/>
      <c r="C2938" s="5"/>
    </row>
    <row r="2939" spans="1:3" x14ac:dyDescent="0.25">
      <c r="A2939" s="5"/>
      <c r="B2939" s="5"/>
      <c r="C2939" s="5"/>
    </row>
    <row r="2940" spans="1:3" x14ac:dyDescent="0.25">
      <c r="A2940" s="5"/>
      <c r="B2940" s="5"/>
      <c r="C2940" s="5"/>
    </row>
    <row r="2941" spans="1:3" x14ac:dyDescent="0.25">
      <c r="A2941" s="5"/>
      <c r="B2941" s="5"/>
      <c r="C2941" s="5"/>
    </row>
    <row r="2942" spans="1:3" x14ac:dyDescent="0.25">
      <c r="A2942" s="5"/>
      <c r="B2942" s="5"/>
      <c r="C2942" s="5"/>
    </row>
    <row r="2943" spans="1:3" x14ac:dyDescent="0.25">
      <c r="A2943" s="5"/>
      <c r="B2943" s="5"/>
      <c r="C2943" s="5"/>
    </row>
    <row r="2944" spans="1:3" x14ac:dyDescent="0.25">
      <c r="A2944" s="5"/>
      <c r="B2944" s="5"/>
      <c r="C2944" s="5"/>
    </row>
    <row r="2945" spans="1:3" x14ac:dyDescent="0.25">
      <c r="A2945" s="5"/>
      <c r="B2945" s="5"/>
      <c r="C2945" s="5"/>
    </row>
    <row r="2946" spans="1:3" x14ac:dyDescent="0.25">
      <c r="A2946" s="5"/>
      <c r="B2946" s="5"/>
      <c r="C2946" s="5"/>
    </row>
    <row r="2947" spans="1:3" x14ac:dyDescent="0.25">
      <c r="A2947" s="5"/>
      <c r="B2947" s="5"/>
      <c r="C2947" s="5"/>
    </row>
    <row r="2948" spans="1:3" x14ac:dyDescent="0.25">
      <c r="A2948" s="5"/>
      <c r="B2948" s="5"/>
      <c r="C2948" s="5"/>
    </row>
    <row r="2949" spans="1:3" x14ac:dyDescent="0.25">
      <c r="A2949" s="5"/>
      <c r="B2949" s="5"/>
      <c r="C2949" s="5"/>
    </row>
    <row r="2950" spans="1:3" x14ac:dyDescent="0.25">
      <c r="A2950" s="5"/>
      <c r="B2950" s="5"/>
      <c r="C2950" s="5"/>
    </row>
    <row r="2951" spans="1:3" x14ac:dyDescent="0.25">
      <c r="A2951" s="5"/>
      <c r="B2951" s="5"/>
      <c r="C2951" s="5"/>
    </row>
    <row r="2952" spans="1:3" x14ac:dyDescent="0.25">
      <c r="A2952" s="5"/>
      <c r="B2952" s="5"/>
      <c r="C2952" s="5"/>
    </row>
    <row r="2953" spans="1:3" x14ac:dyDescent="0.25">
      <c r="A2953" s="5"/>
      <c r="B2953" s="5"/>
      <c r="C2953" s="5"/>
    </row>
    <row r="2954" spans="1:3" x14ac:dyDescent="0.25">
      <c r="A2954" s="5"/>
      <c r="B2954" s="5"/>
      <c r="C2954" s="5"/>
    </row>
    <row r="2955" spans="1:3" x14ac:dyDescent="0.25">
      <c r="A2955" s="5"/>
      <c r="B2955" s="5"/>
      <c r="C2955" s="5"/>
    </row>
    <row r="2956" spans="1:3" x14ac:dyDescent="0.25">
      <c r="A2956" s="5"/>
      <c r="B2956" s="5"/>
      <c r="C2956" s="5"/>
    </row>
    <row r="2957" spans="1:3" x14ac:dyDescent="0.25">
      <c r="A2957" s="5"/>
      <c r="B2957" s="5"/>
      <c r="C2957" s="5"/>
    </row>
    <row r="2958" spans="1:3" x14ac:dyDescent="0.25">
      <c r="A2958" s="5"/>
      <c r="B2958" s="5"/>
      <c r="C2958" s="5"/>
    </row>
    <row r="2959" spans="1:3" x14ac:dyDescent="0.25">
      <c r="A2959" s="5"/>
      <c r="B2959" s="5"/>
      <c r="C2959" s="5"/>
    </row>
    <row r="2960" spans="1:3" x14ac:dyDescent="0.25">
      <c r="A2960" s="5"/>
      <c r="B2960" s="5"/>
      <c r="C2960" s="5"/>
    </row>
    <row r="2961" spans="1:3" x14ac:dyDescent="0.25">
      <c r="A2961" s="5"/>
      <c r="B2961" s="5"/>
      <c r="C2961" s="5"/>
    </row>
    <row r="2962" spans="1:3" x14ac:dyDescent="0.25">
      <c r="A2962" s="5"/>
      <c r="B2962" s="5"/>
      <c r="C2962" s="5"/>
    </row>
    <row r="2963" spans="1:3" x14ac:dyDescent="0.25">
      <c r="A2963" s="5"/>
      <c r="B2963" s="5"/>
      <c r="C2963" s="5"/>
    </row>
    <row r="2964" spans="1:3" x14ac:dyDescent="0.25">
      <c r="A2964" s="5"/>
      <c r="B2964" s="5"/>
      <c r="C2964" s="5"/>
    </row>
    <row r="2965" spans="1:3" x14ac:dyDescent="0.25">
      <c r="A2965" s="5"/>
      <c r="B2965" s="5"/>
      <c r="C2965" s="5"/>
    </row>
    <row r="2966" spans="1:3" x14ac:dyDescent="0.25">
      <c r="A2966" s="5"/>
      <c r="B2966" s="5"/>
      <c r="C2966" s="5"/>
    </row>
    <row r="2967" spans="1:3" x14ac:dyDescent="0.25">
      <c r="A2967" s="5"/>
      <c r="B2967" s="5"/>
      <c r="C2967" s="5"/>
    </row>
    <row r="2968" spans="1:3" x14ac:dyDescent="0.25">
      <c r="A2968" s="5"/>
      <c r="B2968" s="5"/>
      <c r="C2968" s="5"/>
    </row>
    <row r="2969" spans="1:3" x14ac:dyDescent="0.25">
      <c r="A2969" s="5"/>
      <c r="B2969" s="5"/>
      <c r="C2969" s="5"/>
    </row>
    <row r="2970" spans="1:3" x14ac:dyDescent="0.25">
      <c r="A2970" s="5"/>
      <c r="B2970" s="5"/>
      <c r="C2970" s="5"/>
    </row>
    <row r="2971" spans="1:3" x14ac:dyDescent="0.25">
      <c r="A2971" s="5"/>
      <c r="B2971" s="5"/>
      <c r="C2971" s="5"/>
    </row>
    <row r="2972" spans="1:3" x14ac:dyDescent="0.25">
      <c r="A2972" s="5"/>
      <c r="B2972" s="5"/>
      <c r="C2972" s="5"/>
    </row>
    <row r="2973" spans="1:3" x14ac:dyDescent="0.25">
      <c r="A2973" s="5"/>
      <c r="B2973" s="5"/>
      <c r="C2973" s="5"/>
    </row>
    <row r="2974" spans="1:3" x14ac:dyDescent="0.25">
      <c r="A2974" s="5"/>
      <c r="B2974" s="5"/>
      <c r="C2974" s="5"/>
    </row>
    <row r="2975" spans="1:3" x14ac:dyDescent="0.25">
      <c r="A2975" s="5"/>
      <c r="B2975" s="5"/>
      <c r="C2975" s="5"/>
    </row>
    <row r="2976" spans="1:3" x14ac:dyDescent="0.25">
      <c r="A2976" s="5"/>
      <c r="B2976" s="5"/>
      <c r="C2976" s="5"/>
    </row>
    <row r="2977" spans="1:3" x14ac:dyDescent="0.25">
      <c r="A2977" s="5"/>
      <c r="B2977" s="5"/>
      <c r="C2977" s="5"/>
    </row>
    <row r="2978" spans="1:3" x14ac:dyDescent="0.25">
      <c r="A2978" s="5"/>
      <c r="B2978" s="5"/>
      <c r="C2978" s="5"/>
    </row>
    <row r="2979" spans="1:3" x14ac:dyDescent="0.25">
      <c r="A2979" s="5"/>
      <c r="B2979" s="5"/>
      <c r="C2979" s="5"/>
    </row>
    <row r="2980" spans="1:3" x14ac:dyDescent="0.25">
      <c r="A2980" s="5"/>
      <c r="B2980" s="5"/>
      <c r="C2980" s="5"/>
    </row>
    <row r="2981" spans="1:3" x14ac:dyDescent="0.25">
      <c r="A2981" s="5"/>
      <c r="B2981" s="5"/>
      <c r="C2981" s="5"/>
    </row>
    <row r="2982" spans="1:3" x14ac:dyDescent="0.25">
      <c r="A2982" s="5"/>
      <c r="B2982" s="5"/>
      <c r="C2982" s="5"/>
    </row>
    <row r="2983" spans="1:3" x14ac:dyDescent="0.25">
      <c r="A2983" s="5"/>
      <c r="B2983" s="5"/>
      <c r="C2983" s="5"/>
    </row>
    <row r="2984" spans="1:3" x14ac:dyDescent="0.25">
      <c r="A2984" s="5"/>
      <c r="B2984" s="5"/>
      <c r="C2984" s="5"/>
    </row>
    <row r="2985" spans="1:3" x14ac:dyDescent="0.25">
      <c r="A2985" s="5"/>
      <c r="B2985" s="5"/>
      <c r="C2985" s="5"/>
    </row>
    <row r="2986" spans="1:3" x14ac:dyDescent="0.25">
      <c r="A2986" s="5"/>
      <c r="B2986" s="5"/>
      <c r="C2986" s="5"/>
    </row>
    <row r="2987" spans="1:3" x14ac:dyDescent="0.25">
      <c r="A2987" s="5"/>
      <c r="B2987" s="5"/>
      <c r="C2987" s="5"/>
    </row>
    <row r="2988" spans="1:3" x14ac:dyDescent="0.25">
      <c r="A2988" s="5"/>
      <c r="B2988" s="5"/>
      <c r="C2988" s="5"/>
    </row>
    <row r="2989" spans="1:3" x14ac:dyDescent="0.25">
      <c r="A2989" s="5"/>
      <c r="B2989" s="5"/>
      <c r="C2989" s="5"/>
    </row>
    <row r="2990" spans="1:3" x14ac:dyDescent="0.25">
      <c r="A2990" s="5"/>
      <c r="B2990" s="5"/>
      <c r="C2990" s="5"/>
    </row>
    <row r="2991" spans="1:3" x14ac:dyDescent="0.25">
      <c r="A2991" s="5"/>
      <c r="B2991" s="5"/>
      <c r="C2991" s="5"/>
    </row>
    <row r="2992" spans="1:3" x14ac:dyDescent="0.25">
      <c r="A2992" s="5"/>
      <c r="B2992" s="5"/>
      <c r="C2992" s="5"/>
    </row>
    <row r="2993" spans="1:3" x14ac:dyDescent="0.25">
      <c r="A2993" s="5"/>
      <c r="B2993" s="5"/>
      <c r="C2993" s="5"/>
    </row>
    <row r="2994" spans="1:3" x14ac:dyDescent="0.25">
      <c r="A2994" s="5"/>
      <c r="B2994" s="5"/>
      <c r="C2994" s="5"/>
    </row>
    <row r="2995" spans="1:3" x14ac:dyDescent="0.25">
      <c r="A2995" s="5"/>
      <c r="B2995" s="5"/>
      <c r="C2995" s="5"/>
    </row>
    <row r="2996" spans="1:3" x14ac:dyDescent="0.25">
      <c r="A2996" s="5"/>
      <c r="B2996" s="5"/>
      <c r="C2996" s="5"/>
    </row>
    <row r="2997" spans="1:3" x14ac:dyDescent="0.25">
      <c r="A2997" s="5"/>
      <c r="B2997" s="5"/>
      <c r="C2997" s="5"/>
    </row>
    <row r="2998" spans="1:3" x14ac:dyDescent="0.25">
      <c r="A2998" s="5"/>
      <c r="B2998" s="5"/>
      <c r="C2998" s="5"/>
    </row>
    <row r="2999" spans="1:3" x14ac:dyDescent="0.25">
      <c r="A2999" s="5"/>
      <c r="B2999" s="5"/>
      <c r="C2999" s="5"/>
    </row>
    <row r="3000" spans="1:3" x14ac:dyDescent="0.25">
      <c r="A3000" s="5"/>
      <c r="B3000" s="5"/>
      <c r="C3000" s="5"/>
    </row>
    <row r="3001" spans="1:3" x14ac:dyDescent="0.25">
      <c r="A3001" s="5"/>
      <c r="B3001" s="5"/>
      <c r="C3001" s="5"/>
    </row>
    <row r="3002" spans="1:3" x14ac:dyDescent="0.25">
      <c r="A3002" s="5"/>
      <c r="B3002" s="5"/>
      <c r="C3002" s="5"/>
    </row>
    <row r="3003" spans="1:3" x14ac:dyDescent="0.25">
      <c r="A3003" s="5"/>
      <c r="B3003" s="5"/>
      <c r="C3003" s="5"/>
    </row>
    <row r="3004" spans="1:3" x14ac:dyDescent="0.25">
      <c r="A3004" s="5"/>
      <c r="B3004" s="5"/>
      <c r="C3004" s="5"/>
    </row>
    <row r="3005" spans="1:3" x14ac:dyDescent="0.25">
      <c r="A3005" s="5"/>
      <c r="B3005" s="5"/>
      <c r="C3005" s="5"/>
    </row>
    <row r="3006" spans="1:3" x14ac:dyDescent="0.25">
      <c r="A3006" s="5"/>
      <c r="B3006" s="5"/>
      <c r="C3006" s="5"/>
    </row>
    <row r="3007" spans="1:3" x14ac:dyDescent="0.25">
      <c r="A3007" s="5"/>
      <c r="B3007" s="5"/>
      <c r="C3007" s="5"/>
    </row>
    <row r="3008" spans="1:3" x14ac:dyDescent="0.25">
      <c r="A3008" s="5"/>
      <c r="B3008" s="5"/>
      <c r="C3008" s="5"/>
    </row>
    <row r="3009" spans="1:3" x14ac:dyDescent="0.25">
      <c r="A3009" s="5"/>
      <c r="B3009" s="5"/>
      <c r="C3009" s="5"/>
    </row>
    <row r="3010" spans="1:3" x14ac:dyDescent="0.25">
      <c r="A3010" s="5"/>
      <c r="B3010" s="5"/>
      <c r="C3010" s="5"/>
    </row>
    <row r="3011" spans="1:3" x14ac:dyDescent="0.25">
      <c r="A3011" s="5"/>
      <c r="B3011" s="5"/>
      <c r="C3011" s="5"/>
    </row>
    <row r="3012" spans="1:3" x14ac:dyDescent="0.25">
      <c r="A3012" s="5"/>
      <c r="B3012" s="5"/>
      <c r="C3012" s="5"/>
    </row>
    <row r="3013" spans="1:3" x14ac:dyDescent="0.25">
      <c r="A3013" s="5"/>
      <c r="B3013" s="5"/>
      <c r="C3013" s="5"/>
    </row>
    <row r="3014" spans="1:3" x14ac:dyDescent="0.25">
      <c r="A3014" s="5"/>
      <c r="B3014" s="5"/>
      <c r="C3014" s="5"/>
    </row>
    <row r="3015" spans="1:3" x14ac:dyDescent="0.25">
      <c r="A3015" s="5"/>
      <c r="B3015" s="5"/>
      <c r="C3015" s="5"/>
    </row>
    <row r="3016" spans="1:3" x14ac:dyDescent="0.25">
      <c r="A3016" s="5"/>
      <c r="B3016" s="5"/>
      <c r="C3016" s="5"/>
    </row>
    <row r="3017" spans="1:3" x14ac:dyDescent="0.25">
      <c r="A3017" s="5"/>
      <c r="B3017" s="5"/>
      <c r="C3017" s="5"/>
    </row>
    <row r="3018" spans="1:3" x14ac:dyDescent="0.25">
      <c r="A3018" s="5"/>
      <c r="B3018" s="5"/>
      <c r="C3018" s="5"/>
    </row>
    <row r="3019" spans="1:3" x14ac:dyDescent="0.25">
      <c r="A3019" s="5"/>
      <c r="B3019" s="5"/>
      <c r="C3019" s="5"/>
    </row>
    <row r="3020" spans="1:3" x14ac:dyDescent="0.25">
      <c r="A3020" s="5"/>
      <c r="B3020" s="5"/>
      <c r="C3020" s="5"/>
    </row>
    <row r="3021" spans="1:3" x14ac:dyDescent="0.25">
      <c r="A3021" s="5"/>
      <c r="B3021" s="5"/>
      <c r="C3021" s="5"/>
    </row>
    <row r="3022" spans="1:3" x14ac:dyDescent="0.25">
      <c r="A3022" s="5"/>
      <c r="B3022" s="5"/>
      <c r="C3022" s="5"/>
    </row>
    <row r="3023" spans="1:3" x14ac:dyDescent="0.25">
      <c r="A3023" s="5"/>
      <c r="B3023" s="5"/>
      <c r="C3023" s="5"/>
    </row>
    <row r="3024" spans="1:3" x14ac:dyDescent="0.25">
      <c r="A3024" s="5"/>
      <c r="B3024" s="5"/>
      <c r="C3024" s="5"/>
    </row>
    <row r="3025" spans="1:3" x14ac:dyDescent="0.25">
      <c r="A3025" s="5"/>
      <c r="B3025" s="5"/>
      <c r="C3025" s="5"/>
    </row>
    <row r="3026" spans="1:3" x14ac:dyDescent="0.25">
      <c r="A3026" s="5"/>
      <c r="B3026" s="5"/>
      <c r="C3026" s="5"/>
    </row>
    <row r="3027" spans="1:3" x14ac:dyDescent="0.25">
      <c r="A3027" s="5"/>
      <c r="B3027" s="5"/>
      <c r="C3027" s="5"/>
    </row>
    <row r="3028" spans="1:3" x14ac:dyDescent="0.25">
      <c r="A3028" s="5"/>
      <c r="B3028" s="5"/>
      <c r="C3028" s="5"/>
    </row>
    <row r="3029" spans="1:3" x14ac:dyDescent="0.25">
      <c r="A3029" s="5"/>
      <c r="B3029" s="5"/>
      <c r="C3029" s="5"/>
    </row>
    <row r="3030" spans="1:3" x14ac:dyDescent="0.25">
      <c r="A3030" s="5"/>
      <c r="B3030" s="5"/>
      <c r="C3030" s="5"/>
    </row>
    <row r="3031" spans="1:3" x14ac:dyDescent="0.25">
      <c r="A3031" s="5"/>
      <c r="B3031" s="5"/>
      <c r="C3031" s="5"/>
    </row>
    <row r="3032" spans="1:3" x14ac:dyDescent="0.25">
      <c r="A3032" s="5"/>
      <c r="B3032" s="5"/>
      <c r="C3032" s="5"/>
    </row>
    <row r="3033" spans="1:3" x14ac:dyDescent="0.25">
      <c r="A3033" s="5"/>
      <c r="B3033" s="5"/>
      <c r="C3033" s="5"/>
    </row>
    <row r="3034" spans="1:3" x14ac:dyDescent="0.25">
      <c r="A3034" s="5"/>
      <c r="B3034" s="5"/>
      <c r="C3034" s="5"/>
    </row>
    <row r="3035" spans="1:3" x14ac:dyDescent="0.25">
      <c r="A3035" s="5"/>
      <c r="B3035" s="5"/>
      <c r="C3035" s="5"/>
    </row>
    <row r="3036" spans="1:3" x14ac:dyDescent="0.25">
      <c r="A3036" s="5"/>
      <c r="B3036" s="5"/>
      <c r="C3036" s="5"/>
    </row>
    <row r="3037" spans="1:3" x14ac:dyDescent="0.25">
      <c r="A3037" s="5"/>
      <c r="B3037" s="5"/>
      <c r="C3037" s="5"/>
    </row>
    <row r="3038" spans="1:3" x14ac:dyDescent="0.25">
      <c r="A3038" s="5"/>
      <c r="B3038" s="5"/>
      <c r="C3038" s="5"/>
    </row>
    <row r="3039" spans="1:3" x14ac:dyDescent="0.25">
      <c r="A3039" s="5"/>
      <c r="B3039" s="5"/>
      <c r="C3039" s="5"/>
    </row>
    <row r="3040" spans="1:3" x14ac:dyDescent="0.25">
      <c r="A3040" s="5"/>
      <c r="B3040" s="5"/>
      <c r="C3040" s="5"/>
    </row>
    <row r="3041" spans="1:3" x14ac:dyDescent="0.25">
      <c r="A3041" s="5"/>
      <c r="B3041" s="5"/>
      <c r="C3041" s="5"/>
    </row>
    <row r="3042" spans="1:3" x14ac:dyDescent="0.25">
      <c r="A3042" s="5"/>
      <c r="B3042" s="5"/>
      <c r="C3042" s="5"/>
    </row>
    <row r="3043" spans="1:3" x14ac:dyDescent="0.25">
      <c r="A3043" s="5"/>
      <c r="B3043" s="5"/>
      <c r="C3043" s="5"/>
    </row>
    <row r="3044" spans="1:3" x14ac:dyDescent="0.25">
      <c r="A3044" s="5"/>
      <c r="B3044" s="5"/>
      <c r="C3044" s="5"/>
    </row>
    <row r="3045" spans="1:3" x14ac:dyDescent="0.25">
      <c r="A3045" s="5"/>
      <c r="B3045" s="5"/>
      <c r="C3045" s="5"/>
    </row>
    <row r="3046" spans="1:3" x14ac:dyDescent="0.25">
      <c r="A3046" s="5"/>
      <c r="B3046" s="5"/>
      <c r="C3046" s="5"/>
    </row>
    <row r="3047" spans="1:3" x14ac:dyDescent="0.25">
      <c r="A3047" s="5"/>
      <c r="B3047" s="5"/>
      <c r="C3047" s="5"/>
    </row>
    <row r="3048" spans="1:3" x14ac:dyDescent="0.25">
      <c r="A3048" s="5"/>
      <c r="B3048" s="5"/>
      <c r="C3048" s="5"/>
    </row>
    <row r="3049" spans="1:3" x14ac:dyDescent="0.25">
      <c r="A3049" s="5"/>
      <c r="B3049" s="5"/>
      <c r="C3049" s="5"/>
    </row>
    <row r="3050" spans="1:3" x14ac:dyDescent="0.25">
      <c r="A3050" s="5"/>
      <c r="B3050" s="5"/>
      <c r="C3050" s="5"/>
    </row>
    <row r="3051" spans="1:3" x14ac:dyDescent="0.25">
      <c r="A3051" s="5"/>
      <c r="B3051" s="5"/>
      <c r="C3051" s="5"/>
    </row>
    <row r="3052" spans="1:3" x14ac:dyDescent="0.25">
      <c r="A3052" s="5"/>
      <c r="B3052" s="5"/>
      <c r="C3052" s="5"/>
    </row>
    <row r="3053" spans="1:3" x14ac:dyDescent="0.25">
      <c r="A3053" s="5"/>
      <c r="B3053" s="5"/>
      <c r="C3053" s="5"/>
    </row>
    <row r="3054" spans="1:3" x14ac:dyDescent="0.25">
      <c r="A3054" s="5"/>
      <c r="B3054" s="5"/>
      <c r="C3054" s="5"/>
    </row>
    <row r="3055" spans="1:3" x14ac:dyDescent="0.25">
      <c r="A3055" s="5"/>
      <c r="B3055" s="5"/>
      <c r="C3055" s="5"/>
    </row>
    <row r="3056" spans="1:3" x14ac:dyDescent="0.25">
      <c r="A3056" s="5"/>
      <c r="B3056" s="5"/>
      <c r="C3056" s="5"/>
    </row>
    <row r="3057" spans="1:3" x14ac:dyDescent="0.25">
      <c r="A3057" s="5"/>
      <c r="B3057" s="5"/>
      <c r="C3057" s="5"/>
    </row>
    <row r="3058" spans="1:3" x14ac:dyDescent="0.25">
      <c r="A3058" s="5"/>
      <c r="B3058" s="5"/>
      <c r="C3058" s="5"/>
    </row>
    <row r="3059" spans="1:3" x14ac:dyDescent="0.25">
      <c r="A3059" s="5"/>
      <c r="B3059" s="5"/>
      <c r="C3059" s="5"/>
    </row>
    <row r="3060" spans="1:3" x14ac:dyDescent="0.25">
      <c r="A3060" s="5"/>
      <c r="B3060" s="5"/>
      <c r="C3060" s="5"/>
    </row>
    <row r="3061" spans="1:3" x14ac:dyDescent="0.25">
      <c r="A3061" s="5"/>
      <c r="B3061" s="5"/>
      <c r="C3061" s="5"/>
    </row>
    <row r="3062" spans="1:3" x14ac:dyDescent="0.25">
      <c r="A3062" s="5"/>
      <c r="B3062" s="5"/>
      <c r="C3062" s="5"/>
    </row>
    <row r="3063" spans="1:3" x14ac:dyDescent="0.25">
      <c r="A3063" s="5"/>
      <c r="B3063" s="5"/>
      <c r="C3063" s="5"/>
    </row>
    <row r="3064" spans="1:3" x14ac:dyDescent="0.25">
      <c r="A3064" s="5"/>
      <c r="B3064" s="5"/>
      <c r="C3064" s="5"/>
    </row>
    <row r="3065" spans="1:3" x14ac:dyDescent="0.25">
      <c r="A3065" s="5"/>
      <c r="B3065" s="5"/>
      <c r="C3065" s="5"/>
    </row>
    <row r="3066" spans="1:3" x14ac:dyDescent="0.25">
      <c r="A3066" s="5"/>
      <c r="B3066" s="5"/>
      <c r="C3066" s="5"/>
    </row>
    <row r="3067" spans="1:3" x14ac:dyDescent="0.25">
      <c r="A3067" s="5"/>
      <c r="B3067" s="5"/>
      <c r="C3067" s="5"/>
    </row>
    <row r="3068" spans="1:3" x14ac:dyDescent="0.25">
      <c r="A3068" s="5"/>
      <c r="B3068" s="5"/>
      <c r="C3068" s="5"/>
    </row>
    <row r="3069" spans="1:3" x14ac:dyDescent="0.25">
      <c r="A3069" s="5"/>
      <c r="B3069" s="5"/>
      <c r="C3069" s="5"/>
    </row>
    <row r="3070" spans="1:3" x14ac:dyDescent="0.25">
      <c r="A3070" s="5"/>
      <c r="B3070" s="5"/>
      <c r="C3070" s="5"/>
    </row>
    <row r="3071" spans="1:3" x14ac:dyDescent="0.25">
      <c r="A3071" s="5"/>
      <c r="B3071" s="5"/>
      <c r="C3071" s="5"/>
    </row>
    <row r="3072" spans="1:3" x14ac:dyDescent="0.25">
      <c r="A3072" s="5"/>
      <c r="B3072" s="5"/>
      <c r="C3072" s="5"/>
    </row>
    <row r="3073" spans="1:3" x14ac:dyDescent="0.25">
      <c r="A3073" s="5"/>
      <c r="B3073" s="5"/>
      <c r="C3073" s="5"/>
    </row>
    <row r="3074" spans="1:3" x14ac:dyDescent="0.25">
      <c r="A3074" s="5"/>
      <c r="B3074" s="5"/>
      <c r="C3074" s="5"/>
    </row>
    <row r="3075" spans="1:3" x14ac:dyDescent="0.25">
      <c r="A3075" s="5"/>
      <c r="B3075" s="5"/>
      <c r="C3075" s="5"/>
    </row>
    <row r="3076" spans="1:3" x14ac:dyDescent="0.25">
      <c r="A3076" s="5"/>
      <c r="B3076" s="5"/>
      <c r="C3076" s="5"/>
    </row>
    <row r="3077" spans="1:3" x14ac:dyDescent="0.25">
      <c r="A3077" s="5"/>
      <c r="B3077" s="5"/>
      <c r="C3077" s="5"/>
    </row>
    <row r="3078" spans="1:3" x14ac:dyDescent="0.25">
      <c r="A3078" s="5"/>
      <c r="B3078" s="5"/>
      <c r="C3078" s="5"/>
    </row>
    <row r="3079" spans="1:3" x14ac:dyDescent="0.25">
      <c r="A3079" s="5"/>
      <c r="B3079" s="5"/>
      <c r="C3079" s="5"/>
    </row>
    <row r="3080" spans="1:3" x14ac:dyDescent="0.25">
      <c r="A3080" s="5"/>
      <c r="B3080" s="5"/>
      <c r="C3080" s="5"/>
    </row>
    <row r="3081" spans="1:3" x14ac:dyDescent="0.25">
      <c r="A3081" s="5"/>
      <c r="B3081" s="5"/>
      <c r="C3081" s="5"/>
    </row>
    <row r="3082" spans="1:3" x14ac:dyDescent="0.25">
      <c r="A3082" s="5"/>
      <c r="B3082" s="5"/>
      <c r="C3082" s="5"/>
    </row>
    <row r="3083" spans="1:3" x14ac:dyDescent="0.25">
      <c r="A3083" s="5"/>
      <c r="B3083" s="5"/>
      <c r="C3083" s="5"/>
    </row>
    <row r="3084" spans="1:3" x14ac:dyDescent="0.25">
      <c r="A3084" s="5"/>
      <c r="B3084" s="5"/>
      <c r="C3084" s="5"/>
    </row>
    <row r="3085" spans="1:3" x14ac:dyDescent="0.25">
      <c r="A3085" s="5"/>
      <c r="B3085" s="5"/>
      <c r="C3085" s="5"/>
    </row>
    <row r="3086" spans="1:3" x14ac:dyDescent="0.25">
      <c r="A3086" s="5"/>
      <c r="B3086" s="5"/>
      <c r="C3086" s="5"/>
    </row>
    <row r="3087" spans="1:3" x14ac:dyDescent="0.25">
      <c r="A3087" s="5"/>
      <c r="B3087" s="5"/>
      <c r="C3087" s="5"/>
    </row>
    <row r="3088" spans="1:3" x14ac:dyDescent="0.25">
      <c r="A3088" s="5"/>
      <c r="B3088" s="5"/>
      <c r="C3088" s="5"/>
    </row>
    <row r="3089" spans="1:3" x14ac:dyDescent="0.25">
      <c r="A3089" s="5"/>
      <c r="B3089" s="5"/>
      <c r="C3089" s="5"/>
    </row>
    <row r="3090" spans="1:3" x14ac:dyDescent="0.25">
      <c r="A3090" s="5"/>
      <c r="B3090" s="5"/>
      <c r="C3090" s="5"/>
    </row>
    <row r="3091" spans="1:3" x14ac:dyDescent="0.25">
      <c r="A3091" s="5"/>
      <c r="B3091" s="5"/>
      <c r="C3091" s="5"/>
    </row>
    <row r="3092" spans="1:3" x14ac:dyDescent="0.25">
      <c r="A3092" s="5"/>
      <c r="B3092" s="5"/>
      <c r="C3092" s="5"/>
    </row>
    <row r="3093" spans="1:3" x14ac:dyDescent="0.25">
      <c r="A3093" s="5"/>
      <c r="B3093" s="5"/>
      <c r="C3093" s="5"/>
    </row>
    <row r="3094" spans="1:3" x14ac:dyDescent="0.25">
      <c r="A3094" s="5"/>
      <c r="B3094" s="5"/>
      <c r="C3094" s="5"/>
    </row>
    <row r="3095" spans="1:3" x14ac:dyDescent="0.25">
      <c r="A3095" s="5"/>
      <c r="B3095" s="5"/>
      <c r="C3095" s="5"/>
    </row>
    <row r="3096" spans="1:3" x14ac:dyDescent="0.25">
      <c r="A3096" s="5"/>
      <c r="B3096" s="5"/>
      <c r="C3096" s="5"/>
    </row>
    <row r="3097" spans="1:3" x14ac:dyDescent="0.25">
      <c r="A3097" s="5"/>
      <c r="B3097" s="5"/>
      <c r="C3097" s="5"/>
    </row>
    <row r="3098" spans="1:3" x14ac:dyDescent="0.25">
      <c r="A3098" s="5"/>
      <c r="B3098" s="5"/>
      <c r="C3098" s="5"/>
    </row>
    <row r="3099" spans="1:3" x14ac:dyDescent="0.25">
      <c r="A3099" s="5"/>
      <c r="B3099" s="5"/>
      <c r="C3099" s="5"/>
    </row>
    <row r="3100" spans="1:3" x14ac:dyDescent="0.25">
      <c r="A3100" s="5"/>
      <c r="B3100" s="5"/>
      <c r="C3100" s="5"/>
    </row>
    <row r="3101" spans="1:3" x14ac:dyDescent="0.25">
      <c r="A3101" s="5"/>
      <c r="B3101" s="5"/>
      <c r="C3101" s="5"/>
    </row>
    <row r="3102" spans="1:3" x14ac:dyDescent="0.25">
      <c r="A3102" s="5"/>
      <c r="B3102" s="5"/>
      <c r="C3102" s="5"/>
    </row>
    <row r="3103" spans="1:3" x14ac:dyDescent="0.25">
      <c r="A3103" s="5"/>
      <c r="B3103" s="5"/>
      <c r="C3103" s="5"/>
    </row>
    <row r="3104" spans="1:3" x14ac:dyDescent="0.25">
      <c r="A3104" s="5"/>
      <c r="B3104" s="5"/>
      <c r="C3104" s="5"/>
    </row>
    <row r="3105" spans="1:3" x14ac:dyDescent="0.25">
      <c r="A3105" s="5"/>
      <c r="B3105" s="5"/>
      <c r="C3105" s="5"/>
    </row>
    <row r="3106" spans="1:3" x14ac:dyDescent="0.25">
      <c r="A3106" s="5"/>
      <c r="B3106" s="5"/>
      <c r="C3106" s="5"/>
    </row>
    <row r="3107" spans="1:3" x14ac:dyDescent="0.25">
      <c r="A3107" s="5"/>
      <c r="B3107" s="5"/>
      <c r="C3107" s="5"/>
    </row>
    <row r="3108" spans="1:3" x14ac:dyDescent="0.25">
      <c r="A3108" s="5"/>
      <c r="B3108" s="5"/>
      <c r="C3108" s="5"/>
    </row>
    <row r="3109" spans="1:3" x14ac:dyDescent="0.25">
      <c r="A3109" s="5"/>
      <c r="B3109" s="5"/>
      <c r="C3109" s="5"/>
    </row>
    <row r="3110" spans="1:3" x14ac:dyDescent="0.25">
      <c r="A3110" s="5"/>
      <c r="B3110" s="5"/>
      <c r="C3110" s="5"/>
    </row>
    <row r="3111" spans="1:3" x14ac:dyDescent="0.25">
      <c r="A3111" s="5"/>
      <c r="B3111" s="5"/>
      <c r="C3111" s="5"/>
    </row>
    <row r="3112" spans="1:3" x14ac:dyDescent="0.25">
      <c r="A3112" s="5"/>
      <c r="B3112" s="5"/>
      <c r="C3112" s="5"/>
    </row>
    <row r="3113" spans="1:3" x14ac:dyDescent="0.25">
      <c r="A3113" s="5"/>
      <c r="B3113" s="5"/>
      <c r="C3113" s="5"/>
    </row>
    <row r="3114" spans="1:3" x14ac:dyDescent="0.25">
      <c r="A3114" s="5"/>
      <c r="B3114" s="5"/>
      <c r="C3114" s="5"/>
    </row>
    <row r="3115" spans="1:3" x14ac:dyDescent="0.25">
      <c r="A3115" s="5"/>
      <c r="B3115" s="5"/>
      <c r="C3115" s="5"/>
    </row>
    <row r="3116" spans="1:3" x14ac:dyDescent="0.25">
      <c r="A3116" s="5"/>
      <c r="B3116" s="5"/>
      <c r="C3116" s="5"/>
    </row>
    <row r="3117" spans="1:3" x14ac:dyDescent="0.25">
      <c r="A3117" s="5"/>
      <c r="B3117" s="5"/>
      <c r="C3117" s="5"/>
    </row>
    <row r="3118" spans="1:3" x14ac:dyDescent="0.25">
      <c r="A3118" s="5"/>
      <c r="B3118" s="5"/>
      <c r="C3118" s="5"/>
    </row>
    <row r="3119" spans="1:3" x14ac:dyDescent="0.25">
      <c r="A3119" s="5"/>
      <c r="B3119" s="5"/>
      <c r="C3119" s="5"/>
    </row>
    <row r="3120" spans="1:3" x14ac:dyDescent="0.25">
      <c r="A3120" s="5"/>
      <c r="B3120" s="5"/>
      <c r="C3120" s="5"/>
    </row>
    <row r="3121" spans="1:3" x14ac:dyDescent="0.25">
      <c r="A3121" s="5"/>
      <c r="B3121" s="5"/>
      <c r="C3121" s="5"/>
    </row>
    <row r="3122" spans="1:3" x14ac:dyDescent="0.25">
      <c r="A3122" s="5"/>
      <c r="B3122" s="5"/>
      <c r="C3122" s="5"/>
    </row>
    <row r="3123" spans="1:3" x14ac:dyDescent="0.25">
      <c r="A3123" s="5"/>
      <c r="B3123" s="5"/>
      <c r="C3123" s="5"/>
    </row>
    <row r="3124" spans="1:3" x14ac:dyDescent="0.25">
      <c r="A3124" s="5"/>
      <c r="B3124" s="5"/>
      <c r="C3124" s="5"/>
    </row>
    <row r="3125" spans="1:3" x14ac:dyDescent="0.25">
      <c r="A3125" s="5"/>
      <c r="B3125" s="5"/>
      <c r="C3125" s="5"/>
    </row>
    <row r="3126" spans="1:3" x14ac:dyDescent="0.25">
      <c r="A3126" s="5"/>
      <c r="B3126" s="5"/>
      <c r="C3126" s="5"/>
    </row>
    <row r="3127" spans="1:3" x14ac:dyDescent="0.25">
      <c r="A3127" s="5"/>
      <c r="B3127" s="5"/>
      <c r="C3127" s="5"/>
    </row>
    <row r="3128" spans="1:3" x14ac:dyDescent="0.25">
      <c r="A3128" s="5"/>
      <c r="B3128" s="5"/>
      <c r="C3128" s="5"/>
    </row>
    <row r="3129" spans="1:3" x14ac:dyDescent="0.25">
      <c r="A3129" s="5"/>
      <c r="B3129" s="5"/>
      <c r="C3129" s="5"/>
    </row>
    <row r="3130" spans="1:3" x14ac:dyDescent="0.25">
      <c r="A3130" s="5"/>
      <c r="B3130" s="5"/>
      <c r="C3130" s="5"/>
    </row>
    <row r="3131" spans="1:3" x14ac:dyDescent="0.25">
      <c r="A3131" s="5"/>
      <c r="B3131" s="5"/>
      <c r="C3131" s="5"/>
    </row>
    <row r="3132" spans="1:3" x14ac:dyDescent="0.25">
      <c r="A3132" s="5"/>
      <c r="B3132" s="5"/>
      <c r="C3132" s="5"/>
    </row>
    <row r="3133" spans="1:3" x14ac:dyDescent="0.25">
      <c r="A3133" s="5"/>
      <c r="B3133" s="5"/>
      <c r="C3133" s="5"/>
    </row>
    <row r="3134" spans="1:3" x14ac:dyDescent="0.25">
      <c r="A3134" s="5"/>
      <c r="B3134" s="5"/>
      <c r="C3134" s="5"/>
    </row>
    <row r="3135" spans="1:3" x14ac:dyDescent="0.25">
      <c r="A3135" s="5"/>
      <c r="B3135" s="5"/>
      <c r="C3135" s="5"/>
    </row>
    <row r="3136" spans="1:3" x14ac:dyDescent="0.25">
      <c r="A3136" s="5"/>
      <c r="B3136" s="5"/>
      <c r="C3136" s="5"/>
    </row>
    <row r="3137" spans="1:3" x14ac:dyDescent="0.25">
      <c r="A3137" s="5"/>
      <c r="B3137" s="5"/>
      <c r="C3137" s="5"/>
    </row>
    <row r="3138" spans="1:3" x14ac:dyDescent="0.25">
      <c r="A3138" s="5"/>
      <c r="B3138" s="5"/>
      <c r="C3138" s="5"/>
    </row>
    <row r="3139" spans="1:3" x14ac:dyDescent="0.25">
      <c r="A3139" s="5"/>
      <c r="B3139" s="5"/>
      <c r="C3139" s="5"/>
    </row>
    <row r="3140" spans="1:3" x14ac:dyDescent="0.25">
      <c r="A3140" s="5"/>
      <c r="B3140" s="5"/>
      <c r="C3140" s="5"/>
    </row>
    <row r="3141" spans="1:3" x14ac:dyDescent="0.25">
      <c r="A3141" s="5"/>
      <c r="B3141" s="5"/>
      <c r="C3141" s="5"/>
    </row>
    <row r="3142" spans="1:3" x14ac:dyDescent="0.25">
      <c r="A3142" s="5"/>
      <c r="B3142" s="5"/>
      <c r="C3142" s="5"/>
    </row>
    <row r="3143" spans="1:3" x14ac:dyDescent="0.25">
      <c r="A3143" s="5"/>
      <c r="B3143" s="5"/>
      <c r="C3143" s="5"/>
    </row>
    <row r="3144" spans="1:3" x14ac:dyDescent="0.25">
      <c r="A3144" s="5"/>
      <c r="B3144" s="5"/>
      <c r="C3144" s="5"/>
    </row>
    <row r="3145" spans="1:3" x14ac:dyDescent="0.25">
      <c r="A3145" s="5"/>
      <c r="B3145" s="5"/>
      <c r="C3145" s="5"/>
    </row>
    <row r="3146" spans="1:3" x14ac:dyDescent="0.25">
      <c r="A3146" s="5"/>
      <c r="B3146" s="5"/>
      <c r="C3146" s="5"/>
    </row>
    <row r="3147" spans="1:3" x14ac:dyDescent="0.25">
      <c r="A3147" s="5"/>
      <c r="B3147" s="5"/>
      <c r="C3147" s="5"/>
    </row>
    <row r="3148" spans="1:3" x14ac:dyDescent="0.25">
      <c r="A3148" s="5"/>
      <c r="B3148" s="5"/>
      <c r="C3148" s="5"/>
    </row>
    <row r="3149" spans="1:3" x14ac:dyDescent="0.25">
      <c r="A3149" s="5"/>
      <c r="B3149" s="5"/>
      <c r="C3149" s="5"/>
    </row>
    <row r="3150" spans="1:3" x14ac:dyDescent="0.25">
      <c r="A3150" s="5"/>
      <c r="B3150" s="5"/>
      <c r="C3150" s="5"/>
    </row>
    <row r="3151" spans="1:3" x14ac:dyDescent="0.25">
      <c r="A3151" s="5"/>
      <c r="B3151" s="5"/>
      <c r="C3151" s="5"/>
    </row>
    <row r="3152" spans="1:3" x14ac:dyDescent="0.25">
      <c r="A3152" s="5"/>
      <c r="B3152" s="5"/>
      <c r="C3152" s="5"/>
    </row>
    <row r="3153" spans="1:3" x14ac:dyDescent="0.25">
      <c r="A3153" s="5"/>
      <c r="B3153" s="5"/>
      <c r="C3153" s="5"/>
    </row>
    <row r="3154" spans="1:3" x14ac:dyDescent="0.25">
      <c r="A3154" s="5"/>
      <c r="B3154" s="5"/>
      <c r="C3154" s="5"/>
    </row>
    <row r="3155" spans="1:3" x14ac:dyDescent="0.25">
      <c r="A3155" s="5"/>
      <c r="B3155" s="5"/>
      <c r="C3155" s="5"/>
    </row>
    <row r="3156" spans="1:3" x14ac:dyDescent="0.25">
      <c r="A3156" s="5"/>
      <c r="B3156" s="5"/>
      <c r="C3156" s="5"/>
    </row>
    <row r="3157" spans="1:3" x14ac:dyDescent="0.25">
      <c r="A3157" s="5"/>
      <c r="B3157" s="5"/>
      <c r="C3157" s="5"/>
    </row>
    <row r="3158" spans="1:3" x14ac:dyDescent="0.25">
      <c r="A3158" s="5"/>
      <c r="B3158" s="5"/>
      <c r="C3158" s="5"/>
    </row>
    <row r="3159" spans="1:3" x14ac:dyDescent="0.25">
      <c r="A3159" s="5"/>
      <c r="B3159" s="5"/>
      <c r="C3159" s="5"/>
    </row>
    <row r="3160" spans="1:3" x14ac:dyDescent="0.25">
      <c r="A3160" s="5"/>
      <c r="B3160" s="5"/>
      <c r="C3160" s="5"/>
    </row>
    <row r="3161" spans="1:3" x14ac:dyDescent="0.25">
      <c r="A3161" s="5"/>
      <c r="B3161" s="5"/>
      <c r="C3161" s="5"/>
    </row>
    <row r="3162" spans="1:3" x14ac:dyDescent="0.25">
      <c r="A3162" s="5"/>
      <c r="B3162" s="5"/>
      <c r="C3162" s="5"/>
    </row>
    <row r="3163" spans="1:3" x14ac:dyDescent="0.25">
      <c r="A3163" s="5"/>
      <c r="B3163" s="5"/>
      <c r="C3163" s="5"/>
    </row>
    <row r="3164" spans="1:3" x14ac:dyDescent="0.25">
      <c r="A3164" s="5"/>
      <c r="B3164" s="5"/>
      <c r="C3164" s="5"/>
    </row>
    <row r="3165" spans="1:3" x14ac:dyDescent="0.25">
      <c r="A3165" s="5"/>
      <c r="B3165" s="5"/>
      <c r="C3165" s="5"/>
    </row>
    <row r="3166" spans="1:3" x14ac:dyDescent="0.25">
      <c r="A3166" s="5"/>
      <c r="B3166" s="5"/>
      <c r="C3166" s="5"/>
    </row>
    <row r="3167" spans="1:3" x14ac:dyDescent="0.25">
      <c r="A3167" s="5"/>
      <c r="B3167" s="5"/>
      <c r="C3167" s="5"/>
    </row>
    <row r="3168" spans="1:3" x14ac:dyDescent="0.25">
      <c r="A3168" s="5"/>
      <c r="B3168" s="5"/>
      <c r="C3168" s="5"/>
    </row>
    <row r="3169" spans="1:3" x14ac:dyDescent="0.25">
      <c r="A3169" s="5"/>
      <c r="B3169" s="5"/>
      <c r="C3169" s="5"/>
    </row>
    <row r="3170" spans="1:3" x14ac:dyDescent="0.25">
      <c r="A3170" s="5"/>
      <c r="B3170" s="5"/>
      <c r="C3170" s="5"/>
    </row>
    <row r="3171" spans="1:3" x14ac:dyDescent="0.25">
      <c r="A3171" s="5"/>
      <c r="B3171" s="5"/>
      <c r="C3171" s="5"/>
    </row>
    <row r="3172" spans="1:3" x14ac:dyDescent="0.25">
      <c r="A3172" s="5"/>
      <c r="B3172" s="5"/>
      <c r="C3172" s="5"/>
    </row>
    <row r="3173" spans="1:3" x14ac:dyDescent="0.25">
      <c r="A3173" s="5"/>
      <c r="B3173" s="5"/>
      <c r="C3173" s="5"/>
    </row>
    <row r="3174" spans="1:3" x14ac:dyDescent="0.25">
      <c r="A3174" s="5"/>
      <c r="B3174" s="5"/>
      <c r="C3174" s="5"/>
    </row>
    <row r="3175" spans="1:3" x14ac:dyDescent="0.25">
      <c r="A3175" s="5"/>
      <c r="B3175" s="5"/>
      <c r="C3175" s="5"/>
    </row>
    <row r="3176" spans="1:3" x14ac:dyDescent="0.25">
      <c r="A3176" s="5"/>
      <c r="B3176" s="5"/>
      <c r="C3176" s="5"/>
    </row>
    <row r="3177" spans="1:3" x14ac:dyDescent="0.25">
      <c r="A3177" s="5"/>
      <c r="B3177" s="5"/>
      <c r="C3177" s="5"/>
    </row>
    <row r="3178" spans="1:3" x14ac:dyDescent="0.25">
      <c r="A3178" s="5"/>
      <c r="B3178" s="5"/>
      <c r="C3178" s="5"/>
    </row>
    <row r="3179" spans="1:3" x14ac:dyDescent="0.25">
      <c r="A3179" s="5"/>
      <c r="B3179" s="5"/>
      <c r="C3179" s="5"/>
    </row>
    <row r="3180" spans="1:3" x14ac:dyDescent="0.25">
      <c r="A3180" s="5"/>
      <c r="B3180" s="5"/>
      <c r="C3180" s="5"/>
    </row>
    <row r="3181" spans="1:3" x14ac:dyDescent="0.25">
      <c r="A3181" s="5"/>
      <c r="B3181" s="5"/>
      <c r="C3181" s="5"/>
    </row>
    <row r="3182" spans="1:3" x14ac:dyDescent="0.25">
      <c r="A3182" s="5"/>
      <c r="B3182" s="5"/>
      <c r="C3182" s="5"/>
    </row>
    <row r="3183" spans="1:3" x14ac:dyDescent="0.25">
      <c r="A3183" s="5"/>
      <c r="B3183" s="5"/>
      <c r="C3183" s="5"/>
    </row>
    <row r="3184" spans="1:3" x14ac:dyDescent="0.25">
      <c r="A3184" s="5"/>
      <c r="B3184" s="5"/>
      <c r="C3184" s="5"/>
    </row>
    <row r="3185" spans="1:3" x14ac:dyDescent="0.25">
      <c r="A3185" s="5"/>
      <c r="B3185" s="5"/>
      <c r="C3185" s="5"/>
    </row>
    <row r="3186" spans="1:3" x14ac:dyDescent="0.25">
      <c r="A3186" s="5"/>
      <c r="B3186" s="5"/>
      <c r="C3186" s="5"/>
    </row>
    <row r="3187" spans="1:3" x14ac:dyDescent="0.25">
      <c r="A3187" s="5"/>
      <c r="B3187" s="5"/>
      <c r="C3187" s="5"/>
    </row>
    <row r="3188" spans="1:3" x14ac:dyDescent="0.25">
      <c r="A3188" s="5"/>
      <c r="B3188" s="5"/>
      <c r="C3188" s="5"/>
    </row>
    <row r="3189" spans="1:3" x14ac:dyDescent="0.25">
      <c r="A3189" s="5"/>
      <c r="B3189" s="5"/>
      <c r="C3189" s="5"/>
    </row>
    <row r="3190" spans="1:3" x14ac:dyDescent="0.25">
      <c r="A3190" s="5"/>
      <c r="B3190" s="5"/>
      <c r="C3190" s="5"/>
    </row>
    <row r="3191" spans="1:3" x14ac:dyDescent="0.25">
      <c r="A3191" s="5"/>
      <c r="B3191" s="5"/>
      <c r="C3191" s="5"/>
    </row>
    <row r="3192" spans="1:3" x14ac:dyDescent="0.25">
      <c r="A3192" s="5"/>
      <c r="B3192" s="5"/>
      <c r="C3192" s="5"/>
    </row>
    <row r="3193" spans="1:3" x14ac:dyDescent="0.25">
      <c r="A3193" s="5"/>
      <c r="B3193" s="5"/>
      <c r="C3193" s="5"/>
    </row>
    <row r="3194" spans="1:3" x14ac:dyDescent="0.25">
      <c r="A3194" s="5"/>
      <c r="B3194" s="5"/>
      <c r="C3194" s="5"/>
    </row>
    <row r="3195" spans="1:3" x14ac:dyDescent="0.25">
      <c r="A3195" s="5"/>
      <c r="B3195" s="5"/>
      <c r="C3195" s="5"/>
    </row>
    <row r="3196" spans="1:3" x14ac:dyDescent="0.25">
      <c r="A3196" s="5"/>
      <c r="B3196" s="5"/>
      <c r="C3196" s="5"/>
    </row>
    <row r="3197" spans="1:3" x14ac:dyDescent="0.25">
      <c r="A3197" s="5"/>
      <c r="B3197" s="5"/>
      <c r="C3197" s="5"/>
    </row>
    <row r="3198" spans="1:3" x14ac:dyDescent="0.25">
      <c r="A3198" s="5"/>
      <c r="B3198" s="5"/>
      <c r="C3198" s="5"/>
    </row>
    <row r="3199" spans="1:3" x14ac:dyDescent="0.25">
      <c r="A3199" s="5"/>
      <c r="B3199" s="5"/>
      <c r="C3199" s="5"/>
    </row>
    <row r="3200" spans="1:3" x14ac:dyDescent="0.25">
      <c r="A3200" s="5"/>
      <c r="B3200" s="5"/>
      <c r="C3200" s="5"/>
    </row>
    <row r="3201" spans="1:3" x14ac:dyDescent="0.25">
      <c r="A3201" s="5"/>
      <c r="B3201" s="5"/>
      <c r="C3201" s="5"/>
    </row>
    <row r="3202" spans="1:3" x14ac:dyDescent="0.25">
      <c r="A3202" s="5"/>
      <c r="B3202" s="5"/>
      <c r="C3202" s="5"/>
    </row>
    <row r="3203" spans="1:3" x14ac:dyDescent="0.25">
      <c r="A3203" s="5"/>
      <c r="B3203" s="5"/>
      <c r="C3203" s="5"/>
    </row>
    <row r="3204" spans="1:3" x14ac:dyDescent="0.25">
      <c r="A3204" s="5"/>
      <c r="B3204" s="5"/>
      <c r="C3204" s="5"/>
    </row>
    <row r="3205" spans="1:3" x14ac:dyDescent="0.25">
      <c r="A3205" s="5"/>
      <c r="B3205" s="5"/>
      <c r="C3205" s="5"/>
    </row>
    <row r="3206" spans="1:3" x14ac:dyDescent="0.25">
      <c r="A3206" s="5"/>
      <c r="B3206" s="5"/>
      <c r="C3206" s="5"/>
    </row>
    <row r="3207" spans="1:3" x14ac:dyDescent="0.25">
      <c r="A3207" s="5"/>
      <c r="B3207" s="5"/>
      <c r="C3207" s="5"/>
    </row>
    <row r="3208" spans="1:3" x14ac:dyDescent="0.25">
      <c r="A3208" s="5"/>
      <c r="B3208" s="5"/>
      <c r="C3208" s="5"/>
    </row>
    <row r="3209" spans="1:3" x14ac:dyDescent="0.25">
      <c r="A3209" s="5"/>
      <c r="B3209" s="5"/>
      <c r="C3209" s="5"/>
    </row>
    <row r="3210" spans="1:3" x14ac:dyDescent="0.25">
      <c r="A3210" s="5"/>
      <c r="B3210" s="5"/>
      <c r="C3210" s="5"/>
    </row>
    <row r="3211" spans="1:3" x14ac:dyDescent="0.25">
      <c r="A3211" s="5"/>
      <c r="B3211" s="5"/>
      <c r="C3211" s="5"/>
    </row>
    <row r="3212" spans="1:3" x14ac:dyDescent="0.25">
      <c r="A3212" s="5"/>
      <c r="B3212" s="5"/>
      <c r="C3212" s="5"/>
    </row>
    <row r="3213" spans="1:3" x14ac:dyDescent="0.25">
      <c r="A3213" s="5"/>
      <c r="B3213" s="5"/>
      <c r="C3213" s="5"/>
    </row>
    <row r="3214" spans="1:3" x14ac:dyDescent="0.25">
      <c r="A3214" s="5"/>
      <c r="B3214" s="5"/>
      <c r="C3214" s="5"/>
    </row>
    <row r="3215" spans="1:3" x14ac:dyDescent="0.25">
      <c r="A3215" s="5"/>
      <c r="B3215" s="5"/>
      <c r="C3215" s="5"/>
    </row>
    <row r="3216" spans="1:3" x14ac:dyDescent="0.25">
      <c r="A3216" s="5"/>
      <c r="B3216" s="5"/>
      <c r="C3216" s="5"/>
    </row>
    <row r="3217" spans="1:3" x14ac:dyDescent="0.25">
      <c r="A3217" s="5"/>
      <c r="B3217" s="5"/>
      <c r="C3217" s="5"/>
    </row>
    <row r="3218" spans="1:3" x14ac:dyDescent="0.25">
      <c r="A3218" s="5"/>
      <c r="B3218" s="5"/>
      <c r="C3218" s="5"/>
    </row>
    <row r="3219" spans="1:3" x14ac:dyDescent="0.25">
      <c r="A3219" s="5"/>
      <c r="B3219" s="5"/>
      <c r="C3219" s="5"/>
    </row>
    <row r="3220" spans="1:3" x14ac:dyDescent="0.25">
      <c r="A3220" s="5"/>
      <c r="B3220" s="5"/>
      <c r="C3220" s="5"/>
    </row>
    <row r="3221" spans="1:3" x14ac:dyDescent="0.25">
      <c r="A3221" s="5"/>
      <c r="B3221" s="5"/>
      <c r="C3221" s="5"/>
    </row>
    <row r="3222" spans="1:3" x14ac:dyDescent="0.25">
      <c r="A3222" s="5"/>
      <c r="B3222" s="5"/>
      <c r="C3222" s="5"/>
    </row>
    <row r="3223" spans="1:3" x14ac:dyDescent="0.25">
      <c r="A3223" s="5"/>
      <c r="B3223" s="5"/>
      <c r="C3223" s="5"/>
    </row>
    <row r="3224" spans="1:3" x14ac:dyDescent="0.25">
      <c r="A3224" s="5"/>
      <c r="B3224" s="5"/>
      <c r="C3224" s="5"/>
    </row>
    <row r="3225" spans="1:3" x14ac:dyDescent="0.25">
      <c r="A3225" s="5"/>
      <c r="B3225" s="5"/>
      <c r="C3225" s="5"/>
    </row>
    <row r="3226" spans="1:3" x14ac:dyDescent="0.25">
      <c r="A3226" s="5"/>
      <c r="B3226" s="5"/>
      <c r="C3226" s="5"/>
    </row>
    <row r="3227" spans="1:3" x14ac:dyDescent="0.25">
      <c r="A3227" s="5"/>
      <c r="B3227" s="5"/>
      <c r="C3227" s="5"/>
    </row>
    <row r="3228" spans="1:3" x14ac:dyDescent="0.25">
      <c r="A3228" s="5"/>
      <c r="B3228" s="5"/>
      <c r="C3228" s="5"/>
    </row>
    <row r="3229" spans="1:3" x14ac:dyDescent="0.25">
      <c r="A3229" s="5"/>
      <c r="B3229" s="5"/>
      <c r="C3229" s="5"/>
    </row>
    <row r="3230" spans="1:3" x14ac:dyDescent="0.25">
      <c r="A3230" s="5"/>
      <c r="B3230" s="5"/>
      <c r="C3230" s="5"/>
    </row>
    <row r="3231" spans="1:3" x14ac:dyDescent="0.25">
      <c r="A3231" s="5"/>
      <c r="B3231" s="5"/>
      <c r="C3231" s="5"/>
    </row>
    <row r="3232" spans="1:3" x14ac:dyDescent="0.25">
      <c r="A3232" s="5"/>
      <c r="B3232" s="5"/>
      <c r="C3232" s="5"/>
    </row>
    <row r="3233" spans="1:3" x14ac:dyDescent="0.25">
      <c r="A3233" s="5"/>
      <c r="B3233" s="5"/>
      <c r="C3233" s="5"/>
    </row>
    <row r="3234" spans="1:3" x14ac:dyDescent="0.25">
      <c r="A3234" s="5"/>
      <c r="B3234" s="5"/>
      <c r="C3234" s="5"/>
    </row>
    <row r="3235" spans="1:3" x14ac:dyDescent="0.25">
      <c r="A3235" s="5"/>
      <c r="B3235" s="5"/>
      <c r="C3235" s="5"/>
    </row>
    <row r="3236" spans="1:3" x14ac:dyDescent="0.25">
      <c r="A3236" s="5"/>
      <c r="B3236" s="5"/>
      <c r="C3236" s="5"/>
    </row>
    <row r="3237" spans="1:3" x14ac:dyDescent="0.25">
      <c r="A3237" s="5"/>
      <c r="B3237" s="5"/>
      <c r="C3237" s="5"/>
    </row>
    <row r="3238" spans="1:3" x14ac:dyDescent="0.25">
      <c r="A3238" s="5"/>
      <c r="B3238" s="5"/>
      <c r="C3238" s="5"/>
    </row>
    <row r="3239" spans="1:3" x14ac:dyDescent="0.25">
      <c r="A3239" s="5"/>
      <c r="B3239" s="5"/>
      <c r="C3239" s="5"/>
    </row>
    <row r="3240" spans="1:3" x14ac:dyDescent="0.25">
      <c r="A3240" s="5"/>
      <c r="B3240" s="5"/>
      <c r="C3240" s="5"/>
    </row>
    <row r="3241" spans="1:3" x14ac:dyDescent="0.25">
      <c r="A3241" s="5"/>
      <c r="B3241" s="5"/>
      <c r="C3241" s="5"/>
    </row>
    <row r="3242" spans="1:3" x14ac:dyDescent="0.25">
      <c r="A3242" s="5"/>
      <c r="B3242" s="5"/>
      <c r="C3242" s="5"/>
    </row>
    <row r="3243" spans="1:3" x14ac:dyDescent="0.25">
      <c r="A3243" s="5"/>
      <c r="B3243" s="5"/>
      <c r="C3243" s="5"/>
    </row>
    <row r="3244" spans="1:3" x14ac:dyDescent="0.25">
      <c r="A3244" s="5"/>
      <c r="B3244" s="5"/>
      <c r="C3244" s="5"/>
    </row>
    <row r="3245" spans="1:3" x14ac:dyDescent="0.25">
      <c r="A3245" s="5"/>
      <c r="B3245" s="5"/>
      <c r="C3245" s="5"/>
    </row>
    <row r="3246" spans="1:3" x14ac:dyDescent="0.25">
      <c r="A3246" s="5"/>
      <c r="B3246" s="5"/>
      <c r="C3246" s="5"/>
    </row>
    <row r="3247" spans="1:3" x14ac:dyDescent="0.25">
      <c r="A3247" s="5"/>
      <c r="B3247" s="5"/>
      <c r="C3247" s="5"/>
    </row>
    <row r="3248" spans="1:3" x14ac:dyDescent="0.25">
      <c r="A3248" s="5"/>
      <c r="B3248" s="5"/>
      <c r="C3248" s="5"/>
    </row>
    <row r="3249" spans="1:3" x14ac:dyDescent="0.25">
      <c r="A3249" s="5"/>
      <c r="B3249" s="5"/>
      <c r="C3249" s="5"/>
    </row>
    <row r="3250" spans="1:3" x14ac:dyDescent="0.25">
      <c r="A3250" s="5"/>
      <c r="B3250" s="5"/>
      <c r="C3250" s="5"/>
    </row>
    <row r="3251" spans="1:3" x14ac:dyDescent="0.25">
      <c r="A3251" s="5"/>
      <c r="B3251" s="5"/>
      <c r="C3251" s="5"/>
    </row>
    <row r="3252" spans="1:3" x14ac:dyDescent="0.25">
      <c r="A3252" s="5"/>
      <c r="B3252" s="5"/>
      <c r="C3252" s="5"/>
    </row>
    <row r="3253" spans="1:3" x14ac:dyDescent="0.25">
      <c r="A3253" s="5"/>
      <c r="B3253" s="5"/>
      <c r="C3253" s="5"/>
    </row>
    <row r="3254" spans="1:3" x14ac:dyDescent="0.25">
      <c r="A3254" s="5"/>
      <c r="B3254" s="5"/>
      <c r="C3254" s="5"/>
    </row>
    <row r="3255" spans="1:3" x14ac:dyDescent="0.25">
      <c r="A3255" s="5"/>
      <c r="B3255" s="5"/>
      <c r="C3255" s="5"/>
    </row>
    <row r="3256" spans="1:3" x14ac:dyDescent="0.25">
      <c r="A3256" s="5"/>
      <c r="B3256" s="5"/>
      <c r="C3256" s="5"/>
    </row>
    <row r="3257" spans="1:3" x14ac:dyDescent="0.25">
      <c r="A3257" s="5"/>
      <c r="B3257" s="5"/>
      <c r="C3257" s="5"/>
    </row>
    <row r="3258" spans="1:3" x14ac:dyDescent="0.25">
      <c r="A3258" s="5"/>
      <c r="B3258" s="5"/>
      <c r="C3258" s="5"/>
    </row>
    <row r="3259" spans="1:3" x14ac:dyDescent="0.25">
      <c r="A3259" s="5"/>
      <c r="B3259" s="5"/>
      <c r="C3259" s="5"/>
    </row>
    <row r="3260" spans="1:3" x14ac:dyDescent="0.25">
      <c r="A3260" s="5"/>
      <c r="B3260" s="5"/>
      <c r="C3260" s="5"/>
    </row>
    <row r="3261" spans="1:3" x14ac:dyDescent="0.25">
      <c r="A3261" s="5"/>
      <c r="B3261" s="5"/>
      <c r="C3261" s="5"/>
    </row>
    <row r="3262" spans="1:3" x14ac:dyDescent="0.25">
      <c r="A3262" s="5"/>
      <c r="B3262" s="5"/>
      <c r="C3262" s="5"/>
    </row>
    <row r="3263" spans="1:3" x14ac:dyDescent="0.25">
      <c r="A3263" s="5"/>
      <c r="B3263" s="5"/>
      <c r="C3263" s="5"/>
    </row>
    <row r="3264" spans="1:3" x14ac:dyDescent="0.25">
      <c r="A3264" s="5"/>
      <c r="B3264" s="5"/>
      <c r="C3264" s="5"/>
    </row>
    <row r="3265" spans="1:3" x14ac:dyDescent="0.25">
      <c r="A3265" s="5"/>
      <c r="B3265" s="5"/>
      <c r="C3265" s="5"/>
    </row>
    <row r="3266" spans="1:3" x14ac:dyDescent="0.25">
      <c r="A3266" s="5"/>
      <c r="B3266" s="5"/>
      <c r="C3266" s="5"/>
    </row>
    <row r="3267" spans="1:3" x14ac:dyDescent="0.25">
      <c r="A3267" s="5"/>
      <c r="B3267" s="5"/>
      <c r="C3267" s="5"/>
    </row>
    <row r="3268" spans="1:3" x14ac:dyDescent="0.25">
      <c r="A3268" s="5"/>
      <c r="B3268" s="5"/>
      <c r="C3268" s="5"/>
    </row>
    <row r="3269" spans="1:3" x14ac:dyDescent="0.25">
      <c r="A3269" s="5"/>
      <c r="B3269" s="5"/>
      <c r="C3269" s="5"/>
    </row>
    <row r="3270" spans="1:3" x14ac:dyDescent="0.25">
      <c r="A3270" s="5"/>
      <c r="B3270" s="5"/>
      <c r="C3270" s="5"/>
    </row>
    <row r="3271" spans="1:3" x14ac:dyDescent="0.25">
      <c r="A3271" s="5"/>
      <c r="B3271" s="5"/>
      <c r="C3271" s="5"/>
    </row>
    <row r="3272" spans="1:3" x14ac:dyDescent="0.25">
      <c r="A3272" s="5"/>
      <c r="B3272" s="5"/>
      <c r="C3272" s="5"/>
    </row>
    <row r="3273" spans="1:3" x14ac:dyDescent="0.25">
      <c r="A3273" s="5"/>
      <c r="B3273" s="5"/>
      <c r="C3273" s="5"/>
    </row>
    <row r="3274" spans="1:3" x14ac:dyDescent="0.25">
      <c r="A3274" s="5"/>
      <c r="B3274" s="5"/>
      <c r="C3274" s="5"/>
    </row>
    <row r="3275" spans="1:3" x14ac:dyDescent="0.25">
      <c r="A3275" s="5"/>
      <c r="B3275" s="5"/>
      <c r="C3275" s="5"/>
    </row>
    <row r="3276" spans="1:3" x14ac:dyDescent="0.25">
      <c r="A3276" s="5"/>
      <c r="B3276" s="5"/>
      <c r="C3276" s="5"/>
    </row>
    <row r="3277" spans="1:3" x14ac:dyDescent="0.25">
      <c r="A3277" s="5"/>
      <c r="B3277" s="5"/>
      <c r="C3277" s="5"/>
    </row>
    <row r="3278" spans="1:3" x14ac:dyDescent="0.25">
      <c r="A3278" s="5"/>
      <c r="B3278" s="5"/>
      <c r="C3278" s="5"/>
    </row>
    <row r="3279" spans="1:3" x14ac:dyDescent="0.25">
      <c r="A3279" s="5"/>
      <c r="B3279" s="5"/>
      <c r="C3279" s="5"/>
    </row>
    <row r="3280" spans="1:3" x14ac:dyDescent="0.25">
      <c r="A3280" s="5"/>
      <c r="B3280" s="5"/>
      <c r="C3280" s="5"/>
    </row>
    <row r="3281" spans="1:3" x14ac:dyDescent="0.25">
      <c r="A3281" s="5"/>
      <c r="B3281" s="5"/>
      <c r="C3281" s="5"/>
    </row>
    <row r="3282" spans="1:3" x14ac:dyDescent="0.25">
      <c r="A3282" s="5"/>
      <c r="B3282" s="5"/>
      <c r="C3282" s="5"/>
    </row>
    <row r="3283" spans="1:3" x14ac:dyDescent="0.25">
      <c r="A3283" s="5"/>
      <c r="B3283" s="5"/>
      <c r="C3283" s="5"/>
    </row>
    <row r="3284" spans="1:3" x14ac:dyDescent="0.25">
      <c r="A3284" s="5"/>
      <c r="B3284" s="5"/>
      <c r="C3284" s="5"/>
    </row>
    <row r="3285" spans="1:3" x14ac:dyDescent="0.25">
      <c r="A3285" s="5"/>
      <c r="B3285" s="5"/>
      <c r="C3285" s="5"/>
    </row>
    <row r="3286" spans="1:3" x14ac:dyDescent="0.25">
      <c r="A3286" s="5"/>
      <c r="B3286" s="5"/>
      <c r="C3286" s="5"/>
    </row>
    <row r="3287" spans="1:3" x14ac:dyDescent="0.25">
      <c r="A3287" s="5"/>
      <c r="B3287" s="5"/>
      <c r="C3287" s="5"/>
    </row>
    <row r="3288" spans="1:3" x14ac:dyDescent="0.25">
      <c r="A3288" s="5"/>
      <c r="B3288" s="5"/>
      <c r="C3288" s="5"/>
    </row>
    <row r="3289" spans="1:3" x14ac:dyDescent="0.25">
      <c r="A3289" s="5"/>
      <c r="B3289" s="5"/>
      <c r="C3289" s="5"/>
    </row>
    <row r="3290" spans="1:3" x14ac:dyDescent="0.25">
      <c r="A3290" s="5"/>
      <c r="B3290" s="5"/>
      <c r="C3290" s="5"/>
    </row>
    <row r="3291" spans="1:3" x14ac:dyDescent="0.25">
      <c r="A3291" s="5"/>
      <c r="B3291" s="5"/>
      <c r="C3291" s="5"/>
    </row>
    <row r="3292" spans="1:3" x14ac:dyDescent="0.25">
      <c r="A3292" s="5"/>
      <c r="B3292" s="5"/>
      <c r="C3292" s="5"/>
    </row>
    <row r="3293" spans="1:3" x14ac:dyDescent="0.25">
      <c r="A3293" s="5"/>
      <c r="B3293" s="5"/>
      <c r="C3293" s="5"/>
    </row>
    <row r="3294" spans="1:3" x14ac:dyDescent="0.25">
      <c r="A3294" s="5"/>
      <c r="B3294" s="5"/>
      <c r="C3294" s="5"/>
    </row>
    <row r="3295" spans="1:3" x14ac:dyDescent="0.25">
      <c r="A3295" s="5"/>
      <c r="B3295" s="5"/>
      <c r="C3295" s="5"/>
    </row>
    <row r="3296" spans="1:3" x14ac:dyDescent="0.25">
      <c r="A3296" s="5"/>
      <c r="B3296" s="5"/>
      <c r="C3296" s="5"/>
    </row>
    <row r="3297" spans="1:3" x14ac:dyDescent="0.25">
      <c r="A3297" s="5"/>
      <c r="B3297" s="5"/>
      <c r="C3297" s="5"/>
    </row>
    <row r="3298" spans="1:3" x14ac:dyDescent="0.25">
      <c r="A3298" s="5"/>
      <c r="B3298" s="5"/>
      <c r="C3298" s="5"/>
    </row>
    <row r="3299" spans="1:3" x14ac:dyDescent="0.25">
      <c r="A3299" s="5"/>
      <c r="B3299" s="5"/>
      <c r="C3299" s="5"/>
    </row>
    <row r="3300" spans="1:3" x14ac:dyDescent="0.25">
      <c r="A3300" s="5"/>
      <c r="B3300" s="5"/>
      <c r="C3300" s="5"/>
    </row>
    <row r="3301" spans="1:3" x14ac:dyDescent="0.25">
      <c r="A3301" s="5"/>
      <c r="B3301" s="5"/>
      <c r="C3301" s="5"/>
    </row>
    <row r="3302" spans="1:3" x14ac:dyDescent="0.25">
      <c r="A3302" s="5"/>
      <c r="B3302" s="5"/>
      <c r="C3302" s="5"/>
    </row>
    <row r="3303" spans="1:3" x14ac:dyDescent="0.25">
      <c r="A3303" s="5"/>
      <c r="B3303" s="5"/>
      <c r="C3303" s="5"/>
    </row>
    <row r="3304" spans="1:3" x14ac:dyDescent="0.25">
      <c r="A3304" s="5"/>
      <c r="B3304" s="5"/>
      <c r="C3304" s="5"/>
    </row>
    <row r="3305" spans="1:3" x14ac:dyDescent="0.25">
      <c r="A3305" s="5"/>
      <c r="B3305" s="5"/>
      <c r="C3305" s="5"/>
    </row>
    <row r="3306" spans="1:3" x14ac:dyDescent="0.25">
      <c r="A3306" s="5"/>
      <c r="B3306" s="5"/>
      <c r="C3306" s="5"/>
    </row>
    <row r="3307" spans="1:3" x14ac:dyDescent="0.25">
      <c r="A3307" s="5"/>
      <c r="B3307" s="5"/>
      <c r="C3307" s="5"/>
    </row>
    <row r="3308" spans="1:3" x14ac:dyDescent="0.25">
      <c r="A3308" s="5"/>
      <c r="B3308" s="5"/>
      <c r="C3308" s="5"/>
    </row>
    <row r="3309" spans="1:3" x14ac:dyDescent="0.25">
      <c r="A3309" s="5"/>
      <c r="B3309" s="5"/>
      <c r="C3309" s="5"/>
    </row>
    <row r="3310" spans="1:3" x14ac:dyDescent="0.25">
      <c r="A3310" s="5"/>
      <c r="B3310" s="5"/>
      <c r="C3310" s="5"/>
    </row>
    <row r="3311" spans="1:3" x14ac:dyDescent="0.25">
      <c r="A3311" s="5"/>
      <c r="B3311" s="5"/>
      <c r="C3311" s="5"/>
    </row>
    <row r="3312" spans="1:3" x14ac:dyDescent="0.25">
      <c r="A3312" s="5"/>
      <c r="B3312" s="5"/>
      <c r="C3312" s="5"/>
    </row>
    <row r="3313" spans="1:3" x14ac:dyDescent="0.25">
      <c r="A3313" s="5"/>
      <c r="B3313" s="5"/>
      <c r="C3313" s="5"/>
    </row>
    <row r="3314" spans="1:3" x14ac:dyDescent="0.25">
      <c r="A3314" s="5"/>
      <c r="B3314" s="5"/>
      <c r="C3314" s="5"/>
    </row>
    <row r="3315" spans="1:3" x14ac:dyDescent="0.25">
      <c r="A3315" s="5"/>
      <c r="B3315" s="5"/>
      <c r="C3315" s="5"/>
    </row>
    <row r="3316" spans="1:3" x14ac:dyDescent="0.25">
      <c r="A3316" s="5"/>
      <c r="B3316" s="5"/>
      <c r="C3316" s="5"/>
    </row>
    <row r="3317" spans="1:3" x14ac:dyDescent="0.25">
      <c r="A3317" s="5"/>
      <c r="B3317" s="5"/>
      <c r="C3317" s="5"/>
    </row>
    <row r="3318" spans="1:3" x14ac:dyDescent="0.25">
      <c r="A3318" s="5"/>
      <c r="B3318" s="5"/>
      <c r="C3318" s="5"/>
    </row>
    <row r="3319" spans="1:3" x14ac:dyDescent="0.25">
      <c r="A3319" s="5"/>
      <c r="B3319" s="5"/>
      <c r="C3319" s="5"/>
    </row>
    <row r="3320" spans="1:3" x14ac:dyDescent="0.25">
      <c r="A3320" s="5"/>
      <c r="B3320" s="5"/>
      <c r="C3320" s="5"/>
    </row>
    <row r="3321" spans="1:3" x14ac:dyDescent="0.25">
      <c r="A3321" s="5"/>
      <c r="B3321" s="5"/>
      <c r="C3321" s="5"/>
    </row>
    <row r="3322" spans="1:3" x14ac:dyDescent="0.25">
      <c r="A3322" s="5"/>
      <c r="B3322" s="5"/>
      <c r="C3322" s="5"/>
    </row>
    <row r="3323" spans="1:3" x14ac:dyDescent="0.25">
      <c r="A3323" s="5"/>
      <c r="B3323" s="5"/>
      <c r="C3323" s="5"/>
    </row>
    <row r="3324" spans="1:3" x14ac:dyDescent="0.25">
      <c r="A3324" s="5"/>
      <c r="B3324" s="5"/>
      <c r="C3324" s="5"/>
    </row>
    <row r="3325" spans="1:3" x14ac:dyDescent="0.25">
      <c r="A3325" s="5"/>
      <c r="B3325" s="5"/>
      <c r="C3325" s="5"/>
    </row>
    <row r="3326" spans="1:3" x14ac:dyDescent="0.25">
      <c r="A3326" s="5"/>
      <c r="B3326" s="5"/>
      <c r="C3326" s="5"/>
    </row>
    <row r="3327" spans="1:3" x14ac:dyDescent="0.25">
      <c r="A3327" s="5"/>
      <c r="B3327" s="5"/>
      <c r="C3327" s="5"/>
    </row>
    <row r="3328" spans="1:3" x14ac:dyDescent="0.25">
      <c r="A3328" s="5"/>
      <c r="B3328" s="5"/>
      <c r="C3328" s="5"/>
    </row>
    <row r="3329" spans="1:3" x14ac:dyDescent="0.25">
      <c r="A3329" s="5"/>
      <c r="B3329" s="5"/>
      <c r="C3329" s="5"/>
    </row>
    <row r="3330" spans="1:3" x14ac:dyDescent="0.25">
      <c r="A3330" s="5"/>
      <c r="B3330" s="5"/>
      <c r="C3330" s="5"/>
    </row>
    <row r="3331" spans="1:3" x14ac:dyDescent="0.25">
      <c r="A3331" s="5"/>
      <c r="B3331" s="5"/>
      <c r="C3331" s="5"/>
    </row>
    <row r="3332" spans="1:3" x14ac:dyDescent="0.25">
      <c r="A3332" s="5"/>
      <c r="B3332" s="5"/>
      <c r="C3332" s="5"/>
    </row>
    <row r="3333" spans="1:3" x14ac:dyDescent="0.25">
      <c r="A3333" s="5"/>
      <c r="B3333" s="5"/>
      <c r="C3333" s="5"/>
    </row>
    <row r="3334" spans="1:3" x14ac:dyDescent="0.25">
      <c r="A3334" s="5"/>
      <c r="B3334" s="5"/>
      <c r="C3334" s="5"/>
    </row>
    <row r="3335" spans="1:3" x14ac:dyDescent="0.25">
      <c r="A3335" s="5"/>
      <c r="B3335" s="5"/>
      <c r="C3335" s="5"/>
    </row>
    <row r="3336" spans="1:3" x14ac:dyDescent="0.25">
      <c r="A3336" s="5"/>
      <c r="B3336" s="5"/>
      <c r="C3336" s="5"/>
    </row>
    <row r="3337" spans="1:3" x14ac:dyDescent="0.25">
      <c r="A3337" s="5"/>
      <c r="B3337" s="5"/>
      <c r="C3337" s="5"/>
    </row>
    <row r="3338" spans="1:3" x14ac:dyDescent="0.25">
      <c r="A3338" s="5"/>
      <c r="B3338" s="5"/>
      <c r="C3338" s="5"/>
    </row>
    <row r="3339" spans="1:3" x14ac:dyDescent="0.25">
      <c r="A3339" s="5"/>
      <c r="B3339" s="5"/>
      <c r="C3339" s="5"/>
    </row>
    <row r="3340" spans="1:3" x14ac:dyDescent="0.25">
      <c r="A3340" s="5"/>
      <c r="B3340" s="5"/>
      <c r="C3340" s="5"/>
    </row>
    <row r="3341" spans="1:3" x14ac:dyDescent="0.25">
      <c r="A3341" s="5"/>
      <c r="B3341" s="5"/>
      <c r="C3341" s="5"/>
    </row>
    <row r="3342" spans="1:3" x14ac:dyDescent="0.25">
      <c r="A3342" s="5"/>
      <c r="B3342" s="5"/>
      <c r="C3342" s="5"/>
    </row>
    <row r="3343" spans="1:3" x14ac:dyDescent="0.25">
      <c r="A3343" s="5"/>
      <c r="B3343" s="5"/>
      <c r="C3343" s="5"/>
    </row>
    <row r="3344" spans="1:3" x14ac:dyDescent="0.25">
      <c r="A3344" s="5"/>
      <c r="B3344" s="5"/>
      <c r="C3344" s="5"/>
    </row>
    <row r="3345" spans="1:3" x14ac:dyDescent="0.25">
      <c r="A3345" s="5"/>
      <c r="B3345" s="5"/>
      <c r="C3345" s="5"/>
    </row>
    <row r="3346" spans="1:3" x14ac:dyDescent="0.25">
      <c r="A3346" s="5"/>
      <c r="B3346" s="5"/>
      <c r="C3346" s="5"/>
    </row>
    <row r="3347" spans="1:3" x14ac:dyDescent="0.25">
      <c r="A3347" s="5"/>
      <c r="B3347" s="5"/>
      <c r="C3347" s="5"/>
    </row>
    <row r="3348" spans="1:3" x14ac:dyDescent="0.25">
      <c r="A3348" s="5"/>
      <c r="B3348" s="5"/>
      <c r="C3348" s="5"/>
    </row>
    <row r="3349" spans="1:3" x14ac:dyDescent="0.25">
      <c r="A3349" s="5"/>
      <c r="B3349" s="5"/>
      <c r="C3349" s="5"/>
    </row>
    <row r="3350" spans="1:3" x14ac:dyDescent="0.25">
      <c r="A3350" s="5"/>
      <c r="B3350" s="5"/>
      <c r="C3350" s="5"/>
    </row>
    <row r="3351" spans="1:3" x14ac:dyDescent="0.25">
      <c r="A3351" s="5"/>
      <c r="B3351" s="5"/>
      <c r="C3351" s="5"/>
    </row>
    <row r="3352" spans="1:3" x14ac:dyDescent="0.25">
      <c r="A3352" s="5"/>
      <c r="B3352" s="5"/>
      <c r="C3352" s="5"/>
    </row>
    <row r="3353" spans="1:3" x14ac:dyDescent="0.25">
      <c r="A3353" s="5"/>
      <c r="B3353" s="5"/>
      <c r="C3353" s="5"/>
    </row>
    <row r="3354" spans="1:3" x14ac:dyDescent="0.25">
      <c r="A3354" s="5"/>
      <c r="B3354" s="5"/>
      <c r="C3354" s="5"/>
    </row>
    <row r="3355" spans="1:3" x14ac:dyDescent="0.25">
      <c r="A3355" s="5"/>
      <c r="B3355" s="5"/>
      <c r="C3355" s="5"/>
    </row>
    <row r="3356" spans="1:3" x14ac:dyDescent="0.25">
      <c r="A3356" s="5"/>
      <c r="B3356" s="5"/>
      <c r="C3356" s="5"/>
    </row>
    <row r="3357" spans="1:3" x14ac:dyDescent="0.25">
      <c r="A3357" s="5"/>
      <c r="B3357" s="5"/>
      <c r="C3357" s="5"/>
    </row>
    <row r="3358" spans="1:3" x14ac:dyDescent="0.25">
      <c r="A3358" s="5"/>
      <c r="B3358" s="5"/>
      <c r="C3358" s="5"/>
    </row>
    <row r="3359" spans="1:3" x14ac:dyDescent="0.25">
      <c r="A3359" s="5"/>
      <c r="B3359" s="5"/>
      <c r="C3359" s="5"/>
    </row>
    <row r="3360" spans="1:3" x14ac:dyDescent="0.25">
      <c r="A3360" s="5"/>
      <c r="B3360" s="5"/>
      <c r="C3360" s="5"/>
    </row>
    <row r="3361" spans="1:3" x14ac:dyDescent="0.25">
      <c r="A3361" s="5"/>
      <c r="B3361" s="5"/>
      <c r="C3361" s="5"/>
    </row>
    <row r="3362" spans="1:3" x14ac:dyDescent="0.25">
      <c r="A3362" s="5"/>
      <c r="B3362" s="5"/>
      <c r="C3362" s="5"/>
    </row>
    <row r="3363" spans="1:3" x14ac:dyDescent="0.25">
      <c r="A3363" s="5"/>
      <c r="B3363" s="5"/>
      <c r="C3363" s="5"/>
    </row>
    <row r="3364" spans="1:3" x14ac:dyDescent="0.25">
      <c r="A3364" s="5"/>
      <c r="B3364" s="5"/>
      <c r="C3364" s="5"/>
    </row>
    <row r="3365" spans="1:3" x14ac:dyDescent="0.25">
      <c r="A3365" s="5"/>
      <c r="B3365" s="5"/>
      <c r="C3365" s="5"/>
    </row>
    <row r="3366" spans="1:3" x14ac:dyDescent="0.25">
      <c r="A3366" s="5"/>
      <c r="B3366" s="5"/>
      <c r="C3366" s="5"/>
    </row>
    <row r="3367" spans="1:3" x14ac:dyDescent="0.25">
      <c r="A3367" s="5"/>
      <c r="B3367" s="5"/>
      <c r="C3367" s="5"/>
    </row>
    <row r="3368" spans="1:3" x14ac:dyDescent="0.25">
      <c r="A3368" s="5"/>
      <c r="B3368" s="5"/>
      <c r="C3368" s="5"/>
    </row>
    <row r="3369" spans="1:3" x14ac:dyDescent="0.25">
      <c r="A3369" s="5"/>
      <c r="B3369" s="5"/>
      <c r="C3369" s="5"/>
    </row>
    <row r="3370" spans="1:3" x14ac:dyDescent="0.25">
      <c r="A3370" s="5"/>
      <c r="B3370" s="5"/>
      <c r="C3370" s="5"/>
    </row>
    <row r="3371" spans="1:3" x14ac:dyDescent="0.25">
      <c r="A3371" s="5"/>
      <c r="B3371" s="5"/>
      <c r="C3371" s="5"/>
    </row>
    <row r="3372" spans="1:3" x14ac:dyDescent="0.25">
      <c r="A3372" s="5"/>
      <c r="B3372" s="5"/>
      <c r="C3372" s="5"/>
    </row>
    <row r="3373" spans="1:3" x14ac:dyDescent="0.25">
      <c r="A3373" s="5"/>
      <c r="B3373" s="5"/>
      <c r="C3373" s="5"/>
    </row>
    <row r="3374" spans="1:3" x14ac:dyDescent="0.25">
      <c r="A3374" s="5"/>
      <c r="B3374" s="5"/>
      <c r="C3374" s="5"/>
    </row>
    <row r="3375" spans="1:3" x14ac:dyDescent="0.25">
      <c r="A3375" s="5"/>
      <c r="B3375" s="5"/>
      <c r="C3375" s="5"/>
    </row>
    <row r="3376" spans="1:3" x14ac:dyDescent="0.25">
      <c r="A3376" s="5"/>
      <c r="B3376" s="5"/>
      <c r="C3376" s="5"/>
    </row>
    <row r="3377" spans="1:3" x14ac:dyDescent="0.25">
      <c r="A3377" s="5"/>
      <c r="B3377" s="5"/>
      <c r="C3377" s="5"/>
    </row>
    <row r="3378" spans="1:3" x14ac:dyDescent="0.25">
      <c r="A3378" s="5"/>
      <c r="B3378" s="5"/>
      <c r="C3378" s="5"/>
    </row>
    <row r="3379" spans="1:3" x14ac:dyDescent="0.25">
      <c r="A3379" s="5"/>
      <c r="B3379" s="5"/>
      <c r="C3379" s="5"/>
    </row>
    <row r="3380" spans="1:3" x14ac:dyDescent="0.25">
      <c r="A3380" s="5"/>
      <c r="B3380" s="5"/>
      <c r="C3380" s="5"/>
    </row>
    <row r="3381" spans="1:3" x14ac:dyDescent="0.25">
      <c r="A3381" s="5"/>
      <c r="B3381" s="5"/>
      <c r="C3381" s="5"/>
    </row>
    <row r="3382" spans="1:3" x14ac:dyDescent="0.25">
      <c r="A3382" s="5"/>
      <c r="B3382" s="5"/>
      <c r="C3382" s="5"/>
    </row>
    <row r="3383" spans="1:3" x14ac:dyDescent="0.25">
      <c r="A3383" s="5"/>
      <c r="B3383" s="5"/>
      <c r="C3383" s="5"/>
    </row>
    <row r="3384" spans="1:3" x14ac:dyDescent="0.25">
      <c r="A3384" s="5"/>
      <c r="B3384" s="5"/>
      <c r="C3384" s="5"/>
    </row>
    <row r="3385" spans="1:3" x14ac:dyDescent="0.25">
      <c r="A3385" s="5"/>
      <c r="B3385" s="5"/>
      <c r="C3385" s="5"/>
    </row>
    <row r="3386" spans="1:3" x14ac:dyDescent="0.25">
      <c r="A3386" s="5"/>
      <c r="B3386" s="5"/>
      <c r="C3386" s="5"/>
    </row>
    <row r="3387" spans="1:3" x14ac:dyDescent="0.25">
      <c r="A3387" s="5"/>
      <c r="B3387" s="5"/>
      <c r="C3387" s="5"/>
    </row>
    <row r="3388" spans="1:3" x14ac:dyDescent="0.25">
      <c r="A3388" s="5"/>
      <c r="B3388" s="5"/>
      <c r="C3388" s="5"/>
    </row>
    <row r="3389" spans="1:3" x14ac:dyDescent="0.25">
      <c r="A3389" s="5"/>
      <c r="B3389" s="5"/>
      <c r="C3389" s="5"/>
    </row>
    <row r="3390" spans="1:3" x14ac:dyDescent="0.25">
      <c r="A3390" s="5"/>
      <c r="B3390" s="5"/>
      <c r="C3390" s="5"/>
    </row>
    <row r="3391" spans="1:3" x14ac:dyDescent="0.25">
      <c r="A3391" s="5"/>
      <c r="B3391" s="5"/>
      <c r="C3391" s="5"/>
    </row>
    <row r="3392" spans="1:3" x14ac:dyDescent="0.25">
      <c r="A3392" s="5"/>
      <c r="B3392" s="5"/>
      <c r="C3392" s="5"/>
    </row>
    <row r="3393" spans="1:3" x14ac:dyDescent="0.25">
      <c r="A3393" s="5"/>
      <c r="B3393" s="5"/>
      <c r="C3393" s="5"/>
    </row>
    <row r="3394" spans="1:3" x14ac:dyDescent="0.25">
      <c r="A3394" s="5"/>
      <c r="B3394" s="5"/>
      <c r="C3394" s="5"/>
    </row>
    <row r="3395" spans="1:3" x14ac:dyDescent="0.25">
      <c r="A3395" s="5"/>
      <c r="B3395" s="5"/>
      <c r="C3395" s="5"/>
    </row>
    <row r="3396" spans="1:3" x14ac:dyDescent="0.25">
      <c r="A3396" s="5"/>
      <c r="B3396" s="5"/>
      <c r="C3396" s="5"/>
    </row>
    <row r="3397" spans="1:3" x14ac:dyDescent="0.25">
      <c r="A3397" s="5"/>
      <c r="B3397" s="5"/>
      <c r="C3397" s="5"/>
    </row>
    <row r="3398" spans="1:3" x14ac:dyDescent="0.25">
      <c r="A3398" s="5"/>
      <c r="B3398" s="5"/>
      <c r="C3398" s="5"/>
    </row>
    <row r="3399" spans="1:3" x14ac:dyDescent="0.25">
      <c r="A3399" s="5"/>
      <c r="B3399" s="5"/>
      <c r="C3399" s="5"/>
    </row>
    <row r="3400" spans="1:3" x14ac:dyDescent="0.25">
      <c r="A3400" s="5"/>
      <c r="B3400" s="5"/>
      <c r="C3400" s="5"/>
    </row>
    <row r="3401" spans="1:3" x14ac:dyDescent="0.25">
      <c r="A3401" s="5"/>
      <c r="B3401" s="5"/>
      <c r="C3401" s="5"/>
    </row>
    <row r="3402" spans="1:3" x14ac:dyDescent="0.25">
      <c r="A3402" s="5"/>
      <c r="B3402" s="5"/>
      <c r="C3402" s="5"/>
    </row>
    <row r="3403" spans="1:3" x14ac:dyDescent="0.25">
      <c r="A3403" s="5"/>
      <c r="B3403" s="5"/>
      <c r="C3403" s="5"/>
    </row>
    <row r="3404" spans="1:3" x14ac:dyDescent="0.25">
      <c r="A3404" s="5"/>
      <c r="B3404" s="5"/>
      <c r="C3404" s="5"/>
    </row>
    <row r="3405" spans="1:3" x14ac:dyDescent="0.25">
      <c r="A3405" s="5"/>
      <c r="B3405" s="5"/>
      <c r="C3405" s="5"/>
    </row>
    <row r="3406" spans="1:3" x14ac:dyDescent="0.25">
      <c r="A3406" s="5"/>
      <c r="B3406" s="5"/>
      <c r="C3406" s="5"/>
    </row>
    <row r="3407" spans="1:3" x14ac:dyDescent="0.25">
      <c r="A3407" s="5"/>
      <c r="B3407" s="5"/>
      <c r="C3407" s="5"/>
    </row>
    <row r="3408" spans="1:3" x14ac:dyDescent="0.25">
      <c r="A3408" s="5"/>
      <c r="B3408" s="5"/>
      <c r="C3408" s="5"/>
    </row>
    <row r="3409" spans="1:3" x14ac:dyDescent="0.25">
      <c r="A3409" s="5"/>
      <c r="B3409" s="5"/>
      <c r="C3409" s="5"/>
    </row>
    <row r="3410" spans="1:3" x14ac:dyDescent="0.25">
      <c r="A3410" s="5"/>
      <c r="B3410" s="5"/>
      <c r="C3410" s="5"/>
    </row>
    <row r="3411" spans="1:3" x14ac:dyDescent="0.25">
      <c r="A3411" s="5"/>
      <c r="B3411" s="5"/>
      <c r="C3411" s="5"/>
    </row>
    <row r="3412" spans="1:3" x14ac:dyDescent="0.25">
      <c r="A3412" s="5"/>
      <c r="B3412" s="5"/>
      <c r="C3412" s="5"/>
    </row>
    <row r="3413" spans="1:3" x14ac:dyDescent="0.25">
      <c r="A3413" s="5"/>
      <c r="B3413" s="5"/>
      <c r="C3413" s="5"/>
    </row>
    <row r="3414" spans="1:3" x14ac:dyDescent="0.25">
      <c r="A3414" s="5"/>
      <c r="B3414" s="5"/>
      <c r="C3414" s="5"/>
    </row>
    <row r="3415" spans="1:3" x14ac:dyDescent="0.25">
      <c r="A3415" s="5"/>
      <c r="B3415" s="5"/>
      <c r="C3415" s="5"/>
    </row>
    <row r="3416" spans="1:3" x14ac:dyDescent="0.25">
      <c r="A3416" s="5"/>
      <c r="B3416" s="5"/>
      <c r="C3416" s="5"/>
    </row>
    <row r="3417" spans="1:3" x14ac:dyDescent="0.25">
      <c r="A3417" s="5"/>
      <c r="B3417" s="5"/>
      <c r="C3417" s="5"/>
    </row>
    <row r="3418" spans="1:3" x14ac:dyDescent="0.25">
      <c r="A3418" s="5"/>
      <c r="B3418" s="5"/>
      <c r="C3418" s="5"/>
    </row>
    <row r="3419" spans="1:3" x14ac:dyDescent="0.25">
      <c r="A3419" s="5"/>
      <c r="B3419" s="5"/>
      <c r="C3419" s="5"/>
    </row>
    <row r="3420" spans="1:3" x14ac:dyDescent="0.25">
      <c r="A3420" s="5"/>
      <c r="B3420" s="5"/>
      <c r="C3420" s="5"/>
    </row>
    <row r="3421" spans="1:3" x14ac:dyDescent="0.25">
      <c r="A3421" s="5"/>
      <c r="B3421" s="5"/>
      <c r="C3421" s="5"/>
    </row>
    <row r="3422" spans="1:3" x14ac:dyDescent="0.25">
      <c r="A3422" s="5"/>
      <c r="B3422" s="5"/>
      <c r="C3422" s="5"/>
    </row>
    <row r="3423" spans="1:3" x14ac:dyDescent="0.25">
      <c r="A3423" s="5"/>
      <c r="B3423" s="5"/>
      <c r="C3423" s="5"/>
    </row>
    <row r="3424" spans="1:3" x14ac:dyDescent="0.25">
      <c r="A3424" s="5"/>
      <c r="B3424" s="5"/>
      <c r="C3424" s="5"/>
    </row>
    <row r="3425" spans="1:3" x14ac:dyDescent="0.25">
      <c r="A3425" s="5"/>
      <c r="B3425" s="5"/>
      <c r="C3425" s="5"/>
    </row>
    <row r="3426" spans="1:3" x14ac:dyDescent="0.25">
      <c r="A3426" s="5"/>
      <c r="B3426" s="5"/>
      <c r="C3426" s="5"/>
    </row>
    <row r="3427" spans="1:3" x14ac:dyDescent="0.25">
      <c r="A3427" s="5"/>
      <c r="B3427" s="5"/>
      <c r="C3427" s="5"/>
    </row>
    <row r="3428" spans="1:3" x14ac:dyDescent="0.25">
      <c r="A3428" s="5"/>
      <c r="B3428" s="5"/>
      <c r="C3428" s="5"/>
    </row>
    <row r="3429" spans="1:3" x14ac:dyDescent="0.25">
      <c r="A3429" s="5"/>
      <c r="B3429" s="5"/>
      <c r="C3429" s="5"/>
    </row>
    <row r="3430" spans="1:3" x14ac:dyDescent="0.25">
      <c r="A3430" s="5"/>
      <c r="B3430" s="5"/>
      <c r="C3430" s="5"/>
    </row>
    <row r="3431" spans="1:3" x14ac:dyDescent="0.25">
      <c r="A3431" s="5"/>
      <c r="B3431" s="5"/>
      <c r="C3431" s="5"/>
    </row>
    <row r="3432" spans="1:3" x14ac:dyDescent="0.25">
      <c r="A3432" s="5"/>
      <c r="B3432" s="5"/>
      <c r="C3432" s="5"/>
    </row>
    <row r="3433" spans="1:3" x14ac:dyDescent="0.25">
      <c r="A3433" s="5"/>
      <c r="B3433" s="5"/>
      <c r="C3433" s="5"/>
    </row>
    <row r="3434" spans="1:3" x14ac:dyDescent="0.25">
      <c r="A3434" s="5"/>
      <c r="B3434" s="5"/>
      <c r="C3434" s="5"/>
    </row>
    <row r="3435" spans="1:3" x14ac:dyDescent="0.25">
      <c r="A3435" s="5"/>
      <c r="B3435" s="5"/>
      <c r="C3435" s="5"/>
    </row>
    <row r="3436" spans="1:3" x14ac:dyDescent="0.25">
      <c r="A3436" s="5"/>
      <c r="B3436" s="5"/>
      <c r="C3436" s="5"/>
    </row>
    <row r="3437" spans="1:3" x14ac:dyDescent="0.25">
      <c r="A3437" s="5"/>
      <c r="B3437" s="5"/>
      <c r="C3437" s="5"/>
    </row>
    <row r="3438" spans="1:3" x14ac:dyDescent="0.25">
      <c r="A3438" s="5"/>
      <c r="B3438" s="5"/>
      <c r="C3438" s="5"/>
    </row>
    <row r="3439" spans="1:3" x14ac:dyDescent="0.25">
      <c r="A3439" s="5"/>
      <c r="B3439" s="5"/>
      <c r="C3439" s="5"/>
    </row>
    <row r="3440" spans="1:3" x14ac:dyDescent="0.25">
      <c r="A3440" s="5"/>
      <c r="B3440" s="5"/>
      <c r="C3440" s="5"/>
    </row>
    <row r="3441" spans="1:3" x14ac:dyDescent="0.25">
      <c r="A3441" s="5"/>
      <c r="B3441" s="5"/>
      <c r="C3441" s="5"/>
    </row>
    <row r="3442" spans="1:3" x14ac:dyDescent="0.25">
      <c r="A3442" s="5"/>
      <c r="B3442" s="5"/>
      <c r="C3442" s="5"/>
    </row>
    <row r="3443" spans="1:3" x14ac:dyDescent="0.25">
      <c r="A3443" s="5"/>
      <c r="B3443" s="5"/>
      <c r="C3443" s="5"/>
    </row>
    <row r="3444" spans="1:3" x14ac:dyDescent="0.25">
      <c r="A3444" s="5"/>
      <c r="B3444" s="5"/>
      <c r="C3444" s="5"/>
    </row>
    <row r="3445" spans="1:3" x14ac:dyDescent="0.25">
      <c r="A3445" s="5"/>
      <c r="B3445" s="5"/>
      <c r="C3445" s="5"/>
    </row>
    <row r="3446" spans="1:3" x14ac:dyDescent="0.25">
      <c r="A3446" s="5"/>
      <c r="B3446" s="5"/>
      <c r="C3446" s="5"/>
    </row>
    <row r="3447" spans="1:3" x14ac:dyDescent="0.25">
      <c r="A3447" s="5"/>
      <c r="B3447" s="5"/>
      <c r="C3447" s="5"/>
    </row>
    <row r="3448" spans="1:3" x14ac:dyDescent="0.25">
      <c r="A3448" s="5"/>
      <c r="B3448" s="5"/>
      <c r="C3448" s="5"/>
    </row>
    <row r="3449" spans="1:3" x14ac:dyDescent="0.25">
      <c r="A3449" s="5"/>
      <c r="B3449" s="5"/>
      <c r="C3449" s="5"/>
    </row>
    <row r="3450" spans="1:3" x14ac:dyDescent="0.25">
      <c r="A3450" s="5"/>
      <c r="B3450" s="5"/>
      <c r="C3450" s="5"/>
    </row>
    <row r="3451" spans="1:3" x14ac:dyDescent="0.25">
      <c r="A3451" s="5"/>
      <c r="B3451" s="5"/>
      <c r="C3451" s="5"/>
    </row>
    <row r="3452" spans="1:3" x14ac:dyDescent="0.25">
      <c r="A3452" s="5"/>
      <c r="B3452" s="5"/>
      <c r="C3452" s="5"/>
    </row>
    <row r="3453" spans="1:3" x14ac:dyDescent="0.25">
      <c r="A3453" s="5"/>
      <c r="B3453" s="5"/>
      <c r="C3453" s="5"/>
    </row>
    <row r="3454" spans="1:3" x14ac:dyDescent="0.25">
      <c r="A3454" s="5"/>
      <c r="B3454" s="5"/>
      <c r="C3454" s="5"/>
    </row>
    <row r="3455" spans="1:3" x14ac:dyDescent="0.25">
      <c r="A3455" s="5"/>
      <c r="B3455" s="5"/>
      <c r="C3455" s="5"/>
    </row>
    <row r="3456" spans="1:3" x14ac:dyDescent="0.25">
      <c r="A3456" s="5"/>
      <c r="B3456" s="5"/>
      <c r="C3456" s="5"/>
    </row>
    <row r="3457" spans="1:3" x14ac:dyDescent="0.25">
      <c r="A3457" s="5"/>
      <c r="B3457" s="5"/>
      <c r="C3457" s="5"/>
    </row>
    <row r="3458" spans="1:3" x14ac:dyDescent="0.25">
      <c r="A3458" s="5"/>
      <c r="B3458" s="5"/>
      <c r="C3458" s="5"/>
    </row>
    <row r="3459" spans="1:3" x14ac:dyDescent="0.25">
      <c r="A3459" s="5"/>
      <c r="B3459" s="5"/>
      <c r="C3459" s="5"/>
    </row>
    <row r="3460" spans="1:3" x14ac:dyDescent="0.25">
      <c r="A3460" s="5"/>
      <c r="B3460" s="5"/>
      <c r="C3460" s="5"/>
    </row>
    <row r="3461" spans="1:3" x14ac:dyDescent="0.25">
      <c r="A3461" s="5"/>
      <c r="B3461" s="5"/>
      <c r="C3461" s="5"/>
    </row>
    <row r="3462" spans="1:3" x14ac:dyDescent="0.25">
      <c r="A3462" s="5"/>
      <c r="B3462" s="5"/>
      <c r="C3462" s="5"/>
    </row>
    <row r="3463" spans="1:3" x14ac:dyDescent="0.25">
      <c r="A3463" s="5"/>
      <c r="B3463" s="5"/>
      <c r="C3463" s="5"/>
    </row>
    <row r="3464" spans="1:3" x14ac:dyDescent="0.25">
      <c r="A3464" s="5"/>
      <c r="B3464" s="5"/>
      <c r="C3464" s="5"/>
    </row>
    <row r="3465" spans="1:3" x14ac:dyDescent="0.25">
      <c r="A3465" s="5"/>
      <c r="B3465" s="5"/>
      <c r="C3465" s="5"/>
    </row>
    <row r="3466" spans="1:3" x14ac:dyDescent="0.25">
      <c r="A3466" s="5"/>
      <c r="B3466" s="5"/>
      <c r="C3466" s="5"/>
    </row>
    <row r="3467" spans="1:3" x14ac:dyDescent="0.25">
      <c r="A3467" s="5"/>
      <c r="B3467" s="5"/>
      <c r="C3467" s="5"/>
    </row>
    <row r="3468" spans="1:3" x14ac:dyDescent="0.25">
      <c r="A3468" s="5"/>
      <c r="B3468" s="5"/>
      <c r="C3468" s="5"/>
    </row>
    <row r="3469" spans="1:3" x14ac:dyDescent="0.25">
      <c r="A3469" s="5"/>
      <c r="B3469" s="5"/>
      <c r="C3469" s="5"/>
    </row>
    <row r="3470" spans="1:3" x14ac:dyDescent="0.25">
      <c r="A3470" s="5"/>
      <c r="B3470" s="5"/>
      <c r="C3470" s="5"/>
    </row>
    <row r="3471" spans="1:3" x14ac:dyDescent="0.25">
      <c r="A3471" s="5"/>
      <c r="B3471" s="5"/>
      <c r="C3471" s="5"/>
    </row>
    <row r="3472" spans="1:3" x14ac:dyDescent="0.25">
      <c r="A3472" s="5"/>
      <c r="B3472" s="5"/>
      <c r="C3472" s="5"/>
    </row>
    <row r="3473" spans="1:3" x14ac:dyDescent="0.25">
      <c r="A3473" s="5"/>
      <c r="B3473" s="5"/>
      <c r="C3473" s="5"/>
    </row>
    <row r="3474" spans="1:3" x14ac:dyDescent="0.25">
      <c r="A3474" s="5"/>
      <c r="B3474" s="5"/>
      <c r="C3474" s="5"/>
    </row>
    <row r="3475" spans="1:3" x14ac:dyDescent="0.25">
      <c r="A3475" s="5"/>
      <c r="B3475" s="5"/>
      <c r="C3475" s="5"/>
    </row>
    <row r="3476" spans="1:3" x14ac:dyDescent="0.25">
      <c r="A3476" s="5"/>
      <c r="B3476" s="5"/>
      <c r="C3476" s="5"/>
    </row>
    <row r="3477" spans="1:3" x14ac:dyDescent="0.25">
      <c r="A3477" s="5"/>
      <c r="B3477" s="5"/>
      <c r="C3477" s="5"/>
    </row>
    <row r="3478" spans="1:3" x14ac:dyDescent="0.25">
      <c r="A3478" s="5"/>
      <c r="B3478" s="5"/>
      <c r="C3478" s="5"/>
    </row>
    <row r="3479" spans="1:3" x14ac:dyDescent="0.25">
      <c r="A3479" s="5"/>
      <c r="B3479" s="5"/>
      <c r="C3479" s="5"/>
    </row>
    <row r="3480" spans="1:3" x14ac:dyDescent="0.25">
      <c r="A3480" s="5"/>
      <c r="B3480" s="5"/>
      <c r="C3480" s="5"/>
    </row>
    <row r="3481" spans="1:3" x14ac:dyDescent="0.25">
      <c r="A3481" s="5"/>
      <c r="B3481" s="5"/>
      <c r="C3481" s="5"/>
    </row>
    <row r="3482" spans="1:3" x14ac:dyDescent="0.25">
      <c r="A3482" s="5"/>
      <c r="B3482" s="5"/>
      <c r="C3482" s="5"/>
    </row>
    <row r="3483" spans="1:3" x14ac:dyDescent="0.25">
      <c r="A3483" s="5"/>
      <c r="B3483" s="5"/>
      <c r="C3483" s="5"/>
    </row>
    <row r="3484" spans="1:3" x14ac:dyDescent="0.25">
      <c r="A3484" s="5"/>
      <c r="B3484" s="5"/>
      <c r="C3484" s="5"/>
    </row>
    <row r="3485" spans="1:3" x14ac:dyDescent="0.25">
      <c r="A3485" s="5"/>
      <c r="B3485" s="5"/>
      <c r="C3485" s="5"/>
    </row>
    <row r="3486" spans="1:3" x14ac:dyDescent="0.25">
      <c r="A3486" s="5"/>
      <c r="B3486" s="5"/>
      <c r="C3486" s="5"/>
    </row>
    <row r="3487" spans="1:3" x14ac:dyDescent="0.25">
      <c r="A3487" s="5"/>
      <c r="B3487" s="5"/>
      <c r="C3487" s="5"/>
    </row>
    <row r="3488" spans="1:3" x14ac:dyDescent="0.25">
      <c r="A3488" s="5"/>
      <c r="B3488" s="5"/>
      <c r="C3488" s="5"/>
    </row>
    <row r="3489" spans="1:3" x14ac:dyDescent="0.25">
      <c r="A3489" s="5"/>
      <c r="B3489" s="5"/>
      <c r="C3489" s="5"/>
    </row>
    <row r="3490" spans="1:3" x14ac:dyDescent="0.25">
      <c r="A3490" s="5"/>
      <c r="B3490" s="5"/>
      <c r="C3490" s="5"/>
    </row>
    <row r="3491" spans="1:3" x14ac:dyDescent="0.25">
      <c r="A3491" s="5"/>
      <c r="B3491" s="5"/>
      <c r="C3491" s="5"/>
    </row>
    <row r="3492" spans="1:3" x14ac:dyDescent="0.25">
      <c r="A3492" s="5"/>
      <c r="B3492" s="5"/>
      <c r="C3492" s="5"/>
    </row>
    <row r="3493" spans="1:3" x14ac:dyDescent="0.25">
      <c r="A3493" s="5"/>
      <c r="B3493" s="5"/>
      <c r="C3493" s="5"/>
    </row>
    <row r="3494" spans="1:3" x14ac:dyDescent="0.25">
      <c r="A3494" s="5"/>
      <c r="B3494" s="5"/>
      <c r="C3494" s="5"/>
    </row>
    <row r="3495" spans="1:3" x14ac:dyDescent="0.25">
      <c r="A3495" s="5"/>
      <c r="B3495" s="5"/>
      <c r="C3495" s="5"/>
    </row>
    <row r="3496" spans="1:3" x14ac:dyDescent="0.25">
      <c r="A3496" s="5"/>
      <c r="B3496" s="5"/>
      <c r="C3496" s="5"/>
    </row>
    <row r="3497" spans="1:3" x14ac:dyDescent="0.25">
      <c r="A3497" s="5"/>
      <c r="B3497" s="5"/>
      <c r="C3497" s="5"/>
    </row>
    <row r="3498" spans="1:3" x14ac:dyDescent="0.25">
      <c r="A3498" s="5"/>
      <c r="B3498" s="5"/>
      <c r="C3498" s="5"/>
    </row>
    <row r="3499" spans="1:3" x14ac:dyDescent="0.25">
      <c r="A3499" s="5"/>
      <c r="B3499" s="5"/>
      <c r="C3499" s="5"/>
    </row>
    <row r="3500" spans="1:3" x14ac:dyDescent="0.25">
      <c r="A3500" s="5"/>
      <c r="B3500" s="5"/>
      <c r="C3500" s="5"/>
    </row>
    <row r="3501" spans="1:3" x14ac:dyDescent="0.25">
      <c r="A3501" s="5"/>
      <c r="B3501" s="5"/>
      <c r="C3501" s="5"/>
    </row>
    <row r="3502" spans="1:3" x14ac:dyDescent="0.25">
      <c r="A3502" s="5"/>
      <c r="B3502" s="5"/>
      <c r="C3502" s="5"/>
    </row>
    <row r="3503" spans="1:3" x14ac:dyDescent="0.25">
      <c r="A3503" s="5"/>
      <c r="B3503" s="5"/>
      <c r="C3503" s="5"/>
    </row>
    <row r="3504" spans="1:3" x14ac:dyDescent="0.25">
      <c r="A3504" s="5"/>
      <c r="B3504" s="5"/>
      <c r="C3504" s="5"/>
    </row>
    <row r="3505" spans="1:3" x14ac:dyDescent="0.25">
      <c r="A3505" s="5"/>
      <c r="B3505" s="5"/>
      <c r="C3505" s="5"/>
    </row>
    <row r="3506" spans="1:3" x14ac:dyDescent="0.25">
      <c r="A3506" s="5"/>
      <c r="B3506" s="5"/>
      <c r="C3506" s="5"/>
    </row>
    <row r="3507" spans="1:3" x14ac:dyDescent="0.25">
      <c r="A3507" s="5"/>
      <c r="B3507" s="5"/>
      <c r="C3507" s="5"/>
    </row>
    <row r="3508" spans="1:3" x14ac:dyDescent="0.25">
      <c r="A3508" s="5"/>
      <c r="B3508" s="5"/>
      <c r="C3508" s="5"/>
    </row>
    <row r="3509" spans="1:3" x14ac:dyDescent="0.25">
      <c r="A3509" s="5"/>
      <c r="B3509" s="5"/>
      <c r="C3509" s="5"/>
    </row>
    <row r="3510" spans="1:3" x14ac:dyDescent="0.25">
      <c r="A3510" s="5"/>
      <c r="B3510" s="5"/>
      <c r="C3510" s="5"/>
    </row>
    <row r="3511" spans="1:3" x14ac:dyDescent="0.25">
      <c r="A3511" s="5"/>
      <c r="B3511" s="5"/>
      <c r="C3511" s="5"/>
    </row>
    <row r="3512" spans="1:3" x14ac:dyDescent="0.25">
      <c r="A3512" s="5"/>
      <c r="B3512" s="5"/>
      <c r="C3512" s="5"/>
    </row>
    <row r="3513" spans="1:3" x14ac:dyDescent="0.25">
      <c r="A3513" s="5"/>
      <c r="B3513" s="5"/>
      <c r="C3513" s="5"/>
    </row>
    <row r="3514" spans="1:3" x14ac:dyDescent="0.25">
      <c r="A3514" s="5"/>
      <c r="B3514" s="5"/>
      <c r="C3514" s="5"/>
    </row>
    <row r="3515" spans="1:3" x14ac:dyDescent="0.25">
      <c r="A3515" s="5"/>
      <c r="B3515" s="5"/>
      <c r="C3515" s="5"/>
    </row>
    <row r="3516" spans="1:3" x14ac:dyDescent="0.25">
      <c r="A3516" s="5"/>
      <c r="B3516" s="5"/>
      <c r="C3516" s="5"/>
    </row>
    <row r="3517" spans="1:3" x14ac:dyDescent="0.25">
      <c r="A3517" s="5"/>
      <c r="B3517" s="5"/>
      <c r="C3517" s="5"/>
    </row>
    <row r="3518" spans="1:3" x14ac:dyDescent="0.25">
      <c r="A3518" s="5"/>
      <c r="B3518" s="5"/>
      <c r="C3518" s="5"/>
    </row>
    <row r="3519" spans="1:3" x14ac:dyDescent="0.25">
      <c r="A3519" s="5"/>
      <c r="B3519" s="5"/>
      <c r="C3519" s="5"/>
    </row>
    <row r="3520" spans="1:3" x14ac:dyDescent="0.25">
      <c r="A3520" s="5"/>
      <c r="B3520" s="5"/>
      <c r="C3520" s="5"/>
    </row>
    <row r="3521" spans="1:3" x14ac:dyDescent="0.25">
      <c r="A3521" s="5"/>
      <c r="B3521" s="5"/>
      <c r="C3521" s="5"/>
    </row>
    <row r="3522" spans="1:3" x14ac:dyDescent="0.25">
      <c r="A3522" s="5"/>
      <c r="B3522" s="5"/>
      <c r="C3522" s="5"/>
    </row>
    <row r="3523" spans="1:3" x14ac:dyDescent="0.25">
      <c r="A3523" s="5"/>
      <c r="B3523" s="5"/>
      <c r="C3523" s="5"/>
    </row>
    <row r="3524" spans="1:3" x14ac:dyDescent="0.25">
      <c r="A3524" s="5"/>
      <c r="B3524" s="5"/>
      <c r="C3524" s="5"/>
    </row>
    <row r="3525" spans="1:3" x14ac:dyDescent="0.25">
      <c r="A3525" s="5"/>
      <c r="B3525" s="5"/>
      <c r="C3525" s="5"/>
    </row>
    <row r="3526" spans="1:3" x14ac:dyDescent="0.25">
      <c r="A3526" s="5"/>
      <c r="B3526" s="5"/>
      <c r="C3526" s="5"/>
    </row>
    <row r="3527" spans="1:3" x14ac:dyDescent="0.25">
      <c r="A3527" s="5"/>
      <c r="B3527" s="5"/>
      <c r="C3527" s="5"/>
    </row>
    <row r="3528" spans="1:3" x14ac:dyDescent="0.25">
      <c r="A3528" s="5"/>
      <c r="B3528" s="5"/>
      <c r="C3528" s="5"/>
    </row>
    <row r="3529" spans="1:3" x14ac:dyDescent="0.25">
      <c r="A3529" s="5"/>
      <c r="B3529" s="5"/>
      <c r="C3529" s="5"/>
    </row>
    <row r="3530" spans="1:3" x14ac:dyDescent="0.25">
      <c r="A3530" s="5"/>
      <c r="B3530" s="5"/>
      <c r="C3530" s="5"/>
    </row>
    <row r="3531" spans="1:3" x14ac:dyDescent="0.25">
      <c r="A3531" s="5"/>
      <c r="B3531" s="5"/>
      <c r="C3531" s="5"/>
    </row>
    <row r="3532" spans="1:3" x14ac:dyDescent="0.25">
      <c r="A3532" s="5"/>
      <c r="B3532" s="5"/>
      <c r="C3532" s="5"/>
    </row>
    <row r="3533" spans="1:3" x14ac:dyDescent="0.25">
      <c r="A3533" s="5"/>
      <c r="B3533" s="5"/>
      <c r="C3533" s="5"/>
    </row>
    <row r="3534" spans="1:3" x14ac:dyDescent="0.25">
      <c r="A3534" s="5"/>
      <c r="B3534" s="5"/>
      <c r="C3534" s="5"/>
    </row>
    <row r="3535" spans="1:3" x14ac:dyDescent="0.25">
      <c r="A3535" s="5"/>
      <c r="B3535" s="5"/>
      <c r="C3535" s="5"/>
    </row>
    <row r="3536" spans="1:3" x14ac:dyDescent="0.25">
      <c r="A3536" s="5"/>
      <c r="B3536" s="5"/>
      <c r="C3536" s="5"/>
    </row>
    <row r="3537" spans="1:3" x14ac:dyDescent="0.25">
      <c r="A3537" s="5"/>
      <c r="B3537" s="5"/>
      <c r="C3537" s="5"/>
    </row>
    <row r="3538" spans="1:3" x14ac:dyDescent="0.25">
      <c r="A3538" s="5"/>
      <c r="B3538" s="5"/>
      <c r="C3538" s="5"/>
    </row>
    <row r="3539" spans="1:3" x14ac:dyDescent="0.25">
      <c r="A3539" s="5"/>
      <c r="B3539" s="5"/>
      <c r="C3539" s="5"/>
    </row>
    <row r="3540" spans="1:3" x14ac:dyDescent="0.25">
      <c r="A3540" s="5"/>
      <c r="B3540" s="5"/>
      <c r="C3540" s="5"/>
    </row>
    <row r="3541" spans="1:3" x14ac:dyDescent="0.25">
      <c r="A3541" s="5"/>
      <c r="B3541" s="5"/>
      <c r="C3541" s="5"/>
    </row>
    <row r="3542" spans="1:3" x14ac:dyDescent="0.25">
      <c r="A3542" s="5"/>
      <c r="B3542" s="5"/>
      <c r="C3542" s="5"/>
    </row>
    <row r="3543" spans="1:3" x14ac:dyDescent="0.25">
      <c r="A3543" s="5"/>
      <c r="B3543" s="5"/>
      <c r="C3543" s="5"/>
    </row>
    <row r="3544" spans="1:3" x14ac:dyDescent="0.25">
      <c r="A3544" s="5"/>
      <c r="B3544" s="5"/>
      <c r="C3544" s="5"/>
    </row>
    <row r="3545" spans="1:3" x14ac:dyDescent="0.25">
      <c r="A3545" s="5"/>
      <c r="B3545" s="5"/>
      <c r="C3545" s="5"/>
    </row>
    <row r="3546" spans="1:3" x14ac:dyDescent="0.25">
      <c r="A3546" s="5"/>
      <c r="B3546" s="5"/>
      <c r="C3546" s="5"/>
    </row>
    <row r="3547" spans="1:3" x14ac:dyDescent="0.25">
      <c r="A3547" s="5"/>
      <c r="B3547" s="5"/>
      <c r="C3547" s="5"/>
    </row>
    <row r="3548" spans="1:3" x14ac:dyDescent="0.25">
      <c r="A3548" s="5"/>
      <c r="B3548" s="5"/>
      <c r="C3548" s="5"/>
    </row>
    <row r="3549" spans="1:3" x14ac:dyDescent="0.25">
      <c r="A3549" s="5"/>
      <c r="B3549" s="5"/>
      <c r="C3549" s="5"/>
    </row>
    <row r="3550" spans="1:3" x14ac:dyDescent="0.25">
      <c r="A3550" s="5"/>
      <c r="B3550" s="5"/>
      <c r="C3550" s="5"/>
    </row>
    <row r="3551" spans="1:3" x14ac:dyDescent="0.25">
      <c r="A3551" s="5"/>
      <c r="B3551" s="5"/>
      <c r="C3551" s="5"/>
    </row>
    <row r="3552" spans="1:3" x14ac:dyDescent="0.25">
      <c r="A3552" s="5"/>
      <c r="B3552" s="5"/>
      <c r="C3552" s="5"/>
    </row>
    <row r="3553" spans="1:3" x14ac:dyDescent="0.25">
      <c r="A3553" s="5"/>
      <c r="B3553" s="5"/>
      <c r="C3553" s="5"/>
    </row>
    <row r="3554" spans="1:3" x14ac:dyDescent="0.25">
      <c r="A3554" s="5"/>
      <c r="B3554" s="5"/>
      <c r="C3554" s="5"/>
    </row>
    <row r="3555" spans="1:3" x14ac:dyDescent="0.25">
      <c r="A3555" s="5"/>
      <c r="B3555" s="5"/>
      <c r="C3555" s="5"/>
    </row>
    <row r="3556" spans="1:3" x14ac:dyDescent="0.25">
      <c r="A3556" s="5"/>
      <c r="B3556" s="5"/>
      <c r="C3556" s="5"/>
    </row>
    <row r="3557" spans="1:3" x14ac:dyDescent="0.25">
      <c r="A3557" s="5"/>
      <c r="B3557" s="5"/>
      <c r="C3557" s="5"/>
    </row>
    <row r="3558" spans="1:3" x14ac:dyDescent="0.25">
      <c r="A3558" s="5"/>
      <c r="B3558" s="5"/>
      <c r="C3558" s="5"/>
    </row>
    <row r="3559" spans="1:3" x14ac:dyDescent="0.25">
      <c r="A3559" s="5"/>
      <c r="B3559" s="5"/>
      <c r="C3559" s="5"/>
    </row>
    <row r="3560" spans="1:3" x14ac:dyDescent="0.25">
      <c r="A3560" s="5"/>
      <c r="B3560" s="5"/>
      <c r="C3560" s="5"/>
    </row>
    <row r="3561" spans="1:3" x14ac:dyDescent="0.25">
      <c r="A3561" s="5"/>
      <c r="B3561" s="5"/>
      <c r="C3561" s="5"/>
    </row>
    <row r="3562" spans="1:3" x14ac:dyDescent="0.25">
      <c r="A3562" s="5"/>
      <c r="B3562" s="5"/>
      <c r="C3562" s="5"/>
    </row>
    <row r="3563" spans="1:3" x14ac:dyDescent="0.25">
      <c r="A3563" s="5"/>
      <c r="B3563" s="5"/>
      <c r="C3563" s="5"/>
    </row>
    <row r="3564" spans="1:3" x14ac:dyDescent="0.25">
      <c r="A3564" s="5"/>
      <c r="B3564" s="5"/>
      <c r="C3564" s="5"/>
    </row>
    <row r="3565" spans="1:3" x14ac:dyDescent="0.25">
      <c r="A3565" s="5"/>
      <c r="B3565" s="5"/>
      <c r="C3565" s="5"/>
    </row>
    <row r="3566" spans="1:3" x14ac:dyDescent="0.25">
      <c r="A3566" s="5"/>
      <c r="B3566" s="5"/>
      <c r="C3566" s="5"/>
    </row>
    <row r="3567" spans="1:3" x14ac:dyDescent="0.25">
      <c r="A3567" s="5"/>
      <c r="B3567" s="5"/>
      <c r="C3567" s="5"/>
    </row>
    <row r="3568" spans="1:3" x14ac:dyDescent="0.25">
      <c r="A3568" s="5"/>
      <c r="B3568" s="5"/>
      <c r="C3568" s="5"/>
    </row>
    <row r="3569" spans="1:3" x14ac:dyDescent="0.25">
      <c r="A3569" s="5"/>
      <c r="B3569" s="5"/>
      <c r="C3569" s="5"/>
    </row>
    <row r="3570" spans="1:3" x14ac:dyDescent="0.25">
      <c r="A3570" s="5"/>
      <c r="B3570" s="5"/>
      <c r="C3570" s="5"/>
    </row>
    <row r="3571" spans="1:3" x14ac:dyDescent="0.25">
      <c r="A3571" s="5"/>
      <c r="B3571" s="5"/>
      <c r="C3571" s="5"/>
    </row>
    <row r="3572" spans="1:3" x14ac:dyDescent="0.25">
      <c r="A3572" s="5"/>
      <c r="B3572" s="5"/>
      <c r="C3572" s="5"/>
    </row>
    <row r="3573" spans="1:3" x14ac:dyDescent="0.25">
      <c r="A3573" s="5"/>
      <c r="B3573" s="5"/>
      <c r="C3573" s="5"/>
    </row>
    <row r="3574" spans="1:3" x14ac:dyDescent="0.25">
      <c r="A3574" s="5"/>
      <c r="B3574" s="5"/>
      <c r="C3574" s="5"/>
    </row>
    <row r="3575" spans="1:3" x14ac:dyDescent="0.25">
      <c r="A3575" s="5"/>
      <c r="B3575" s="5"/>
      <c r="C3575" s="5"/>
    </row>
    <row r="3576" spans="1:3" x14ac:dyDescent="0.25">
      <c r="A3576" s="5"/>
      <c r="B3576" s="5"/>
      <c r="C3576" s="5"/>
    </row>
    <row r="3577" spans="1:3" x14ac:dyDescent="0.25">
      <c r="A3577" s="5"/>
      <c r="B3577" s="5"/>
      <c r="C3577" s="5"/>
    </row>
    <row r="3578" spans="1:3" x14ac:dyDescent="0.25">
      <c r="A3578" s="5"/>
      <c r="B3578" s="5"/>
      <c r="C3578" s="5"/>
    </row>
    <row r="3579" spans="1:3" x14ac:dyDescent="0.25">
      <c r="A3579" s="5"/>
      <c r="B3579" s="5"/>
      <c r="C3579" s="5"/>
    </row>
    <row r="3580" spans="1:3" x14ac:dyDescent="0.25">
      <c r="A3580" s="5"/>
      <c r="B3580" s="5"/>
      <c r="C3580" s="5"/>
    </row>
    <row r="3581" spans="1:3" x14ac:dyDescent="0.25">
      <c r="A3581" s="5"/>
      <c r="B3581" s="5"/>
      <c r="C3581" s="5"/>
    </row>
    <row r="3582" spans="1:3" x14ac:dyDescent="0.25">
      <c r="A3582" s="5"/>
      <c r="B3582" s="5"/>
      <c r="C3582" s="5"/>
    </row>
    <row r="3583" spans="1:3" x14ac:dyDescent="0.25">
      <c r="A3583" s="5"/>
      <c r="B3583" s="5"/>
      <c r="C3583" s="5"/>
    </row>
    <row r="3584" spans="1:3" x14ac:dyDescent="0.25">
      <c r="A3584" s="5"/>
      <c r="B3584" s="5"/>
      <c r="C3584" s="5"/>
    </row>
    <row r="3585" spans="1:3" x14ac:dyDescent="0.25">
      <c r="A3585" s="5"/>
      <c r="B3585" s="5"/>
      <c r="C3585" s="5"/>
    </row>
    <row r="3586" spans="1:3" x14ac:dyDescent="0.25">
      <c r="A3586" s="5"/>
      <c r="B3586" s="5"/>
      <c r="C3586" s="5"/>
    </row>
    <row r="3587" spans="1:3" x14ac:dyDescent="0.25">
      <c r="A3587" s="5"/>
      <c r="B3587" s="5"/>
      <c r="C3587" s="5"/>
    </row>
    <row r="3588" spans="1:3" x14ac:dyDescent="0.25">
      <c r="A3588" s="5"/>
      <c r="B3588" s="5"/>
      <c r="C3588" s="5"/>
    </row>
    <row r="3589" spans="1:3" x14ac:dyDescent="0.25">
      <c r="A3589" s="5"/>
      <c r="B3589" s="5"/>
      <c r="C3589" s="5"/>
    </row>
    <row r="3590" spans="1:3" x14ac:dyDescent="0.25">
      <c r="A3590" s="5"/>
      <c r="B3590" s="5"/>
      <c r="C3590" s="5"/>
    </row>
    <row r="3591" spans="1:3" x14ac:dyDescent="0.25">
      <c r="A3591" s="5"/>
      <c r="B3591" s="5"/>
      <c r="C3591" s="5"/>
    </row>
    <row r="3592" spans="1:3" x14ac:dyDescent="0.25">
      <c r="A3592" s="5"/>
      <c r="B3592" s="5"/>
      <c r="C3592" s="5"/>
    </row>
    <row r="3593" spans="1:3" x14ac:dyDescent="0.25">
      <c r="A3593" s="5"/>
      <c r="B3593" s="5"/>
      <c r="C3593" s="5"/>
    </row>
    <row r="3594" spans="1:3" x14ac:dyDescent="0.25">
      <c r="A3594" s="5"/>
      <c r="B3594" s="5"/>
      <c r="C3594" s="5"/>
    </row>
    <row r="3595" spans="1:3" x14ac:dyDescent="0.25">
      <c r="A3595" s="5"/>
      <c r="B3595" s="5"/>
      <c r="C3595" s="5"/>
    </row>
    <row r="3596" spans="1:3" x14ac:dyDescent="0.25">
      <c r="A3596" s="5"/>
      <c r="B3596" s="5"/>
      <c r="C3596" s="5"/>
    </row>
    <row r="3597" spans="1:3" x14ac:dyDescent="0.25">
      <c r="A3597" s="5"/>
      <c r="B3597" s="5"/>
      <c r="C3597" s="5"/>
    </row>
    <row r="3598" spans="1:3" x14ac:dyDescent="0.25">
      <c r="A3598" s="5"/>
      <c r="B3598" s="5"/>
      <c r="C3598" s="5"/>
    </row>
    <row r="3599" spans="1:3" x14ac:dyDescent="0.25">
      <c r="A3599" s="5"/>
      <c r="B3599" s="5"/>
      <c r="C3599" s="5"/>
    </row>
    <row r="3600" spans="1:3" x14ac:dyDescent="0.25">
      <c r="A3600" s="5"/>
      <c r="B3600" s="5"/>
      <c r="C3600" s="5"/>
    </row>
    <row r="3601" spans="1:3" x14ac:dyDescent="0.25">
      <c r="A3601" s="5"/>
      <c r="B3601" s="5"/>
      <c r="C3601" s="5"/>
    </row>
    <row r="3602" spans="1:3" x14ac:dyDescent="0.25">
      <c r="A3602" s="5"/>
      <c r="B3602" s="5"/>
      <c r="C3602" s="5"/>
    </row>
    <row r="3603" spans="1:3" x14ac:dyDescent="0.25">
      <c r="A3603" s="5"/>
      <c r="B3603" s="5"/>
      <c r="C3603" s="5"/>
    </row>
    <row r="3604" spans="1:3" x14ac:dyDescent="0.25">
      <c r="A3604" s="5"/>
      <c r="B3604" s="5"/>
      <c r="C3604" s="5"/>
    </row>
    <row r="3605" spans="1:3" x14ac:dyDescent="0.25">
      <c r="A3605" s="5"/>
      <c r="B3605" s="5"/>
      <c r="C3605" s="5"/>
    </row>
    <row r="3606" spans="1:3" x14ac:dyDescent="0.25">
      <c r="A3606" s="5"/>
      <c r="B3606" s="5"/>
      <c r="C3606" s="5"/>
    </row>
    <row r="3607" spans="1:3" x14ac:dyDescent="0.25">
      <c r="A3607" s="5"/>
      <c r="B3607" s="5"/>
      <c r="C3607" s="5"/>
    </row>
    <row r="3608" spans="1:3" x14ac:dyDescent="0.25">
      <c r="A3608" s="5"/>
      <c r="B3608" s="5"/>
      <c r="C3608" s="5"/>
    </row>
    <row r="3609" spans="1:3" x14ac:dyDescent="0.25">
      <c r="A3609" s="5"/>
      <c r="B3609" s="5"/>
      <c r="C3609" s="5"/>
    </row>
    <row r="3610" spans="1:3" x14ac:dyDescent="0.25">
      <c r="A3610" s="5"/>
      <c r="B3610" s="5"/>
      <c r="C3610" s="5"/>
    </row>
    <row r="3611" spans="1:3" x14ac:dyDescent="0.25">
      <c r="A3611" s="5"/>
      <c r="B3611" s="5"/>
      <c r="C3611" s="5"/>
    </row>
    <row r="3612" spans="1:3" x14ac:dyDescent="0.25">
      <c r="A3612" s="5"/>
      <c r="B3612" s="5"/>
      <c r="C3612" s="5"/>
    </row>
    <row r="3613" spans="1:3" x14ac:dyDescent="0.25">
      <c r="A3613" s="5"/>
      <c r="B3613" s="5"/>
      <c r="C3613" s="5"/>
    </row>
    <row r="3614" spans="1:3" x14ac:dyDescent="0.25">
      <c r="A3614" s="5"/>
      <c r="B3614" s="5"/>
      <c r="C3614" s="5"/>
    </row>
    <row r="3615" spans="1:3" x14ac:dyDescent="0.25">
      <c r="A3615" s="5"/>
      <c r="B3615" s="5"/>
      <c r="C3615" s="5"/>
    </row>
    <row r="3616" spans="1:3" x14ac:dyDescent="0.25">
      <c r="A3616" s="5"/>
      <c r="B3616" s="5"/>
      <c r="C3616" s="5"/>
    </row>
    <row r="3617" spans="1:3" x14ac:dyDescent="0.25">
      <c r="A3617" s="5"/>
      <c r="B3617" s="5"/>
      <c r="C3617" s="5"/>
    </row>
    <row r="3618" spans="1:3" x14ac:dyDescent="0.25">
      <c r="A3618" s="5"/>
      <c r="B3618" s="5"/>
      <c r="C3618" s="5"/>
    </row>
    <row r="3619" spans="1:3" x14ac:dyDescent="0.25">
      <c r="A3619" s="5"/>
      <c r="B3619" s="5"/>
      <c r="C3619" s="5"/>
    </row>
    <row r="3620" spans="1:3" x14ac:dyDescent="0.25">
      <c r="A3620" s="5"/>
      <c r="B3620" s="5"/>
      <c r="C3620" s="5"/>
    </row>
    <row r="3621" spans="1:3" x14ac:dyDescent="0.25">
      <c r="A3621" s="5"/>
      <c r="B3621" s="5"/>
      <c r="C3621" s="5"/>
    </row>
    <row r="3622" spans="1:3" x14ac:dyDescent="0.25">
      <c r="A3622" s="5"/>
      <c r="B3622" s="5"/>
      <c r="C3622" s="5"/>
    </row>
    <row r="3623" spans="1:3" x14ac:dyDescent="0.25">
      <c r="A3623" s="5"/>
      <c r="B3623" s="5"/>
      <c r="C3623" s="5"/>
    </row>
    <row r="3624" spans="1:3" x14ac:dyDescent="0.25">
      <c r="A3624" s="5"/>
      <c r="B3624" s="5"/>
      <c r="C3624" s="5"/>
    </row>
    <row r="3625" spans="1:3" x14ac:dyDescent="0.25">
      <c r="A3625" s="5"/>
      <c r="B3625" s="5"/>
      <c r="C3625" s="5"/>
    </row>
    <row r="3626" spans="1:3" x14ac:dyDescent="0.25">
      <c r="A3626" s="5"/>
      <c r="B3626" s="5"/>
      <c r="C3626" s="5"/>
    </row>
    <row r="3627" spans="1:3" x14ac:dyDescent="0.25">
      <c r="A3627" s="5"/>
      <c r="B3627" s="5"/>
      <c r="C3627" s="5"/>
    </row>
    <row r="3628" spans="1:3" x14ac:dyDescent="0.25">
      <c r="A3628" s="5"/>
      <c r="B3628" s="5"/>
      <c r="C3628" s="5"/>
    </row>
    <row r="3629" spans="1:3" x14ac:dyDescent="0.25">
      <c r="A3629" s="5"/>
      <c r="B3629" s="5"/>
      <c r="C3629" s="5"/>
    </row>
    <row r="3630" spans="1:3" x14ac:dyDescent="0.25">
      <c r="A3630" s="5"/>
      <c r="B3630" s="5"/>
      <c r="C3630" s="5"/>
    </row>
    <row r="3631" spans="1:3" x14ac:dyDescent="0.25">
      <c r="A3631" s="5"/>
      <c r="B3631" s="5"/>
      <c r="C3631" s="5"/>
    </row>
    <row r="3632" spans="1:3" x14ac:dyDescent="0.25">
      <c r="A3632" s="5"/>
      <c r="B3632" s="5"/>
      <c r="C3632" s="5"/>
    </row>
    <row r="3633" spans="1:3" x14ac:dyDescent="0.25">
      <c r="A3633" s="5"/>
      <c r="B3633" s="5"/>
      <c r="C3633" s="5"/>
    </row>
    <row r="3634" spans="1:3" x14ac:dyDescent="0.25">
      <c r="A3634" s="5"/>
      <c r="B3634" s="5"/>
      <c r="C3634" s="5"/>
    </row>
    <row r="3635" spans="1:3" x14ac:dyDescent="0.25">
      <c r="A3635" s="5"/>
      <c r="B3635" s="5"/>
      <c r="C3635" s="5"/>
    </row>
    <row r="3636" spans="1:3" x14ac:dyDescent="0.25">
      <c r="A3636" s="5"/>
      <c r="B3636" s="5"/>
      <c r="C3636" s="5"/>
    </row>
    <row r="3637" spans="1:3" x14ac:dyDescent="0.25">
      <c r="A3637" s="5"/>
      <c r="B3637" s="5"/>
      <c r="C3637" s="5"/>
    </row>
    <row r="3638" spans="1:3" x14ac:dyDescent="0.25">
      <c r="A3638" s="5"/>
      <c r="B3638" s="5"/>
      <c r="C3638" s="5"/>
    </row>
    <row r="3639" spans="1:3" x14ac:dyDescent="0.25">
      <c r="A3639" s="5"/>
      <c r="B3639" s="5"/>
      <c r="C3639" s="5"/>
    </row>
    <row r="3640" spans="1:3" x14ac:dyDescent="0.25">
      <c r="A3640" s="5"/>
      <c r="B3640" s="5"/>
      <c r="C3640" s="5"/>
    </row>
    <row r="3641" spans="1:3" x14ac:dyDescent="0.25">
      <c r="A3641" s="5"/>
      <c r="B3641" s="5"/>
      <c r="C3641" s="5"/>
    </row>
    <row r="3642" spans="1:3" x14ac:dyDescent="0.25">
      <c r="A3642" s="5"/>
      <c r="B3642" s="5"/>
      <c r="C364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ABD3-91C4-4C9E-AC0C-DF3840C81AF0}">
  <dimension ref="A1:G3642"/>
  <sheetViews>
    <sheetView topLeftCell="A28" workbookViewId="0">
      <selection activeCell="H28" sqref="H1:H1048576"/>
    </sheetView>
  </sheetViews>
  <sheetFormatPr defaultRowHeight="15" x14ac:dyDescent="0.25"/>
  <cols>
    <col min="1" max="1" width="10.42578125" bestFit="1" customWidth="1"/>
    <col min="2" max="2" width="10" bestFit="1" customWidth="1"/>
    <col min="3" max="3" width="9" bestFit="1" customWidth="1"/>
  </cols>
  <sheetData>
    <row r="1" spans="1:7" x14ac:dyDescent="0.25">
      <c r="A1" s="10" t="s">
        <v>35</v>
      </c>
      <c r="B1" s="10" t="s">
        <v>29</v>
      </c>
      <c r="C1" s="10" t="s">
        <v>30</v>
      </c>
      <c r="D1" s="10" t="s">
        <v>40</v>
      </c>
      <c r="E1" s="10" t="s">
        <v>41</v>
      </c>
      <c r="F1" s="10" t="s">
        <v>42</v>
      </c>
      <c r="G1" s="10" t="s">
        <v>43</v>
      </c>
    </row>
    <row r="2" spans="1:7" x14ac:dyDescent="0.25">
      <c r="A2" s="21">
        <v>44227</v>
      </c>
      <c r="B2" s="5">
        <v>32601.26</v>
      </c>
      <c r="C2" s="5">
        <v>37242.300000000003</v>
      </c>
      <c r="D2" s="5">
        <v>10.392106216914643</v>
      </c>
      <c r="E2" s="5">
        <v>10.525200491030562</v>
      </c>
      <c r="F2" s="5"/>
      <c r="G2" s="5"/>
    </row>
    <row r="3" spans="1:7" x14ac:dyDescent="0.25">
      <c r="A3" s="21">
        <v>44255</v>
      </c>
      <c r="B3" s="5">
        <v>45248.24</v>
      </c>
      <c r="C3" s="5">
        <v>47001.63</v>
      </c>
      <c r="D3" s="5">
        <v>10.719919053344016</v>
      </c>
      <c r="E3" s="5">
        <v>10.757937560941892</v>
      </c>
      <c r="F3" s="5">
        <v>0.32781283642937353</v>
      </c>
      <c r="G3" s="5">
        <v>0.23273706991133025</v>
      </c>
    </row>
    <row r="4" spans="1:7" x14ac:dyDescent="0.25">
      <c r="A4" s="21">
        <v>44286</v>
      </c>
      <c r="B4" s="5">
        <v>58960.2</v>
      </c>
      <c r="C4" s="5">
        <v>59285</v>
      </c>
      <c r="D4" s="5">
        <v>10.984617918987723</v>
      </c>
      <c r="E4" s="5">
        <v>10.990111601892171</v>
      </c>
      <c r="F4" s="5">
        <v>0.26469886564370704</v>
      </c>
      <c r="G4" s="5">
        <v>0.23217404095027838</v>
      </c>
    </row>
    <row r="5" spans="1:7" x14ac:dyDescent="0.25">
      <c r="A5" s="21">
        <v>44316</v>
      </c>
      <c r="B5" s="5">
        <v>56814.44</v>
      </c>
      <c r="C5" s="5">
        <v>56127.49</v>
      </c>
      <c r="D5" s="5">
        <v>10.947545797751566</v>
      </c>
      <c r="E5" s="5">
        <v>10.935380989316572</v>
      </c>
      <c r="F5" s="5">
        <v>-3.7072121236157329E-2</v>
      </c>
      <c r="G5" s="5">
        <v>-5.4730612575598414E-2</v>
      </c>
    </row>
    <row r="6" spans="1:7" x14ac:dyDescent="0.25">
      <c r="A6" s="21">
        <v>44347</v>
      </c>
      <c r="B6" s="5">
        <v>36690.89</v>
      </c>
      <c r="C6" s="5">
        <v>36841.35</v>
      </c>
      <c r="D6" s="5">
        <v>10.51028377434594</v>
      </c>
      <c r="E6" s="5">
        <v>10.514376134648973</v>
      </c>
      <c r="F6" s="5">
        <v>-0.43726202340562637</v>
      </c>
      <c r="G6" s="5">
        <v>-0.42100485466759885</v>
      </c>
    </row>
    <row r="7" spans="1:7" x14ac:dyDescent="0.25">
      <c r="A7" s="21">
        <v>44377</v>
      </c>
      <c r="B7" s="5">
        <v>34585</v>
      </c>
      <c r="C7" s="5">
        <v>34725</v>
      </c>
      <c r="D7" s="5">
        <v>10.451175341034686</v>
      </c>
      <c r="E7" s="5">
        <v>10.455215167622544</v>
      </c>
      <c r="F7" s="5">
        <v>-5.9108433311253705E-2</v>
      </c>
      <c r="G7" s="5">
        <v>-5.9160967026429034E-2</v>
      </c>
    </row>
    <row r="8" spans="1:7" x14ac:dyDescent="0.25">
      <c r="A8" s="21">
        <v>44408</v>
      </c>
      <c r="B8" s="5">
        <v>41540.22</v>
      </c>
      <c r="C8" s="5">
        <v>39020.92</v>
      </c>
      <c r="D8" s="5">
        <v>10.634417393516223</v>
      </c>
      <c r="E8" s="5">
        <v>10.571853191551639</v>
      </c>
      <c r="F8" s="5">
        <v>0.18324205248153724</v>
      </c>
      <c r="G8" s="5">
        <v>0.11663802392909517</v>
      </c>
    </row>
    <row r="9" spans="1:7" x14ac:dyDescent="0.25">
      <c r="A9" s="21">
        <v>44439</v>
      </c>
      <c r="B9" s="5">
        <v>47008.53</v>
      </c>
      <c r="C9" s="5">
        <v>47390</v>
      </c>
      <c r="D9" s="5">
        <v>10.758084353586696</v>
      </c>
      <c r="E9" s="5">
        <v>10.766166514961634</v>
      </c>
      <c r="F9" s="5">
        <v>0.12366696007047295</v>
      </c>
      <c r="G9" s="5">
        <v>0.19431332340999496</v>
      </c>
    </row>
    <row r="10" spans="1:7" x14ac:dyDescent="0.25">
      <c r="A10" s="21">
        <v>44469</v>
      </c>
      <c r="B10" s="5">
        <v>43436.35</v>
      </c>
      <c r="C10" s="5">
        <v>43615</v>
      </c>
      <c r="D10" s="5">
        <v>10.679051927136539</v>
      </c>
      <c r="E10" s="5">
        <v>10.683156406867319</v>
      </c>
      <c r="F10" s="5">
        <v>-7.9032426450156734E-2</v>
      </c>
      <c r="G10" s="5">
        <v>-8.3010108094315527E-2</v>
      </c>
    </row>
    <row r="11" spans="1:7" x14ac:dyDescent="0.25">
      <c r="A11" s="21">
        <v>44500</v>
      </c>
      <c r="B11" s="5">
        <v>60975.98</v>
      </c>
      <c r="C11" s="5">
        <v>61149.26</v>
      </c>
      <c r="D11" s="5">
        <v>11.018235295115687</v>
      </c>
      <c r="E11" s="5">
        <v>11.021073039652071</v>
      </c>
      <c r="F11" s="5">
        <v>0.33918336797914783</v>
      </c>
      <c r="G11" s="5">
        <v>0.33791663278475248</v>
      </c>
    </row>
    <row r="12" spans="1:7" x14ac:dyDescent="0.25">
      <c r="A12" s="21">
        <v>44530</v>
      </c>
      <c r="B12" s="5">
        <v>57138.67</v>
      </c>
      <c r="C12" s="5">
        <v>57780</v>
      </c>
      <c r="D12" s="5">
        <v>10.953236399350061</v>
      </c>
      <c r="E12" s="5">
        <v>10.964397974020226</v>
      </c>
      <c r="F12" s="5">
        <v>-6.499889576562623E-2</v>
      </c>
      <c r="G12" s="5">
        <v>-5.6675065631845101E-2</v>
      </c>
    </row>
    <row r="13" spans="1:7" x14ac:dyDescent="0.25">
      <c r="A13" s="21">
        <v>44561</v>
      </c>
      <c r="B13" s="5">
        <v>46333.65</v>
      </c>
      <c r="C13" s="5">
        <v>47977.03</v>
      </c>
      <c r="D13" s="5">
        <v>10.743623757953738</v>
      </c>
      <c r="E13" s="5">
        <v>10.778477633685755</v>
      </c>
      <c r="F13" s="5">
        <v>-0.20961264139632263</v>
      </c>
      <c r="G13" s="5">
        <v>-0.18592034033447113</v>
      </c>
    </row>
    <row r="14" spans="1:7" x14ac:dyDescent="0.25">
      <c r="A14" s="21">
        <v>44592</v>
      </c>
      <c r="B14" s="5">
        <v>38437.839999999997</v>
      </c>
      <c r="C14" s="5">
        <v>38485</v>
      </c>
      <c r="D14" s="5">
        <v>10.556797670038208</v>
      </c>
      <c r="E14" s="5">
        <v>10.558023833968418</v>
      </c>
      <c r="F14" s="5">
        <v>-0.18682608791553079</v>
      </c>
      <c r="G14" s="5">
        <v>-0.22045379971733681</v>
      </c>
    </row>
    <row r="15" spans="1:7" x14ac:dyDescent="0.25">
      <c r="A15" s="21">
        <v>44620</v>
      </c>
      <c r="B15" s="5">
        <v>41654.97</v>
      </c>
      <c r="C15" s="5">
        <v>42000</v>
      </c>
      <c r="D15" s="5">
        <v>10.637175968207094</v>
      </c>
      <c r="E15" s="5">
        <v>10.645424897265505</v>
      </c>
      <c r="F15" s="5">
        <v>8.0378298168886531E-2</v>
      </c>
      <c r="G15" s="5">
        <v>8.7401063297086523E-2</v>
      </c>
    </row>
    <row r="16" spans="1:7" x14ac:dyDescent="0.25">
      <c r="A16" s="21">
        <v>44651</v>
      </c>
      <c r="B16" s="5">
        <v>45767.58</v>
      </c>
      <c r="C16" s="5">
        <v>45735</v>
      </c>
      <c r="D16" s="5">
        <v>10.731331259188901</v>
      </c>
      <c r="E16" s="5">
        <v>10.730619148090465</v>
      </c>
      <c r="F16" s="5">
        <v>9.4155290981806417E-2</v>
      </c>
      <c r="G16" s="5">
        <v>8.5194250824960349E-2</v>
      </c>
    </row>
    <row r="17" spans="1:7" x14ac:dyDescent="0.25">
      <c r="A17" s="21">
        <v>44681</v>
      </c>
      <c r="B17" s="5">
        <v>38334.699999999997</v>
      </c>
      <c r="C17" s="5">
        <v>38997.339999999997</v>
      </c>
      <c r="D17" s="5">
        <v>10.554110770215667</v>
      </c>
      <c r="E17" s="5">
        <v>10.571248717657502</v>
      </c>
      <c r="F17" s="5">
        <v>-0.17722048897323361</v>
      </c>
      <c r="G17" s="5">
        <v>-0.15937043043296306</v>
      </c>
    </row>
    <row r="18" spans="1:7" x14ac:dyDescent="0.25">
      <c r="A18" s="21">
        <v>44712</v>
      </c>
      <c r="B18" s="5">
        <v>31788.28</v>
      </c>
      <c r="C18" s="5">
        <v>31650</v>
      </c>
      <c r="D18" s="5">
        <v>10.36685294737663</v>
      </c>
      <c r="E18" s="5">
        <v>10.362493427572323</v>
      </c>
      <c r="F18" s="5">
        <v>-0.18725782283903669</v>
      </c>
      <c r="G18" s="5">
        <v>-0.20875529008517901</v>
      </c>
    </row>
    <row r="19" spans="1:7" x14ac:dyDescent="0.25">
      <c r="A19" s="21">
        <v>44742</v>
      </c>
      <c r="B19" s="5">
        <v>18731.3</v>
      </c>
      <c r="C19" s="5">
        <v>18760</v>
      </c>
      <c r="D19" s="5">
        <v>9.8379512003974128</v>
      </c>
      <c r="E19" s="5">
        <v>9.8394822225602159</v>
      </c>
      <c r="F19" s="5">
        <v>-0.52890174697921744</v>
      </c>
      <c r="G19" s="5">
        <v>-0.52301120501210718</v>
      </c>
    </row>
    <row r="20" spans="1:7" x14ac:dyDescent="0.25">
      <c r="A20" s="21">
        <v>44773</v>
      </c>
      <c r="B20" s="5">
        <v>23807.279999999999</v>
      </c>
      <c r="C20" s="5">
        <v>24082.45</v>
      </c>
      <c r="D20" s="5">
        <v>10.077746695240037</v>
      </c>
      <c r="E20" s="5">
        <v>10.089238638433216</v>
      </c>
      <c r="F20" s="5">
        <v>0.23979549484262463</v>
      </c>
      <c r="G20" s="5">
        <v>0.24975641587299968</v>
      </c>
    </row>
    <row r="21" spans="1:7" x14ac:dyDescent="0.25">
      <c r="A21" s="21">
        <v>44804</v>
      </c>
      <c r="B21" s="5">
        <v>20196.669999999998</v>
      </c>
      <c r="C21" s="5">
        <v>20065</v>
      </c>
      <c r="D21" s="5">
        <v>9.9132730183146478</v>
      </c>
      <c r="E21" s="5">
        <v>9.9067322827010162</v>
      </c>
      <c r="F21" s="5">
        <v>-0.16447367692538961</v>
      </c>
      <c r="G21" s="5">
        <v>-0.18250635573219931</v>
      </c>
    </row>
    <row r="22" spans="1:7" x14ac:dyDescent="0.25">
      <c r="A22" s="21">
        <v>44834</v>
      </c>
      <c r="B22" s="5">
        <v>19425.13</v>
      </c>
      <c r="C22" s="5">
        <v>19698.599999999999</v>
      </c>
      <c r="D22" s="5">
        <v>9.8743228676201458</v>
      </c>
      <c r="E22" s="5">
        <v>9.8883028462109248</v>
      </c>
      <c r="F22" s="5">
        <v>-3.8950150694502028E-2</v>
      </c>
      <c r="G22" s="5">
        <v>-1.8429436490091433E-2</v>
      </c>
    </row>
    <row r="23" spans="1:7" x14ac:dyDescent="0.25">
      <c r="A23" s="21">
        <v>44865</v>
      </c>
      <c r="B23" s="5">
        <v>20405.66</v>
      </c>
      <c r="C23" s="5">
        <v>20380</v>
      </c>
      <c r="D23" s="5">
        <v>9.9235675923302953</v>
      </c>
      <c r="E23" s="5">
        <v>9.9223093067767163</v>
      </c>
      <c r="F23" s="5">
        <v>4.9244724710149512E-2</v>
      </c>
      <c r="G23" s="5">
        <v>3.4006460565791485E-2</v>
      </c>
    </row>
    <row r="24" spans="1:7" x14ac:dyDescent="0.25">
      <c r="A24" s="21">
        <v>44895</v>
      </c>
      <c r="B24" s="5">
        <v>17104.5</v>
      </c>
      <c r="C24" s="5">
        <v>17080</v>
      </c>
      <c r="D24" s="5">
        <v>9.7470968657655224</v>
      </c>
      <c r="E24" s="5">
        <v>9.7456634673425615</v>
      </c>
      <c r="F24" s="5">
        <v>-0.17647072656477292</v>
      </c>
      <c r="G24" s="5">
        <v>-0.17664583943415479</v>
      </c>
    </row>
    <row r="25" spans="1:7" x14ac:dyDescent="0.25">
      <c r="A25" s="21">
        <v>44926</v>
      </c>
      <c r="B25" s="5">
        <v>16539.5</v>
      </c>
      <c r="C25" s="5">
        <v>16498.080000000002</v>
      </c>
      <c r="D25" s="5">
        <v>9.7135067383746847</v>
      </c>
      <c r="E25" s="5">
        <v>9.7109992894815349</v>
      </c>
      <c r="F25" s="5">
        <v>-3.3590127390837665E-2</v>
      </c>
      <c r="G25" s="5">
        <v>-3.4664177861026602E-2</v>
      </c>
    </row>
    <row r="26" spans="1:7" x14ac:dyDescent="0.25">
      <c r="A26" s="21">
        <v>44957</v>
      </c>
      <c r="B26" s="5">
        <v>22950.560000000001</v>
      </c>
      <c r="C26" s="5">
        <v>23250</v>
      </c>
      <c r="D26" s="5">
        <v>10.041097616062455</v>
      </c>
      <c r="E26" s="5">
        <v>10.054060411015502</v>
      </c>
      <c r="F26" s="5">
        <v>0.32759087768777029</v>
      </c>
      <c r="G26" s="5">
        <v>0.34306112153396739</v>
      </c>
    </row>
    <row r="27" spans="1:7" x14ac:dyDescent="0.25">
      <c r="A27" s="21">
        <v>44985</v>
      </c>
      <c r="B27" s="5">
        <v>23146.880000000001</v>
      </c>
      <c r="C27" s="5">
        <v>23410</v>
      </c>
      <c r="D27" s="5">
        <v>10.049615277213512</v>
      </c>
      <c r="E27" s="5">
        <v>10.060918560484957</v>
      </c>
      <c r="F27" s="5">
        <v>8.5176611510568989E-3</v>
      </c>
      <c r="G27" s="5">
        <v>6.8581494694548439E-3</v>
      </c>
    </row>
    <row r="28" spans="1:7" x14ac:dyDescent="0.25">
      <c r="A28" s="21">
        <v>45016</v>
      </c>
      <c r="B28" s="5">
        <v>28395.3</v>
      </c>
      <c r="C28" s="5">
        <v>28476.5</v>
      </c>
      <c r="D28" s="5">
        <v>10.253978917496081</v>
      </c>
      <c r="E28" s="5">
        <v>10.256834464715491</v>
      </c>
      <c r="F28" s="5">
        <v>0.20436364028256904</v>
      </c>
      <c r="G28" s="5">
        <v>0.1959159042305334</v>
      </c>
    </row>
    <row r="29" spans="1:7" x14ac:dyDescent="0.25">
      <c r="A29" s="21">
        <v>45046</v>
      </c>
      <c r="B29" s="5">
        <v>29347.96</v>
      </c>
      <c r="C29" s="5">
        <v>29177.47</v>
      </c>
      <c r="D29" s="5">
        <v>10.28697831687807</v>
      </c>
      <c r="E29" s="5">
        <v>10.28115211509645</v>
      </c>
      <c r="F29" s="5">
        <v>3.2999399381989036E-2</v>
      </c>
      <c r="G29" s="5">
        <v>2.4317650380959677E-2</v>
      </c>
    </row>
    <row r="30" spans="1:7" x14ac:dyDescent="0.25">
      <c r="A30" s="21">
        <v>45077</v>
      </c>
      <c r="B30" s="5">
        <v>27117.1</v>
      </c>
      <c r="C30" s="5">
        <v>27075</v>
      </c>
      <c r="D30" s="5">
        <v>10.207919804183289</v>
      </c>
      <c r="E30" s="5">
        <v>10.206366071869191</v>
      </c>
      <c r="F30" s="5">
        <v>-7.9058512694780703E-2</v>
      </c>
      <c r="G30" s="5">
        <v>-7.4786043227259569E-2</v>
      </c>
    </row>
    <row r="31" spans="1:7" x14ac:dyDescent="0.25">
      <c r="A31" s="21">
        <v>45107</v>
      </c>
      <c r="B31" s="5">
        <v>30390.91</v>
      </c>
      <c r="C31" s="5">
        <v>30128.51</v>
      </c>
      <c r="D31" s="5">
        <v>10.32189882952307</v>
      </c>
      <c r="E31" s="5">
        <v>10.313227178528487</v>
      </c>
      <c r="F31" s="5">
        <v>0.11397902533978055</v>
      </c>
      <c r="G31" s="5">
        <v>0.10686110665929682</v>
      </c>
    </row>
    <row r="32" spans="1:7" x14ac:dyDescent="0.25">
      <c r="A32" s="21">
        <v>45138</v>
      </c>
      <c r="B32" s="5">
        <v>29206.799999999999</v>
      </c>
      <c r="C32" s="5">
        <v>29285</v>
      </c>
      <c r="D32" s="5">
        <v>10.28215683785713</v>
      </c>
      <c r="E32" s="5">
        <v>10.284830718523883</v>
      </c>
      <c r="F32" s="5">
        <v>-3.9741991665939835E-2</v>
      </c>
      <c r="G32" s="5">
        <v>-2.8396460004604052E-2</v>
      </c>
    </row>
    <row r="33" spans="1:7" x14ac:dyDescent="0.25">
      <c r="A33" s="21">
        <v>45169</v>
      </c>
      <c r="B33" s="5">
        <v>26013.119999999999</v>
      </c>
      <c r="C33" s="5">
        <v>26240</v>
      </c>
      <c r="D33" s="5">
        <v>10.166356305112707</v>
      </c>
      <c r="E33" s="5">
        <v>10.175040243058024</v>
      </c>
      <c r="F33" s="5">
        <v>-0.11580053274442292</v>
      </c>
      <c r="G33" s="5">
        <v>-0.10979047546585896</v>
      </c>
    </row>
    <row r="34" spans="1:7" x14ac:dyDescent="0.25">
      <c r="A34" s="21">
        <v>45199</v>
      </c>
      <c r="B34" s="5">
        <v>27072.54</v>
      </c>
      <c r="C34" s="5">
        <v>26869.69</v>
      </c>
      <c r="D34" s="5">
        <v>10.206275209015526</v>
      </c>
      <c r="E34" s="5">
        <v>10.19875416451284</v>
      </c>
      <c r="F34" s="5">
        <v>3.991890390281938E-2</v>
      </c>
      <c r="G34" s="5">
        <v>2.3713921454815434E-2</v>
      </c>
    </row>
    <row r="35" spans="1:7" x14ac:dyDescent="0.25">
      <c r="A35" s="21">
        <v>45230</v>
      </c>
      <c r="B35" s="5">
        <v>34650.559999999998</v>
      </c>
      <c r="C35" s="5">
        <v>34905</v>
      </c>
      <c r="D35" s="5">
        <v>10.453069166103614</v>
      </c>
      <c r="E35" s="5">
        <v>10.460385364404502</v>
      </c>
      <c r="F35" s="5">
        <v>0.24679395708808727</v>
      </c>
      <c r="G35" s="5">
        <v>0.26163119989166184</v>
      </c>
    </row>
    <row r="36" spans="1:7" x14ac:dyDescent="0.25">
      <c r="A36" s="21">
        <v>45260</v>
      </c>
      <c r="B36" s="5">
        <v>37750.769999999997</v>
      </c>
      <c r="C36" s="5">
        <v>38190</v>
      </c>
      <c r="D36" s="5">
        <v>10.538761151820141</v>
      </c>
      <c r="E36" s="5">
        <v>10.550328980219563</v>
      </c>
      <c r="F36" s="5">
        <v>8.5691985716527697E-2</v>
      </c>
      <c r="G36" s="5">
        <v>8.9943615815061051E-2</v>
      </c>
    </row>
    <row r="37" spans="1:7" x14ac:dyDescent="0.25">
      <c r="A37" s="21">
        <v>45291</v>
      </c>
      <c r="B37" s="5">
        <v>42507.9</v>
      </c>
      <c r="C37" s="5">
        <v>42679.74</v>
      </c>
      <c r="D37" s="5">
        <v>10.657445219991466</v>
      </c>
      <c r="E37" s="5">
        <v>10.661479613550837</v>
      </c>
      <c r="F37" s="5">
        <v>0.1186840681713246</v>
      </c>
      <c r="G37" s="5">
        <v>0.11115063333127395</v>
      </c>
    </row>
    <row r="38" spans="1:7" x14ac:dyDescent="0.25">
      <c r="A38" s="21">
        <v>45322</v>
      </c>
      <c r="B38" s="5">
        <v>42458.43</v>
      </c>
      <c r="C38" s="5">
        <v>42815</v>
      </c>
      <c r="D38" s="5">
        <v>10.656280758596228</v>
      </c>
      <c r="E38" s="5">
        <v>10.664643787460292</v>
      </c>
      <c r="F38" s="5">
        <v>-1.164461395237737E-3</v>
      </c>
      <c r="G38" s="5">
        <v>3.1641739094556698E-3</v>
      </c>
    </row>
    <row r="39" spans="1:7" x14ac:dyDescent="0.25">
      <c r="A39" s="21">
        <v>45351</v>
      </c>
      <c r="B39" s="5">
        <v>61430.64</v>
      </c>
      <c r="C39" s="5">
        <v>62760</v>
      </c>
      <c r="D39" s="5">
        <v>11.025664012466066</v>
      </c>
      <c r="E39" s="5">
        <v>11.047073206846969</v>
      </c>
      <c r="F39" s="5">
        <v>0.36938325386983806</v>
      </c>
      <c r="G39" s="5">
        <v>0.38242941938667663</v>
      </c>
    </row>
    <row r="40" spans="1:7" x14ac:dyDescent="0.25">
      <c r="A40" s="21">
        <v>45382</v>
      </c>
      <c r="B40" s="5">
        <v>70845.759999999995</v>
      </c>
      <c r="C40" s="5">
        <v>71296.17</v>
      </c>
      <c r="D40" s="5">
        <v>11.168260398585645</v>
      </c>
      <c r="E40" s="5">
        <v>11.174597888269552</v>
      </c>
      <c r="F40" s="5">
        <v>0.14259638611957826</v>
      </c>
      <c r="G40" s="5">
        <v>0.12752468142258344</v>
      </c>
    </row>
    <row r="41" spans="1:7" x14ac:dyDescent="0.25">
      <c r="A41" s="21">
        <v>45412</v>
      </c>
      <c r="B41" s="5">
        <v>59868.89</v>
      </c>
      <c r="C41" s="5">
        <v>59400</v>
      </c>
      <c r="D41" s="5">
        <v>10.999912283577158</v>
      </c>
      <c r="E41" s="5">
        <v>10.992049505350737</v>
      </c>
      <c r="F41" s="5">
        <v>-0.16834811500848623</v>
      </c>
      <c r="G41" s="5">
        <v>-0.18254838291881548</v>
      </c>
    </row>
    <row r="42" spans="1:7" x14ac:dyDescent="0.25">
      <c r="A42" s="21">
        <v>45443</v>
      </c>
      <c r="B42" s="5">
        <v>67630.41</v>
      </c>
      <c r="C42" s="5">
        <v>67633.73</v>
      </c>
      <c r="D42" s="5">
        <v>11.121813012948953</v>
      </c>
      <c r="E42" s="5">
        <v>11.121862102086705</v>
      </c>
      <c r="F42" s="5">
        <v>0.12190072937179508</v>
      </c>
      <c r="G42" s="5">
        <v>0.12981259673596846</v>
      </c>
    </row>
    <row r="43" spans="1:7" x14ac:dyDescent="0.25">
      <c r="A43" s="21">
        <v>45473</v>
      </c>
      <c r="B43" s="5">
        <v>61904.959999999999</v>
      </c>
      <c r="C43" s="5">
        <v>61024.23</v>
      </c>
      <c r="D43" s="5">
        <v>11.033355584703223</v>
      </c>
      <c r="E43" s="5">
        <v>11.019026277401958</v>
      </c>
      <c r="F43" s="5">
        <v>-8.8457428245730441E-2</v>
      </c>
      <c r="G43" s="5">
        <v>-0.10283582468474783</v>
      </c>
    </row>
    <row r="44" spans="1:7" x14ac:dyDescent="0.25">
      <c r="A44" s="21">
        <v>45504</v>
      </c>
      <c r="B44" s="5">
        <v>64559.96</v>
      </c>
      <c r="C44" s="5">
        <v>65685</v>
      </c>
      <c r="D44" s="5">
        <v>11.075349683364951</v>
      </c>
      <c r="E44" s="5">
        <v>11.092625867903608</v>
      </c>
      <c r="F44" s="5">
        <v>4.199409866172843E-2</v>
      </c>
      <c r="G44" s="5">
        <v>7.359959050165088E-2</v>
      </c>
    </row>
    <row r="45" spans="1:7" x14ac:dyDescent="0.25">
      <c r="A45" s="21">
        <v>45535</v>
      </c>
      <c r="B45" s="5">
        <v>58954.67</v>
      </c>
      <c r="C45" s="5">
        <v>59165.64</v>
      </c>
      <c r="D45" s="5">
        <v>10.984524122505498</v>
      </c>
      <c r="E45" s="5">
        <v>10.988096246966272</v>
      </c>
      <c r="F45" s="5">
        <v>-9.0825560859453702E-2</v>
      </c>
      <c r="G45" s="5">
        <v>-0.10452962093733653</v>
      </c>
    </row>
    <row r="46" spans="1:7" x14ac:dyDescent="0.25">
      <c r="A46" s="21">
        <v>45565</v>
      </c>
      <c r="B46" s="5">
        <v>63785.09</v>
      </c>
      <c r="C46" s="5">
        <v>63745</v>
      </c>
      <c r="D46" s="5">
        <v>11.06327474296144</v>
      </c>
      <c r="E46" s="5">
        <v>11.062646028572223</v>
      </c>
      <c r="F46" s="5">
        <v>7.8750620455942055E-2</v>
      </c>
      <c r="G46" s="5">
        <v>7.4549781605950827E-2</v>
      </c>
    </row>
    <row r="47" spans="1:7" x14ac:dyDescent="0.25">
      <c r="A47" s="21">
        <v>45596</v>
      </c>
      <c r="B47" s="5">
        <v>69937.509999999995</v>
      </c>
      <c r="C47" s="5">
        <v>70465</v>
      </c>
      <c r="D47" s="5">
        <v>11.155357408039078</v>
      </c>
      <c r="E47" s="5">
        <v>11.162871411625611</v>
      </c>
      <c r="F47" s="5">
        <v>9.2082665077638737E-2</v>
      </c>
      <c r="G47" s="5">
        <v>0.10022538305338813</v>
      </c>
    </row>
    <row r="48" spans="1:7" x14ac:dyDescent="0.25">
      <c r="A48" s="21">
        <v>45626</v>
      </c>
      <c r="B48" s="5">
        <v>96841.2</v>
      </c>
      <c r="C48" s="5">
        <v>98339.76</v>
      </c>
      <c r="D48" s="5">
        <v>11.48082780254895</v>
      </c>
      <c r="E48" s="5">
        <v>11.496183700450445</v>
      </c>
      <c r="F48" s="5">
        <v>0.32547039450987114</v>
      </c>
      <c r="G48" s="5">
        <v>0.33331228882483366</v>
      </c>
    </row>
    <row r="49" spans="1:7" x14ac:dyDescent="0.25">
      <c r="A49" s="21">
        <v>45657</v>
      </c>
      <c r="B49" s="5">
        <v>93714.04</v>
      </c>
      <c r="C49" s="5">
        <v>94120</v>
      </c>
      <c r="D49" s="5">
        <v>11.448003296916255</v>
      </c>
      <c r="E49" s="5">
        <v>11.452325842841299</v>
      </c>
      <c r="F49" s="5">
        <v>-3.2824505632694567E-2</v>
      </c>
      <c r="G49" s="5">
        <v>-4.3857857609145512E-2</v>
      </c>
    </row>
    <row r="50" spans="1:7" x14ac:dyDescent="0.25">
      <c r="A50" s="21">
        <v>45688</v>
      </c>
      <c r="B50" s="5">
        <v>102110.01</v>
      </c>
      <c r="C50" s="5">
        <v>105260.4</v>
      </c>
      <c r="D50" s="5">
        <v>11.53380604048318</v>
      </c>
      <c r="E50" s="5">
        <v>11.564192559014552</v>
      </c>
      <c r="F50" s="5">
        <v>8.5802743566924633E-2</v>
      </c>
      <c r="G50" s="5">
        <v>0.11186671617325317</v>
      </c>
    </row>
    <row r="51" spans="1:7" x14ac:dyDescent="0.25">
      <c r="A51" s="21">
        <v>45716</v>
      </c>
      <c r="B51" s="5">
        <v>84212.07</v>
      </c>
      <c r="C51" s="5">
        <v>83592.75</v>
      </c>
      <c r="D51" s="5">
        <v>11.341093539125554</v>
      </c>
      <c r="E51" s="5">
        <v>11.333712072824142</v>
      </c>
      <c r="F51" s="5">
        <v>-0.19271250135762585</v>
      </c>
      <c r="G51" s="5">
        <v>-0.23048048619041062</v>
      </c>
    </row>
    <row r="52" spans="1:7" x14ac:dyDescent="0.25">
      <c r="A52" s="21">
        <v>45747</v>
      </c>
      <c r="B52" s="5">
        <v>82421.289999999994</v>
      </c>
      <c r="C52" s="5">
        <v>82710</v>
      </c>
      <c r="D52" s="5">
        <v>11.319599056311212</v>
      </c>
      <c r="E52" s="5">
        <v>11.323095792685953</v>
      </c>
      <c r="F52" s="5">
        <v>-2.1494482814341964E-2</v>
      </c>
      <c r="G52" s="5">
        <v>-1.0616280138188827E-2</v>
      </c>
    </row>
    <row r="53" spans="1:7" x14ac:dyDescent="0.25">
      <c r="A53" s="21">
        <v>45777</v>
      </c>
      <c r="B53" s="5">
        <v>94581.18</v>
      </c>
      <c r="C53" s="5">
        <v>94695</v>
      </c>
      <c r="D53" s="5">
        <v>11.457213792330656</v>
      </c>
      <c r="E53" s="5">
        <v>11.458416479469836</v>
      </c>
      <c r="F53" s="5">
        <v>0.13761473601944374</v>
      </c>
      <c r="G53" s="5">
        <v>0.1353206867838832</v>
      </c>
    </row>
    <row r="54" spans="1:7" x14ac:dyDescent="0.25">
      <c r="A54" s="21">
        <v>45808</v>
      </c>
      <c r="B54" s="5">
        <v>104834.41</v>
      </c>
      <c r="C54" s="5">
        <v>105461.6</v>
      </c>
      <c r="D54" s="5">
        <v>11.560137336672055</v>
      </c>
      <c r="E54" s="5">
        <v>11.566102184598426</v>
      </c>
      <c r="F54" s="5">
        <v>0.10292354434139916</v>
      </c>
      <c r="G54" s="5">
        <v>0.10768570512859021</v>
      </c>
    </row>
    <row r="55" spans="1:7" x14ac:dyDescent="0.25">
      <c r="A55" s="21">
        <v>45838</v>
      </c>
      <c r="B55" s="5">
        <v>107606.61</v>
      </c>
      <c r="C55" s="5">
        <v>108235</v>
      </c>
      <c r="D55" s="5">
        <v>11.586237356049766</v>
      </c>
      <c r="E55" s="5">
        <v>11.592060068133955</v>
      </c>
      <c r="F55" s="5">
        <v>2.6100019377711448E-2</v>
      </c>
      <c r="G55" s="5">
        <v>2.5957883535529191E-2</v>
      </c>
    </row>
    <row r="56" spans="1:7" x14ac:dyDescent="0.25">
      <c r="A56" s="21">
        <v>45869</v>
      </c>
      <c r="B56" s="5">
        <v>116491.12</v>
      </c>
      <c r="C56" s="5">
        <v>117435</v>
      </c>
      <c r="D56" s="5">
        <v>11.665570325906792</v>
      </c>
      <c r="E56" s="5">
        <v>11.673640268010125</v>
      </c>
      <c r="F56" s="5">
        <v>7.9332969857025759E-2</v>
      </c>
      <c r="G56" s="5">
        <v>8.1580199876169601E-2</v>
      </c>
    </row>
    <row r="57" spans="1:7" x14ac:dyDescent="0.25">
      <c r="A57" s="21">
        <v>45900</v>
      </c>
      <c r="B57" s="5">
        <v>109127.01</v>
      </c>
      <c r="C57" s="5">
        <v>108653.8</v>
      </c>
      <c r="D57" s="5">
        <v>11.600267712216258</v>
      </c>
      <c r="E57" s="5">
        <v>11.595921959762345</v>
      </c>
      <c r="F57" s="5">
        <v>-6.5302613690533917E-2</v>
      </c>
      <c r="G57" s="5">
        <v>-7.7718308247780143E-2</v>
      </c>
    </row>
    <row r="58" spans="1:7" x14ac:dyDescent="0.25">
      <c r="A58" s="21">
        <v>45930</v>
      </c>
      <c r="B58" s="5">
        <v>114640.81</v>
      </c>
      <c r="C58" s="5">
        <v>115185</v>
      </c>
      <c r="D58" s="5">
        <v>11.649559128073742</v>
      </c>
      <c r="E58" s="5">
        <v>11.654294810432754</v>
      </c>
      <c r="F58" s="5">
        <v>4.9291415857483756E-2</v>
      </c>
      <c r="G58" s="5">
        <v>5.8372850670409093E-2</v>
      </c>
    </row>
    <row r="59" spans="1:7" x14ac:dyDescent="0.25">
      <c r="A59" s="21">
        <v>45961</v>
      </c>
      <c r="B59" s="5">
        <v>109428.01</v>
      </c>
      <c r="C59" s="5">
        <v>110430.7</v>
      </c>
      <c r="D59" s="5">
        <v>11.603022169105952</v>
      </c>
      <c r="E59" s="5">
        <v>11.61214345387828</v>
      </c>
      <c r="F59" s="5">
        <v>-4.6536958967790198E-2</v>
      </c>
      <c r="G59" s="5">
        <v>-4.2151356554473551E-2</v>
      </c>
    </row>
    <row r="60" spans="1:7" x14ac:dyDescent="0.25">
      <c r="A60" s="21">
        <v>45991</v>
      </c>
      <c r="B60" s="5">
        <v>91176.49</v>
      </c>
      <c r="C60" s="5">
        <v>92455.97</v>
      </c>
      <c r="D60" s="5">
        <v>11.420552357742416</v>
      </c>
      <c r="E60" s="5">
        <v>11.434487810176554</v>
      </c>
      <c r="F60" s="5">
        <v>-0.18246981136353568</v>
      </c>
      <c r="G60" s="5">
        <v>-0.17765564370172626</v>
      </c>
    </row>
    <row r="61" spans="1:7" x14ac:dyDescent="0.25">
      <c r="A61" s="21">
        <v>46022</v>
      </c>
      <c r="B61" s="5">
        <v>87647.54</v>
      </c>
      <c r="C61" s="5">
        <v>87885</v>
      </c>
      <c r="D61" s="5">
        <v>11.381078823783241</v>
      </c>
      <c r="E61" s="5">
        <v>11.383784420646998</v>
      </c>
      <c r="F61" s="5">
        <v>-3.9473533959174745E-2</v>
      </c>
      <c r="G61" s="5">
        <v>-5.0703389529555665E-2</v>
      </c>
    </row>
    <row r="62" spans="1:7" x14ac:dyDescent="0.25">
      <c r="A62" s="21"/>
      <c r="B62" s="5"/>
    </row>
    <row r="63" spans="1:7" x14ac:dyDescent="0.25">
      <c r="A63" s="21"/>
      <c r="B63" s="5"/>
    </row>
    <row r="64" spans="1:7" x14ac:dyDescent="0.25">
      <c r="A64" s="21"/>
      <c r="B64" s="5"/>
    </row>
    <row r="65" spans="1:2" x14ac:dyDescent="0.25">
      <c r="A65" s="21"/>
      <c r="B65" s="5"/>
    </row>
    <row r="66" spans="1:2" x14ac:dyDescent="0.25">
      <c r="A66" s="21"/>
      <c r="B66" s="5"/>
    </row>
    <row r="67" spans="1:2" x14ac:dyDescent="0.25">
      <c r="A67" s="21"/>
      <c r="B67" s="5"/>
    </row>
    <row r="68" spans="1:2" x14ac:dyDescent="0.25">
      <c r="A68" s="21"/>
      <c r="B68" s="5"/>
    </row>
    <row r="69" spans="1:2" x14ac:dyDescent="0.25">
      <c r="A69" s="21"/>
      <c r="B69" s="5"/>
    </row>
    <row r="70" spans="1:2" x14ac:dyDescent="0.25">
      <c r="A70" s="21"/>
      <c r="B70" s="5"/>
    </row>
    <row r="71" spans="1:2" x14ac:dyDescent="0.25">
      <c r="A71" s="21"/>
      <c r="B71" s="5"/>
    </row>
    <row r="72" spans="1:2" x14ac:dyDescent="0.25">
      <c r="A72" s="21"/>
      <c r="B72" s="5"/>
    </row>
    <row r="73" spans="1:2" x14ac:dyDescent="0.25">
      <c r="A73" s="21"/>
      <c r="B73" s="5"/>
    </row>
    <row r="74" spans="1:2" x14ac:dyDescent="0.25">
      <c r="A74" s="21"/>
      <c r="B74" s="5"/>
    </row>
    <row r="75" spans="1:2" x14ac:dyDescent="0.25">
      <c r="A75" s="21"/>
      <c r="B75" s="5"/>
    </row>
    <row r="76" spans="1:2" x14ac:dyDescent="0.25">
      <c r="A76" s="21"/>
      <c r="B76" s="5"/>
    </row>
    <row r="77" spans="1:2" x14ac:dyDescent="0.25">
      <c r="A77" s="21"/>
      <c r="B77" s="5"/>
    </row>
    <row r="78" spans="1:2" x14ac:dyDescent="0.25">
      <c r="A78" s="21"/>
      <c r="B78" s="5"/>
    </row>
    <row r="79" spans="1:2" x14ac:dyDescent="0.25">
      <c r="A79" s="21"/>
      <c r="B79" s="5"/>
    </row>
    <row r="80" spans="1:2" x14ac:dyDescent="0.25">
      <c r="A80" s="21"/>
      <c r="B80" s="5"/>
    </row>
    <row r="81" spans="1:2" x14ac:dyDescent="0.25">
      <c r="A81" s="21"/>
      <c r="B81" s="5"/>
    </row>
    <row r="82" spans="1:2" x14ac:dyDescent="0.25">
      <c r="A82" s="21"/>
      <c r="B82" s="5"/>
    </row>
    <row r="83" spans="1:2" x14ac:dyDescent="0.25">
      <c r="A83" s="21"/>
      <c r="B83" s="5"/>
    </row>
    <row r="84" spans="1:2" x14ac:dyDescent="0.25">
      <c r="A84" s="21"/>
      <c r="B84" s="5"/>
    </row>
    <row r="85" spans="1:2" x14ac:dyDescent="0.25">
      <c r="A85" s="21"/>
      <c r="B85" s="5"/>
    </row>
    <row r="86" spans="1:2" x14ac:dyDescent="0.25">
      <c r="A86" s="21"/>
      <c r="B86" s="5"/>
    </row>
    <row r="87" spans="1:2" x14ac:dyDescent="0.25">
      <c r="A87" s="21"/>
      <c r="B87" s="5"/>
    </row>
    <row r="88" spans="1:2" x14ac:dyDescent="0.25">
      <c r="A88" s="21"/>
      <c r="B88" s="5"/>
    </row>
    <row r="89" spans="1:2" x14ac:dyDescent="0.25">
      <c r="A89" s="21"/>
      <c r="B89" s="5"/>
    </row>
    <row r="90" spans="1:2" x14ac:dyDescent="0.25">
      <c r="A90" s="21"/>
      <c r="B90" s="5"/>
    </row>
    <row r="91" spans="1:2" x14ac:dyDescent="0.25">
      <c r="A91" s="21"/>
      <c r="B91" s="5"/>
    </row>
    <row r="92" spans="1:2" x14ac:dyDescent="0.25">
      <c r="A92" s="21"/>
      <c r="B92" s="5"/>
    </row>
    <row r="93" spans="1:2" x14ac:dyDescent="0.25">
      <c r="A93" s="21"/>
      <c r="B93" s="5"/>
    </row>
    <row r="94" spans="1:2" x14ac:dyDescent="0.25">
      <c r="A94" s="21"/>
      <c r="B94" s="5"/>
    </row>
    <row r="95" spans="1:2" x14ac:dyDescent="0.25">
      <c r="A95" s="21"/>
      <c r="B95" s="5"/>
    </row>
    <row r="96" spans="1:2" x14ac:dyDescent="0.25">
      <c r="A96" s="21"/>
      <c r="B96" s="5"/>
    </row>
    <row r="97" spans="1:2" x14ac:dyDescent="0.25">
      <c r="A97" s="21"/>
      <c r="B97" s="5"/>
    </row>
    <row r="98" spans="1:2" x14ac:dyDescent="0.25">
      <c r="A98" s="21"/>
      <c r="B98" s="5"/>
    </row>
    <row r="99" spans="1:2" x14ac:dyDescent="0.25">
      <c r="A99" s="21"/>
      <c r="B99" s="5"/>
    </row>
    <row r="100" spans="1:2" x14ac:dyDescent="0.25">
      <c r="A100" s="21"/>
      <c r="B100" s="5"/>
    </row>
    <row r="101" spans="1:2" x14ac:dyDescent="0.25">
      <c r="A101" s="21"/>
      <c r="B101" s="5"/>
    </row>
    <row r="102" spans="1:2" x14ac:dyDescent="0.25">
      <c r="A102" s="21"/>
      <c r="B102" s="5"/>
    </row>
    <row r="103" spans="1:2" x14ac:dyDescent="0.25">
      <c r="A103" s="21"/>
      <c r="B103" s="5"/>
    </row>
    <row r="104" spans="1:2" x14ac:dyDescent="0.25">
      <c r="A104" s="21"/>
      <c r="B104" s="5"/>
    </row>
    <row r="105" spans="1:2" x14ac:dyDescent="0.25">
      <c r="A105" s="21"/>
      <c r="B105" s="5"/>
    </row>
    <row r="106" spans="1:2" x14ac:dyDescent="0.25">
      <c r="A106" s="21"/>
      <c r="B106" s="5"/>
    </row>
    <row r="107" spans="1:2" x14ac:dyDescent="0.25">
      <c r="A107" s="21"/>
      <c r="B107" s="5"/>
    </row>
    <row r="108" spans="1:2" x14ac:dyDescent="0.25">
      <c r="A108" s="21"/>
      <c r="B108" s="5"/>
    </row>
    <row r="109" spans="1:2" x14ac:dyDescent="0.25">
      <c r="A109" s="21"/>
      <c r="B109" s="5"/>
    </row>
    <row r="110" spans="1:2" x14ac:dyDescent="0.25">
      <c r="A110" s="21"/>
      <c r="B110" s="5"/>
    </row>
    <row r="111" spans="1:2" x14ac:dyDescent="0.25">
      <c r="A111" s="21"/>
      <c r="B111" s="5"/>
    </row>
    <row r="112" spans="1:2" x14ac:dyDescent="0.25">
      <c r="A112" s="21"/>
      <c r="B112" s="5"/>
    </row>
    <row r="113" spans="1:2" x14ac:dyDescent="0.25">
      <c r="A113" s="21"/>
      <c r="B113" s="5"/>
    </row>
    <row r="114" spans="1:2" x14ac:dyDescent="0.25">
      <c r="A114" s="21"/>
      <c r="B114" s="5"/>
    </row>
    <row r="115" spans="1:2" x14ac:dyDescent="0.25">
      <c r="A115" s="21"/>
      <c r="B115" s="5"/>
    </row>
    <row r="116" spans="1:2" x14ac:dyDescent="0.25">
      <c r="A116" s="21"/>
      <c r="B116" s="5"/>
    </row>
    <row r="117" spans="1:2" x14ac:dyDescent="0.25">
      <c r="A117" s="21"/>
      <c r="B117" s="5"/>
    </row>
    <row r="118" spans="1:2" x14ac:dyDescent="0.25">
      <c r="A118" s="21"/>
      <c r="B118" s="5"/>
    </row>
    <row r="119" spans="1:2" x14ac:dyDescent="0.25">
      <c r="A119" s="21"/>
      <c r="B119" s="5"/>
    </row>
    <row r="120" spans="1:2" x14ac:dyDescent="0.25">
      <c r="A120" s="21"/>
      <c r="B120" s="5"/>
    </row>
    <row r="121" spans="1:2" x14ac:dyDescent="0.25">
      <c r="A121" s="21"/>
      <c r="B121" s="5"/>
    </row>
    <row r="122" spans="1:2" x14ac:dyDescent="0.25">
      <c r="A122" s="21"/>
      <c r="B122" s="5"/>
    </row>
    <row r="123" spans="1:2" x14ac:dyDescent="0.25">
      <c r="A123" s="21"/>
      <c r="B123" s="5"/>
    </row>
    <row r="124" spans="1:2" x14ac:dyDescent="0.25">
      <c r="A124" s="21"/>
      <c r="B124" s="5"/>
    </row>
    <row r="125" spans="1:2" x14ac:dyDescent="0.25">
      <c r="A125" s="21"/>
      <c r="B125" s="5"/>
    </row>
    <row r="126" spans="1:2" x14ac:dyDescent="0.25">
      <c r="A126" s="21"/>
      <c r="B126" s="5"/>
    </row>
    <row r="127" spans="1:2" x14ac:dyDescent="0.25">
      <c r="A127" s="21"/>
      <c r="B127" s="5"/>
    </row>
    <row r="128" spans="1:2" x14ac:dyDescent="0.25">
      <c r="A128" s="21"/>
      <c r="B128" s="5"/>
    </row>
    <row r="129" spans="1:2" x14ac:dyDescent="0.25">
      <c r="A129" s="21"/>
      <c r="B129" s="5"/>
    </row>
    <row r="130" spans="1:2" x14ac:dyDescent="0.25">
      <c r="A130" s="21"/>
      <c r="B130" s="5"/>
    </row>
    <row r="131" spans="1:2" x14ac:dyDescent="0.25">
      <c r="A131" s="21"/>
      <c r="B131" s="5"/>
    </row>
    <row r="132" spans="1:2" x14ac:dyDescent="0.25">
      <c r="A132" s="21"/>
      <c r="B132" s="5"/>
    </row>
    <row r="133" spans="1:2" x14ac:dyDescent="0.25">
      <c r="A133" s="21"/>
      <c r="B133" s="5"/>
    </row>
    <row r="134" spans="1:2" x14ac:dyDescent="0.25">
      <c r="A134" s="21"/>
      <c r="B134" s="5"/>
    </row>
    <row r="135" spans="1:2" x14ac:dyDescent="0.25">
      <c r="A135" s="21"/>
      <c r="B135" s="5"/>
    </row>
    <row r="136" spans="1:2" x14ac:dyDescent="0.25">
      <c r="A136" s="21"/>
      <c r="B136" s="5"/>
    </row>
    <row r="137" spans="1:2" x14ac:dyDescent="0.25">
      <c r="A137" s="21"/>
      <c r="B137" s="5"/>
    </row>
    <row r="138" spans="1:2" x14ac:dyDescent="0.25">
      <c r="A138" s="21"/>
      <c r="B138" s="5"/>
    </row>
    <row r="139" spans="1:2" x14ac:dyDescent="0.25">
      <c r="A139" s="21"/>
      <c r="B139" s="5"/>
    </row>
    <row r="140" spans="1:2" x14ac:dyDescent="0.25">
      <c r="A140" s="21"/>
      <c r="B140" s="5"/>
    </row>
    <row r="141" spans="1:2" x14ac:dyDescent="0.25">
      <c r="A141" s="21"/>
      <c r="B141" s="5"/>
    </row>
    <row r="142" spans="1:2" x14ac:dyDescent="0.25">
      <c r="A142" s="21"/>
      <c r="B142" s="5"/>
    </row>
    <row r="143" spans="1:2" x14ac:dyDescent="0.25">
      <c r="A143" s="21"/>
      <c r="B143" s="5"/>
    </row>
    <row r="144" spans="1:2" x14ac:dyDescent="0.25">
      <c r="A144" s="21"/>
      <c r="B144" s="5"/>
    </row>
    <row r="145" spans="1:2" x14ac:dyDescent="0.25">
      <c r="A145" s="21"/>
      <c r="B145" s="5"/>
    </row>
    <row r="146" spans="1:2" x14ac:dyDescent="0.25">
      <c r="A146" s="21"/>
      <c r="B146" s="5"/>
    </row>
    <row r="147" spans="1:2" x14ac:dyDescent="0.25">
      <c r="A147" s="21"/>
      <c r="B147" s="5"/>
    </row>
    <row r="148" spans="1:2" x14ac:dyDescent="0.25">
      <c r="A148" s="21"/>
      <c r="B148" s="5"/>
    </row>
    <row r="149" spans="1:2" x14ac:dyDescent="0.25">
      <c r="A149" s="21"/>
      <c r="B149" s="5"/>
    </row>
    <row r="150" spans="1:2" x14ac:dyDescent="0.25">
      <c r="A150" s="21"/>
      <c r="B150" s="5"/>
    </row>
    <row r="151" spans="1:2" x14ac:dyDescent="0.25">
      <c r="A151" s="21"/>
      <c r="B151" s="5"/>
    </row>
    <row r="152" spans="1:2" x14ac:dyDescent="0.25">
      <c r="A152" s="21"/>
      <c r="B152" s="5"/>
    </row>
    <row r="153" spans="1:2" x14ac:dyDescent="0.25">
      <c r="A153" s="21"/>
      <c r="B153" s="5"/>
    </row>
    <row r="154" spans="1:2" x14ac:dyDescent="0.25">
      <c r="A154" s="21"/>
      <c r="B154" s="5"/>
    </row>
    <row r="155" spans="1:2" x14ac:dyDescent="0.25">
      <c r="A155" s="21"/>
      <c r="B155" s="5"/>
    </row>
    <row r="156" spans="1:2" x14ac:dyDescent="0.25">
      <c r="A156" s="21"/>
      <c r="B156" s="5"/>
    </row>
    <row r="157" spans="1:2" x14ac:dyDescent="0.25">
      <c r="A157" s="21"/>
      <c r="B157" s="5"/>
    </row>
    <row r="158" spans="1:2" x14ac:dyDescent="0.25">
      <c r="A158" s="21"/>
      <c r="B158" s="5"/>
    </row>
    <row r="159" spans="1:2" x14ac:dyDescent="0.25">
      <c r="A159" s="21"/>
      <c r="B159" s="5"/>
    </row>
    <row r="160" spans="1:2" x14ac:dyDescent="0.25">
      <c r="A160" s="21"/>
      <c r="B160" s="5"/>
    </row>
    <row r="161" spans="1:2" x14ac:dyDescent="0.25">
      <c r="A161" s="21"/>
      <c r="B161" s="5"/>
    </row>
    <row r="162" spans="1:2" x14ac:dyDescent="0.25">
      <c r="A162" s="21"/>
      <c r="B162" s="5"/>
    </row>
    <row r="163" spans="1:2" x14ac:dyDescent="0.25">
      <c r="A163" s="21"/>
      <c r="B163" s="5"/>
    </row>
    <row r="164" spans="1:2" x14ac:dyDescent="0.25">
      <c r="A164" s="21"/>
      <c r="B164" s="5"/>
    </row>
    <row r="165" spans="1:2" x14ac:dyDescent="0.25">
      <c r="A165" s="21"/>
      <c r="B165" s="5"/>
    </row>
    <row r="166" spans="1:2" x14ac:dyDescent="0.25">
      <c r="A166" s="21"/>
      <c r="B166" s="5"/>
    </row>
    <row r="167" spans="1:2" x14ac:dyDescent="0.25">
      <c r="A167" s="21"/>
      <c r="B167" s="5"/>
    </row>
    <row r="168" spans="1:2" x14ac:dyDescent="0.25">
      <c r="A168" s="21"/>
      <c r="B168" s="5"/>
    </row>
    <row r="169" spans="1:2" x14ac:dyDescent="0.25">
      <c r="A169" s="21"/>
      <c r="B169" s="5"/>
    </row>
    <row r="170" spans="1:2" x14ac:dyDescent="0.25">
      <c r="A170" s="21"/>
      <c r="B170" s="5"/>
    </row>
    <row r="171" spans="1:2" x14ac:dyDescent="0.25">
      <c r="A171" s="21"/>
      <c r="B171" s="5"/>
    </row>
    <row r="172" spans="1:2" x14ac:dyDescent="0.25">
      <c r="A172" s="21"/>
      <c r="B172" s="5"/>
    </row>
    <row r="173" spans="1:2" x14ac:dyDescent="0.25">
      <c r="A173" s="21"/>
      <c r="B173" s="5"/>
    </row>
    <row r="174" spans="1:2" x14ac:dyDescent="0.25">
      <c r="A174" s="21"/>
      <c r="B174" s="5"/>
    </row>
    <row r="175" spans="1:2" x14ac:dyDescent="0.25">
      <c r="A175" s="21"/>
      <c r="B175" s="5"/>
    </row>
    <row r="176" spans="1:2" x14ac:dyDescent="0.25">
      <c r="A176" s="21"/>
      <c r="B176" s="5"/>
    </row>
    <row r="177" spans="1:2" x14ac:dyDescent="0.25">
      <c r="A177" s="21"/>
      <c r="B177" s="5"/>
    </row>
    <row r="178" spans="1:2" x14ac:dyDescent="0.25">
      <c r="A178" s="21"/>
      <c r="B178" s="5"/>
    </row>
    <row r="179" spans="1:2" x14ac:dyDescent="0.25">
      <c r="A179" s="21"/>
      <c r="B179" s="5"/>
    </row>
    <row r="180" spans="1:2" x14ac:dyDescent="0.25">
      <c r="A180" s="21"/>
      <c r="B180" s="5"/>
    </row>
    <row r="181" spans="1:2" x14ac:dyDescent="0.25">
      <c r="A181" s="21"/>
      <c r="B181" s="5"/>
    </row>
    <row r="182" spans="1:2" x14ac:dyDescent="0.25">
      <c r="A182" s="21"/>
      <c r="B182" s="5"/>
    </row>
    <row r="183" spans="1:2" x14ac:dyDescent="0.25">
      <c r="A183" s="21"/>
      <c r="B183" s="5"/>
    </row>
    <row r="184" spans="1:2" x14ac:dyDescent="0.25">
      <c r="A184" s="21"/>
      <c r="B184" s="5"/>
    </row>
    <row r="185" spans="1:2" x14ac:dyDescent="0.25">
      <c r="A185" s="21"/>
      <c r="B185" s="5"/>
    </row>
    <row r="186" spans="1:2" x14ac:dyDescent="0.25">
      <c r="A186" s="21"/>
      <c r="B186" s="5"/>
    </row>
    <row r="187" spans="1:2" x14ac:dyDescent="0.25">
      <c r="A187" s="21"/>
      <c r="B187" s="5"/>
    </row>
    <row r="188" spans="1:2" x14ac:dyDescent="0.25">
      <c r="A188" s="21"/>
      <c r="B188" s="5"/>
    </row>
    <row r="189" spans="1:2" x14ac:dyDescent="0.25">
      <c r="A189" s="21"/>
      <c r="B189" s="5"/>
    </row>
    <row r="190" spans="1:2" x14ac:dyDescent="0.25">
      <c r="A190" s="21"/>
      <c r="B190" s="5"/>
    </row>
    <row r="191" spans="1:2" x14ac:dyDescent="0.25">
      <c r="A191" s="21"/>
      <c r="B191" s="5"/>
    </row>
    <row r="192" spans="1:2" x14ac:dyDescent="0.25">
      <c r="A192" s="21"/>
      <c r="B192" s="5"/>
    </row>
    <row r="193" spans="1:2" x14ac:dyDescent="0.25">
      <c r="A193" s="21"/>
      <c r="B193" s="5"/>
    </row>
    <row r="194" spans="1:2" x14ac:dyDescent="0.25">
      <c r="A194" s="21"/>
      <c r="B194" s="5"/>
    </row>
    <row r="195" spans="1:2" x14ac:dyDescent="0.25">
      <c r="A195" s="21"/>
      <c r="B195" s="5"/>
    </row>
    <row r="196" spans="1:2" x14ac:dyDescent="0.25">
      <c r="A196" s="21"/>
      <c r="B196" s="5"/>
    </row>
    <row r="197" spans="1:2" x14ac:dyDescent="0.25">
      <c r="A197" s="21"/>
      <c r="B197" s="5"/>
    </row>
    <row r="198" spans="1:2" x14ac:dyDescent="0.25">
      <c r="A198" s="21"/>
      <c r="B198" s="5"/>
    </row>
    <row r="199" spans="1:2" x14ac:dyDescent="0.25">
      <c r="A199" s="21"/>
      <c r="B199" s="5"/>
    </row>
    <row r="200" spans="1:2" x14ac:dyDescent="0.25">
      <c r="A200" s="21"/>
      <c r="B200" s="5"/>
    </row>
    <row r="201" spans="1:2" x14ac:dyDescent="0.25">
      <c r="A201" s="21"/>
      <c r="B201" s="5"/>
    </row>
    <row r="202" spans="1:2" x14ac:dyDescent="0.25">
      <c r="A202" s="21"/>
      <c r="B202" s="5"/>
    </row>
    <row r="203" spans="1:2" x14ac:dyDescent="0.25">
      <c r="A203" s="21"/>
      <c r="B203" s="5"/>
    </row>
    <row r="204" spans="1:2" x14ac:dyDescent="0.25">
      <c r="A204" s="21"/>
      <c r="B204" s="5"/>
    </row>
    <row r="205" spans="1:2" x14ac:dyDescent="0.25">
      <c r="A205" s="21"/>
      <c r="B205" s="5"/>
    </row>
    <row r="206" spans="1:2" x14ac:dyDescent="0.25">
      <c r="A206" s="21"/>
      <c r="B206" s="5"/>
    </row>
    <row r="207" spans="1:2" x14ac:dyDescent="0.25">
      <c r="A207" s="21"/>
      <c r="B207" s="5"/>
    </row>
    <row r="208" spans="1:2" x14ac:dyDescent="0.25">
      <c r="A208" s="21"/>
      <c r="B208" s="5"/>
    </row>
    <row r="209" spans="1:2" x14ac:dyDescent="0.25">
      <c r="A209" s="21"/>
      <c r="B209" s="5"/>
    </row>
    <row r="210" spans="1:2" x14ac:dyDescent="0.25">
      <c r="A210" s="21"/>
      <c r="B210" s="5"/>
    </row>
    <row r="211" spans="1:2" x14ac:dyDescent="0.25">
      <c r="A211" s="21"/>
      <c r="B211" s="5"/>
    </row>
    <row r="212" spans="1:2" x14ac:dyDescent="0.25">
      <c r="A212" s="21"/>
      <c r="B212" s="5"/>
    </row>
    <row r="213" spans="1:2" x14ac:dyDescent="0.25">
      <c r="A213" s="21"/>
      <c r="B213" s="5"/>
    </row>
    <row r="214" spans="1:2" x14ac:dyDescent="0.25">
      <c r="A214" s="21"/>
      <c r="B214" s="5"/>
    </row>
    <row r="215" spans="1:2" x14ac:dyDescent="0.25">
      <c r="A215" s="21"/>
      <c r="B215" s="5"/>
    </row>
    <row r="216" spans="1:2" x14ac:dyDescent="0.25">
      <c r="A216" s="21"/>
      <c r="B216" s="5"/>
    </row>
    <row r="217" spans="1:2" x14ac:dyDescent="0.25">
      <c r="A217" s="21"/>
      <c r="B217" s="5"/>
    </row>
    <row r="218" spans="1:2" x14ac:dyDescent="0.25">
      <c r="A218" s="21"/>
      <c r="B218" s="5"/>
    </row>
    <row r="219" spans="1:2" x14ac:dyDescent="0.25">
      <c r="A219" s="21"/>
      <c r="B219" s="5"/>
    </row>
    <row r="220" spans="1:2" x14ac:dyDescent="0.25">
      <c r="A220" s="21"/>
      <c r="B220" s="5"/>
    </row>
    <row r="221" spans="1:2" x14ac:dyDescent="0.25">
      <c r="A221" s="21"/>
      <c r="B221" s="5"/>
    </row>
    <row r="222" spans="1:2" x14ac:dyDescent="0.25">
      <c r="A222" s="21"/>
      <c r="B222" s="5"/>
    </row>
    <row r="223" spans="1:2" x14ac:dyDescent="0.25">
      <c r="A223" s="21"/>
      <c r="B223" s="5"/>
    </row>
    <row r="224" spans="1:2" x14ac:dyDescent="0.25">
      <c r="A224" s="21"/>
      <c r="B224" s="5"/>
    </row>
    <row r="225" spans="1:2" x14ac:dyDescent="0.25">
      <c r="A225" s="21"/>
      <c r="B225" s="5"/>
    </row>
    <row r="226" spans="1:2" x14ac:dyDescent="0.25">
      <c r="A226" s="21"/>
      <c r="B226" s="5"/>
    </row>
    <row r="227" spans="1:2" x14ac:dyDescent="0.25">
      <c r="A227" s="21"/>
      <c r="B227" s="5"/>
    </row>
    <row r="228" spans="1:2" x14ac:dyDescent="0.25">
      <c r="A228" s="21"/>
      <c r="B228" s="5"/>
    </row>
    <row r="229" spans="1:2" x14ac:dyDescent="0.25">
      <c r="A229" s="21"/>
      <c r="B229" s="5"/>
    </row>
    <row r="230" spans="1:2" x14ac:dyDescent="0.25">
      <c r="A230" s="21"/>
      <c r="B230" s="5"/>
    </row>
    <row r="231" spans="1:2" x14ac:dyDescent="0.25">
      <c r="A231" s="21"/>
      <c r="B231" s="5"/>
    </row>
    <row r="232" spans="1:2" x14ac:dyDescent="0.25">
      <c r="A232" s="21"/>
      <c r="B232" s="5"/>
    </row>
    <row r="233" spans="1:2" x14ac:dyDescent="0.25">
      <c r="A233" s="21"/>
      <c r="B233" s="5"/>
    </row>
    <row r="234" spans="1:2" x14ac:dyDescent="0.25">
      <c r="A234" s="21"/>
      <c r="B234" s="5"/>
    </row>
    <row r="235" spans="1:2" x14ac:dyDescent="0.25">
      <c r="A235" s="21"/>
      <c r="B235" s="5"/>
    </row>
    <row r="236" spans="1:2" x14ac:dyDescent="0.25">
      <c r="A236" s="21"/>
      <c r="B236" s="5"/>
    </row>
    <row r="237" spans="1:2" x14ac:dyDescent="0.25">
      <c r="A237" s="21"/>
      <c r="B237" s="5"/>
    </row>
    <row r="238" spans="1:2" x14ac:dyDescent="0.25">
      <c r="A238" s="21"/>
      <c r="B238" s="5"/>
    </row>
    <row r="239" spans="1:2" x14ac:dyDescent="0.25">
      <c r="A239" s="21"/>
      <c r="B239" s="5"/>
    </row>
    <row r="240" spans="1:2" x14ac:dyDescent="0.25">
      <c r="A240" s="21"/>
      <c r="B240" s="5"/>
    </row>
    <row r="241" spans="1:2" x14ac:dyDescent="0.25">
      <c r="A241" s="21"/>
      <c r="B241" s="5"/>
    </row>
    <row r="242" spans="1:2" x14ac:dyDescent="0.25">
      <c r="A242" s="21"/>
      <c r="B242" s="5"/>
    </row>
    <row r="243" spans="1:2" x14ac:dyDescent="0.25">
      <c r="A243" s="21"/>
      <c r="B243" s="5"/>
    </row>
    <row r="244" spans="1:2" x14ac:dyDescent="0.25">
      <c r="A244" s="21"/>
      <c r="B244" s="5"/>
    </row>
    <row r="245" spans="1:2" x14ac:dyDescent="0.25">
      <c r="A245" s="21"/>
      <c r="B245" s="5"/>
    </row>
    <row r="246" spans="1:2" x14ac:dyDescent="0.25">
      <c r="A246" s="21"/>
      <c r="B246" s="5"/>
    </row>
    <row r="247" spans="1:2" x14ac:dyDescent="0.25">
      <c r="A247" s="21"/>
      <c r="B247" s="5"/>
    </row>
    <row r="248" spans="1:2" x14ac:dyDescent="0.25">
      <c r="A248" s="21"/>
      <c r="B248" s="5"/>
    </row>
    <row r="249" spans="1:2" x14ac:dyDescent="0.25">
      <c r="A249" s="21"/>
      <c r="B249" s="5"/>
    </row>
    <row r="250" spans="1:2" x14ac:dyDescent="0.25">
      <c r="A250" s="21"/>
      <c r="B250" s="5"/>
    </row>
    <row r="251" spans="1:2" x14ac:dyDescent="0.25">
      <c r="A251" s="21"/>
      <c r="B251" s="5"/>
    </row>
    <row r="252" spans="1:2" x14ac:dyDescent="0.25">
      <c r="A252" s="21"/>
      <c r="B252" s="5"/>
    </row>
    <row r="253" spans="1:2" x14ac:dyDescent="0.25">
      <c r="A253" s="21"/>
      <c r="B253" s="5"/>
    </row>
    <row r="254" spans="1:2" x14ac:dyDescent="0.25">
      <c r="A254" s="21"/>
      <c r="B254" s="5"/>
    </row>
    <row r="255" spans="1:2" x14ac:dyDescent="0.25">
      <c r="A255" s="21"/>
      <c r="B255" s="5"/>
    </row>
    <row r="256" spans="1:2" x14ac:dyDescent="0.25">
      <c r="A256" s="21"/>
      <c r="B256" s="5"/>
    </row>
    <row r="257" spans="1:2" x14ac:dyDescent="0.25">
      <c r="A257" s="21"/>
      <c r="B257" s="5"/>
    </row>
    <row r="258" spans="1:2" x14ac:dyDescent="0.25">
      <c r="A258" s="21"/>
      <c r="B258" s="5"/>
    </row>
    <row r="259" spans="1:2" x14ac:dyDescent="0.25">
      <c r="A259" s="21"/>
      <c r="B259" s="5"/>
    </row>
    <row r="260" spans="1:2" x14ac:dyDescent="0.25">
      <c r="A260" s="21"/>
      <c r="B260" s="5"/>
    </row>
    <row r="261" spans="1:2" x14ac:dyDescent="0.25">
      <c r="A261" s="21"/>
      <c r="B261" s="5"/>
    </row>
    <row r="262" spans="1:2" x14ac:dyDescent="0.25">
      <c r="A262" s="21"/>
      <c r="B262" s="5"/>
    </row>
    <row r="263" spans="1:2" x14ac:dyDescent="0.25">
      <c r="A263" s="21"/>
      <c r="B263" s="5"/>
    </row>
    <row r="264" spans="1:2" x14ac:dyDescent="0.25">
      <c r="A264" s="21"/>
      <c r="B264" s="5"/>
    </row>
    <row r="265" spans="1:2" x14ac:dyDescent="0.25">
      <c r="A265" s="21"/>
      <c r="B265" s="5"/>
    </row>
    <row r="266" spans="1:2" x14ac:dyDescent="0.25">
      <c r="A266" s="21"/>
      <c r="B266" s="5"/>
    </row>
    <row r="267" spans="1:2" x14ac:dyDescent="0.25">
      <c r="A267" s="21"/>
      <c r="B267" s="5"/>
    </row>
    <row r="268" spans="1:2" x14ac:dyDescent="0.25">
      <c r="A268" s="21"/>
      <c r="B268" s="5"/>
    </row>
    <row r="269" spans="1:2" x14ac:dyDescent="0.25">
      <c r="A269" s="21"/>
      <c r="B269" s="5"/>
    </row>
    <row r="270" spans="1:2" x14ac:dyDescent="0.25">
      <c r="A270" s="21"/>
      <c r="B270" s="5"/>
    </row>
    <row r="271" spans="1:2" x14ac:dyDescent="0.25">
      <c r="A271" s="21"/>
      <c r="B271" s="5"/>
    </row>
    <row r="272" spans="1:2" x14ac:dyDescent="0.25">
      <c r="A272" s="21"/>
      <c r="B272" s="5"/>
    </row>
    <row r="273" spans="1:2" x14ac:dyDescent="0.25">
      <c r="A273" s="21"/>
      <c r="B273" s="5"/>
    </row>
    <row r="274" spans="1:2" x14ac:dyDescent="0.25">
      <c r="A274" s="21"/>
      <c r="B274" s="5"/>
    </row>
    <row r="275" spans="1:2" x14ac:dyDescent="0.25">
      <c r="A275" s="21"/>
      <c r="B275" s="5"/>
    </row>
    <row r="276" spans="1:2" x14ac:dyDescent="0.25">
      <c r="A276" s="21"/>
      <c r="B276" s="5"/>
    </row>
    <row r="277" spans="1:2" x14ac:dyDescent="0.25">
      <c r="A277" s="21"/>
      <c r="B277" s="5"/>
    </row>
    <row r="278" spans="1:2" x14ac:dyDescent="0.25">
      <c r="A278" s="21"/>
      <c r="B278" s="5"/>
    </row>
    <row r="279" spans="1:2" x14ac:dyDescent="0.25">
      <c r="A279" s="21"/>
      <c r="B279" s="5"/>
    </row>
    <row r="280" spans="1:2" x14ac:dyDescent="0.25">
      <c r="A280" s="21"/>
      <c r="B280" s="5"/>
    </row>
    <row r="281" spans="1:2" x14ac:dyDescent="0.25">
      <c r="A281" s="21"/>
      <c r="B281" s="5"/>
    </row>
    <row r="282" spans="1:2" x14ac:dyDescent="0.25">
      <c r="A282" s="21"/>
      <c r="B282" s="5"/>
    </row>
    <row r="283" spans="1:2" x14ac:dyDescent="0.25">
      <c r="A283" s="21"/>
      <c r="B283" s="5"/>
    </row>
    <row r="284" spans="1:2" x14ac:dyDescent="0.25">
      <c r="A284" s="21"/>
      <c r="B284" s="5"/>
    </row>
    <row r="285" spans="1:2" x14ac:dyDescent="0.25">
      <c r="A285" s="21"/>
      <c r="B285" s="5"/>
    </row>
    <row r="286" spans="1:2" x14ac:dyDescent="0.25">
      <c r="A286" s="21"/>
      <c r="B286" s="5"/>
    </row>
    <row r="287" spans="1:2" x14ac:dyDescent="0.25">
      <c r="A287" s="21"/>
      <c r="B287" s="5"/>
    </row>
    <row r="288" spans="1:2" x14ac:dyDescent="0.25">
      <c r="A288" s="21"/>
      <c r="B288" s="5"/>
    </row>
    <row r="289" spans="1:2" x14ac:dyDescent="0.25">
      <c r="A289" s="21"/>
      <c r="B289" s="5"/>
    </row>
    <row r="290" spans="1:2" x14ac:dyDescent="0.25">
      <c r="A290" s="21"/>
      <c r="B290" s="5"/>
    </row>
    <row r="291" spans="1:2" x14ac:dyDescent="0.25">
      <c r="A291" s="21"/>
      <c r="B291" s="5"/>
    </row>
    <row r="292" spans="1:2" x14ac:dyDescent="0.25">
      <c r="A292" s="21"/>
      <c r="B292" s="5"/>
    </row>
    <row r="293" spans="1:2" x14ac:dyDescent="0.25">
      <c r="A293" s="21"/>
      <c r="B293" s="5"/>
    </row>
    <row r="294" spans="1:2" x14ac:dyDescent="0.25">
      <c r="A294" s="21"/>
      <c r="B294" s="5"/>
    </row>
    <row r="295" spans="1:2" x14ac:dyDescent="0.25">
      <c r="A295" s="21"/>
      <c r="B295" s="5"/>
    </row>
    <row r="296" spans="1:2" x14ac:dyDescent="0.25">
      <c r="A296" s="21"/>
      <c r="B296" s="5"/>
    </row>
    <row r="297" spans="1:2" x14ac:dyDescent="0.25">
      <c r="A297" s="21"/>
      <c r="B297" s="5"/>
    </row>
    <row r="298" spans="1:2" x14ac:dyDescent="0.25">
      <c r="A298" s="21"/>
      <c r="B298" s="5"/>
    </row>
    <row r="299" spans="1:2" x14ac:dyDescent="0.25">
      <c r="A299" s="21"/>
      <c r="B299" s="5"/>
    </row>
    <row r="300" spans="1:2" x14ac:dyDescent="0.25">
      <c r="A300" s="21"/>
      <c r="B300" s="5"/>
    </row>
    <row r="301" spans="1:2" x14ac:dyDescent="0.25">
      <c r="A301" s="21"/>
      <c r="B301" s="5"/>
    </row>
    <row r="302" spans="1:2" x14ac:dyDescent="0.25">
      <c r="A302" s="21"/>
      <c r="B302" s="5"/>
    </row>
    <row r="303" spans="1:2" x14ac:dyDescent="0.25">
      <c r="A303" s="21"/>
      <c r="B303" s="5"/>
    </row>
    <row r="304" spans="1:2" x14ac:dyDescent="0.25">
      <c r="A304" s="21"/>
      <c r="B304" s="5"/>
    </row>
    <row r="305" spans="1:2" x14ac:dyDescent="0.25">
      <c r="A305" s="21"/>
      <c r="B305" s="5"/>
    </row>
    <row r="306" spans="1:2" x14ac:dyDescent="0.25">
      <c r="A306" s="21"/>
      <c r="B306" s="5"/>
    </row>
    <row r="307" spans="1:2" x14ac:dyDescent="0.25">
      <c r="A307" s="21"/>
      <c r="B307" s="5"/>
    </row>
    <row r="308" spans="1:2" x14ac:dyDescent="0.25">
      <c r="A308" s="21"/>
      <c r="B308" s="5"/>
    </row>
    <row r="309" spans="1:2" x14ac:dyDescent="0.25">
      <c r="A309" s="21"/>
      <c r="B309" s="5"/>
    </row>
    <row r="310" spans="1:2" x14ac:dyDescent="0.25">
      <c r="A310" s="21"/>
      <c r="B310" s="5"/>
    </row>
    <row r="311" spans="1:2" x14ac:dyDescent="0.25">
      <c r="A311" s="21"/>
      <c r="B311" s="5"/>
    </row>
    <row r="312" spans="1:2" x14ac:dyDescent="0.25">
      <c r="A312" s="21"/>
      <c r="B312" s="5"/>
    </row>
    <row r="313" spans="1:2" x14ac:dyDescent="0.25">
      <c r="A313" s="21"/>
      <c r="B313" s="5"/>
    </row>
    <row r="314" spans="1:2" x14ac:dyDescent="0.25">
      <c r="A314" s="21"/>
      <c r="B314" s="5"/>
    </row>
    <row r="315" spans="1:2" x14ac:dyDescent="0.25">
      <c r="A315" s="21"/>
      <c r="B315" s="5"/>
    </row>
    <row r="316" spans="1:2" x14ac:dyDescent="0.25">
      <c r="A316" s="21"/>
      <c r="B316" s="5"/>
    </row>
    <row r="317" spans="1:2" x14ac:dyDescent="0.25">
      <c r="A317" s="21"/>
      <c r="B317" s="5"/>
    </row>
    <row r="318" spans="1:2" x14ac:dyDescent="0.25">
      <c r="A318" s="21"/>
      <c r="B318" s="5"/>
    </row>
    <row r="319" spans="1:2" x14ac:dyDescent="0.25">
      <c r="A319" s="21"/>
      <c r="B319" s="5"/>
    </row>
    <row r="320" spans="1:2" x14ac:dyDescent="0.25">
      <c r="A320" s="21"/>
      <c r="B320" s="5"/>
    </row>
    <row r="321" spans="1:2" x14ac:dyDescent="0.25">
      <c r="A321" s="21"/>
      <c r="B321" s="5"/>
    </row>
    <row r="322" spans="1:2" x14ac:dyDescent="0.25">
      <c r="A322" s="21"/>
      <c r="B322" s="5"/>
    </row>
    <row r="323" spans="1:2" x14ac:dyDescent="0.25">
      <c r="A323" s="21"/>
      <c r="B323" s="5"/>
    </row>
    <row r="324" spans="1:2" x14ac:dyDescent="0.25">
      <c r="A324" s="21"/>
      <c r="B324" s="5"/>
    </row>
    <row r="325" spans="1:2" x14ac:dyDescent="0.25">
      <c r="A325" s="21"/>
      <c r="B325" s="5"/>
    </row>
    <row r="326" spans="1:2" x14ac:dyDescent="0.25">
      <c r="A326" s="21"/>
      <c r="B326" s="5"/>
    </row>
    <row r="327" spans="1:2" x14ac:dyDescent="0.25">
      <c r="A327" s="21"/>
      <c r="B327" s="5"/>
    </row>
    <row r="328" spans="1:2" x14ac:dyDescent="0.25">
      <c r="A328" s="21"/>
      <c r="B328" s="5"/>
    </row>
    <row r="329" spans="1:2" x14ac:dyDescent="0.25">
      <c r="A329" s="21"/>
      <c r="B329" s="5"/>
    </row>
    <row r="330" spans="1:2" x14ac:dyDescent="0.25">
      <c r="A330" s="21"/>
      <c r="B330" s="5"/>
    </row>
    <row r="331" spans="1:2" x14ac:dyDescent="0.25">
      <c r="A331" s="21"/>
      <c r="B331" s="5"/>
    </row>
    <row r="332" spans="1:2" x14ac:dyDescent="0.25">
      <c r="A332" s="21"/>
      <c r="B332" s="5"/>
    </row>
    <row r="333" spans="1:2" x14ac:dyDescent="0.25">
      <c r="A333" s="21"/>
      <c r="B333" s="5"/>
    </row>
    <row r="334" spans="1:2" x14ac:dyDescent="0.25">
      <c r="A334" s="21"/>
      <c r="B334" s="5"/>
    </row>
    <row r="335" spans="1:2" x14ac:dyDescent="0.25">
      <c r="A335" s="21"/>
      <c r="B335" s="5"/>
    </row>
    <row r="336" spans="1:2" x14ac:dyDescent="0.25">
      <c r="A336" s="21"/>
      <c r="B336" s="5"/>
    </row>
    <row r="337" spans="1:2" x14ac:dyDescent="0.25">
      <c r="A337" s="21"/>
      <c r="B337" s="5"/>
    </row>
    <row r="338" spans="1:2" x14ac:dyDescent="0.25">
      <c r="A338" s="21"/>
      <c r="B338" s="5"/>
    </row>
    <row r="339" spans="1:2" x14ac:dyDescent="0.25">
      <c r="A339" s="21"/>
      <c r="B339" s="5"/>
    </row>
    <row r="340" spans="1:2" x14ac:dyDescent="0.25">
      <c r="A340" s="21"/>
      <c r="B340" s="5"/>
    </row>
    <row r="341" spans="1:2" x14ac:dyDescent="0.25">
      <c r="A341" s="21"/>
      <c r="B341" s="5"/>
    </row>
    <row r="342" spans="1:2" x14ac:dyDescent="0.25">
      <c r="A342" s="21"/>
      <c r="B342" s="5"/>
    </row>
    <row r="343" spans="1:2" x14ac:dyDescent="0.25">
      <c r="A343" s="21"/>
      <c r="B343" s="5"/>
    </row>
    <row r="344" spans="1:2" x14ac:dyDescent="0.25">
      <c r="A344" s="21"/>
      <c r="B344" s="5"/>
    </row>
    <row r="345" spans="1:2" x14ac:dyDescent="0.25">
      <c r="A345" s="21"/>
      <c r="B345" s="5"/>
    </row>
    <row r="346" spans="1:2" x14ac:dyDescent="0.25">
      <c r="A346" s="21"/>
      <c r="B346" s="5"/>
    </row>
    <row r="347" spans="1:2" x14ac:dyDescent="0.25">
      <c r="A347" s="21"/>
      <c r="B347" s="5"/>
    </row>
    <row r="348" spans="1:2" x14ac:dyDescent="0.25">
      <c r="A348" s="21"/>
      <c r="B348" s="5"/>
    </row>
    <row r="349" spans="1:2" x14ac:dyDescent="0.25">
      <c r="A349" s="21"/>
      <c r="B349" s="5"/>
    </row>
    <row r="350" spans="1:2" x14ac:dyDescent="0.25">
      <c r="A350" s="21"/>
      <c r="B350" s="5"/>
    </row>
    <row r="351" spans="1:2" x14ac:dyDescent="0.25">
      <c r="A351" s="21"/>
      <c r="B351" s="5"/>
    </row>
    <row r="352" spans="1:2" x14ac:dyDescent="0.25">
      <c r="A352" s="21"/>
      <c r="B352" s="5"/>
    </row>
    <row r="353" spans="1:2" x14ac:dyDescent="0.25">
      <c r="A353" s="21"/>
      <c r="B353" s="5"/>
    </row>
    <row r="354" spans="1:2" x14ac:dyDescent="0.25">
      <c r="A354" s="21"/>
      <c r="B354" s="5"/>
    </row>
    <row r="355" spans="1:2" x14ac:dyDescent="0.25">
      <c r="A355" s="21"/>
      <c r="B355" s="5"/>
    </row>
    <row r="356" spans="1:2" x14ac:dyDescent="0.25">
      <c r="A356" s="21"/>
      <c r="B356" s="5"/>
    </row>
    <row r="357" spans="1:2" x14ac:dyDescent="0.25">
      <c r="A357" s="21"/>
      <c r="B357" s="5"/>
    </row>
    <row r="358" spans="1:2" x14ac:dyDescent="0.25">
      <c r="A358" s="21"/>
      <c r="B358" s="5"/>
    </row>
    <row r="359" spans="1:2" x14ac:dyDescent="0.25">
      <c r="A359" s="21"/>
      <c r="B359" s="5"/>
    </row>
    <row r="360" spans="1:2" x14ac:dyDescent="0.25">
      <c r="A360" s="21"/>
      <c r="B360" s="5"/>
    </row>
    <row r="361" spans="1:2" x14ac:dyDescent="0.25">
      <c r="A361" s="21"/>
      <c r="B361" s="5"/>
    </row>
    <row r="362" spans="1:2" x14ac:dyDescent="0.25">
      <c r="A362" s="21"/>
      <c r="B362" s="5"/>
    </row>
    <row r="363" spans="1:2" x14ac:dyDescent="0.25">
      <c r="A363" s="21"/>
      <c r="B363" s="5"/>
    </row>
    <row r="364" spans="1:2" x14ac:dyDescent="0.25">
      <c r="A364" s="21"/>
      <c r="B364" s="5"/>
    </row>
    <row r="365" spans="1:2" x14ac:dyDescent="0.25">
      <c r="A365" s="21"/>
      <c r="B365" s="5"/>
    </row>
    <row r="366" spans="1:2" x14ac:dyDescent="0.25">
      <c r="A366" s="21"/>
      <c r="B366" s="5"/>
    </row>
    <row r="367" spans="1:2" x14ac:dyDescent="0.25">
      <c r="A367" s="21"/>
      <c r="B367" s="5"/>
    </row>
    <row r="368" spans="1:2" x14ac:dyDescent="0.25">
      <c r="A368" s="21"/>
      <c r="B368" s="5"/>
    </row>
    <row r="369" spans="1:2" x14ac:dyDescent="0.25">
      <c r="A369" s="21"/>
      <c r="B369" s="5"/>
    </row>
    <row r="370" spans="1:2" x14ac:dyDescent="0.25">
      <c r="A370" s="21"/>
      <c r="B370" s="5"/>
    </row>
    <row r="371" spans="1:2" x14ac:dyDescent="0.25">
      <c r="A371" s="21"/>
      <c r="B371" s="5"/>
    </row>
    <row r="372" spans="1:2" x14ac:dyDescent="0.25">
      <c r="A372" s="21"/>
      <c r="B372" s="5"/>
    </row>
    <row r="373" spans="1:2" x14ac:dyDescent="0.25">
      <c r="A373" s="21"/>
      <c r="B373" s="5"/>
    </row>
    <row r="374" spans="1:2" x14ac:dyDescent="0.25">
      <c r="A374" s="21"/>
      <c r="B374" s="5"/>
    </row>
    <row r="375" spans="1:2" x14ac:dyDescent="0.25">
      <c r="A375" s="21"/>
      <c r="B375" s="5"/>
    </row>
    <row r="376" spans="1:2" x14ac:dyDescent="0.25">
      <c r="A376" s="21"/>
      <c r="B376" s="5"/>
    </row>
    <row r="377" spans="1:2" x14ac:dyDescent="0.25">
      <c r="A377" s="21"/>
      <c r="B377" s="5"/>
    </row>
    <row r="378" spans="1:2" x14ac:dyDescent="0.25">
      <c r="A378" s="21"/>
      <c r="B378" s="5"/>
    </row>
    <row r="379" spans="1:2" x14ac:dyDescent="0.25">
      <c r="A379" s="21"/>
      <c r="B379" s="5"/>
    </row>
    <row r="380" spans="1:2" x14ac:dyDescent="0.25">
      <c r="A380" s="21"/>
      <c r="B380" s="5"/>
    </row>
    <row r="381" spans="1:2" x14ac:dyDescent="0.25">
      <c r="A381" s="21"/>
      <c r="B381" s="5"/>
    </row>
    <row r="382" spans="1:2" x14ac:dyDescent="0.25">
      <c r="A382" s="21"/>
      <c r="B382" s="5"/>
    </row>
    <row r="383" spans="1:2" x14ac:dyDescent="0.25">
      <c r="A383" s="21"/>
      <c r="B383" s="5"/>
    </row>
    <row r="384" spans="1:2" x14ac:dyDescent="0.25">
      <c r="A384" s="21"/>
      <c r="B384" s="5"/>
    </row>
    <row r="385" spans="1:2" x14ac:dyDescent="0.25">
      <c r="A385" s="21"/>
      <c r="B385" s="5"/>
    </row>
    <row r="386" spans="1:2" x14ac:dyDescent="0.25">
      <c r="A386" s="21"/>
      <c r="B386" s="5"/>
    </row>
    <row r="387" spans="1:2" x14ac:dyDescent="0.25">
      <c r="A387" s="21"/>
      <c r="B387" s="5"/>
    </row>
    <row r="388" spans="1:2" x14ac:dyDescent="0.25">
      <c r="A388" s="21"/>
      <c r="B388" s="5"/>
    </row>
    <row r="389" spans="1:2" x14ac:dyDescent="0.25">
      <c r="A389" s="21"/>
      <c r="B389" s="5"/>
    </row>
    <row r="390" spans="1:2" x14ac:dyDescent="0.25">
      <c r="A390" s="21"/>
      <c r="B390" s="5"/>
    </row>
    <row r="391" spans="1:2" x14ac:dyDescent="0.25">
      <c r="A391" s="21"/>
      <c r="B391" s="5"/>
    </row>
    <row r="392" spans="1:2" x14ac:dyDescent="0.25">
      <c r="A392" s="21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  <row r="925" spans="1:2" x14ac:dyDescent="0.25">
      <c r="A925" s="5"/>
      <c r="B925" s="5"/>
    </row>
    <row r="926" spans="1:2" x14ac:dyDescent="0.25">
      <c r="A926" s="5"/>
      <c r="B926" s="5"/>
    </row>
    <row r="927" spans="1:2" x14ac:dyDescent="0.25">
      <c r="A927" s="5"/>
      <c r="B927" s="5"/>
    </row>
    <row r="928" spans="1:2" x14ac:dyDescent="0.25">
      <c r="A928" s="5"/>
      <c r="B928" s="5"/>
    </row>
    <row r="929" spans="1:2" x14ac:dyDescent="0.25">
      <c r="A929" s="5"/>
      <c r="B929" s="5"/>
    </row>
    <row r="930" spans="1:2" x14ac:dyDescent="0.25">
      <c r="A930" s="5"/>
      <c r="B930" s="5"/>
    </row>
    <row r="931" spans="1:2" x14ac:dyDescent="0.25">
      <c r="A931" s="5"/>
      <c r="B931" s="5"/>
    </row>
    <row r="932" spans="1:2" x14ac:dyDescent="0.25">
      <c r="A932" s="5"/>
      <c r="B932" s="5"/>
    </row>
    <row r="933" spans="1:2" x14ac:dyDescent="0.25">
      <c r="A933" s="5"/>
      <c r="B933" s="5"/>
    </row>
    <row r="934" spans="1:2" x14ac:dyDescent="0.25">
      <c r="A934" s="5"/>
      <c r="B934" s="5"/>
    </row>
    <row r="935" spans="1:2" x14ac:dyDescent="0.25">
      <c r="A935" s="5"/>
      <c r="B935" s="5"/>
    </row>
    <row r="936" spans="1:2" x14ac:dyDescent="0.25">
      <c r="A936" s="5"/>
      <c r="B936" s="5"/>
    </row>
    <row r="937" spans="1:2" x14ac:dyDescent="0.25">
      <c r="A937" s="5"/>
      <c r="B937" s="5"/>
    </row>
    <row r="938" spans="1:2" x14ac:dyDescent="0.25">
      <c r="A938" s="5"/>
      <c r="B938" s="5"/>
    </row>
    <row r="939" spans="1:2" x14ac:dyDescent="0.25">
      <c r="A939" s="5"/>
      <c r="B939" s="5"/>
    </row>
    <row r="940" spans="1:2" x14ac:dyDescent="0.25">
      <c r="A940" s="5"/>
      <c r="B940" s="5"/>
    </row>
    <row r="941" spans="1:2" x14ac:dyDescent="0.25">
      <c r="A941" s="5"/>
      <c r="B941" s="5"/>
    </row>
    <row r="942" spans="1:2" x14ac:dyDescent="0.25">
      <c r="A942" s="5"/>
      <c r="B942" s="5"/>
    </row>
    <row r="943" spans="1:2" x14ac:dyDescent="0.25">
      <c r="A943" s="5"/>
      <c r="B943" s="5"/>
    </row>
    <row r="944" spans="1:2" x14ac:dyDescent="0.25">
      <c r="A944" s="5"/>
      <c r="B944" s="5"/>
    </row>
    <row r="945" spans="1:2" x14ac:dyDescent="0.25">
      <c r="A945" s="5"/>
      <c r="B945" s="5"/>
    </row>
    <row r="946" spans="1:2" x14ac:dyDescent="0.25">
      <c r="A946" s="5"/>
      <c r="B946" s="5"/>
    </row>
    <row r="947" spans="1:2" x14ac:dyDescent="0.25">
      <c r="A947" s="5"/>
      <c r="B947" s="5"/>
    </row>
    <row r="948" spans="1:2" x14ac:dyDescent="0.25">
      <c r="A948" s="5"/>
      <c r="B948" s="5"/>
    </row>
    <row r="949" spans="1:2" x14ac:dyDescent="0.25">
      <c r="A949" s="5"/>
      <c r="B949" s="5"/>
    </row>
    <row r="950" spans="1:2" x14ac:dyDescent="0.25">
      <c r="A950" s="5"/>
      <c r="B950" s="5"/>
    </row>
    <row r="951" spans="1:2" x14ac:dyDescent="0.25">
      <c r="A951" s="5"/>
      <c r="B951" s="5"/>
    </row>
    <row r="952" spans="1:2" x14ac:dyDescent="0.25">
      <c r="A952" s="5"/>
      <c r="B952" s="5"/>
    </row>
    <row r="953" spans="1:2" x14ac:dyDescent="0.25">
      <c r="A953" s="5"/>
      <c r="B953" s="5"/>
    </row>
    <row r="954" spans="1:2" x14ac:dyDescent="0.25">
      <c r="A954" s="5"/>
      <c r="B954" s="5"/>
    </row>
    <row r="955" spans="1:2" x14ac:dyDescent="0.25">
      <c r="A955" s="5"/>
      <c r="B955" s="5"/>
    </row>
    <row r="956" spans="1:2" x14ac:dyDescent="0.25">
      <c r="A956" s="5"/>
      <c r="B956" s="5"/>
    </row>
    <row r="957" spans="1:2" x14ac:dyDescent="0.25">
      <c r="A957" s="5"/>
      <c r="B957" s="5"/>
    </row>
    <row r="958" spans="1:2" x14ac:dyDescent="0.25">
      <c r="A958" s="5"/>
      <c r="B958" s="5"/>
    </row>
    <row r="959" spans="1:2" x14ac:dyDescent="0.25">
      <c r="A959" s="5"/>
      <c r="B959" s="5"/>
    </row>
    <row r="960" spans="1:2" x14ac:dyDescent="0.25">
      <c r="A960" s="5"/>
      <c r="B960" s="5"/>
    </row>
    <row r="961" spans="1:2" x14ac:dyDescent="0.25">
      <c r="A961" s="5"/>
      <c r="B961" s="5"/>
    </row>
    <row r="962" spans="1:2" x14ac:dyDescent="0.25">
      <c r="A962" s="5"/>
      <c r="B962" s="5"/>
    </row>
    <row r="963" spans="1:2" x14ac:dyDescent="0.25">
      <c r="A963" s="5"/>
      <c r="B963" s="5"/>
    </row>
    <row r="964" spans="1:2" x14ac:dyDescent="0.25">
      <c r="A964" s="5"/>
      <c r="B964" s="5"/>
    </row>
    <row r="965" spans="1:2" x14ac:dyDescent="0.25">
      <c r="A965" s="5"/>
      <c r="B965" s="5"/>
    </row>
    <row r="966" spans="1:2" x14ac:dyDescent="0.25">
      <c r="A966" s="5"/>
      <c r="B966" s="5"/>
    </row>
    <row r="967" spans="1:2" x14ac:dyDescent="0.25">
      <c r="A967" s="5"/>
      <c r="B967" s="5"/>
    </row>
    <row r="968" spans="1:2" x14ac:dyDescent="0.25">
      <c r="A968" s="5"/>
      <c r="B968" s="5"/>
    </row>
    <row r="969" spans="1:2" x14ac:dyDescent="0.25">
      <c r="A969" s="5"/>
      <c r="B969" s="5"/>
    </row>
    <row r="970" spans="1:2" x14ac:dyDescent="0.25">
      <c r="A970" s="5"/>
      <c r="B970" s="5"/>
    </row>
    <row r="971" spans="1:2" x14ac:dyDescent="0.25">
      <c r="A971" s="5"/>
      <c r="B971" s="5"/>
    </row>
    <row r="972" spans="1:2" x14ac:dyDescent="0.25">
      <c r="A972" s="5"/>
      <c r="B972" s="5"/>
    </row>
    <row r="973" spans="1:2" x14ac:dyDescent="0.25">
      <c r="A973" s="5"/>
      <c r="B973" s="5"/>
    </row>
    <row r="974" spans="1:2" x14ac:dyDescent="0.25">
      <c r="A974" s="5"/>
      <c r="B974" s="5"/>
    </row>
    <row r="975" spans="1:2" x14ac:dyDescent="0.25">
      <c r="A975" s="5"/>
      <c r="B975" s="5"/>
    </row>
    <row r="976" spans="1:2" x14ac:dyDescent="0.25">
      <c r="A976" s="5"/>
      <c r="B976" s="5"/>
    </row>
    <row r="977" spans="1:2" x14ac:dyDescent="0.25">
      <c r="A977" s="5"/>
      <c r="B977" s="5"/>
    </row>
    <row r="978" spans="1:2" x14ac:dyDescent="0.25">
      <c r="A978" s="5"/>
      <c r="B978" s="5"/>
    </row>
    <row r="979" spans="1:2" x14ac:dyDescent="0.25">
      <c r="A979" s="5"/>
      <c r="B979" s="5"/>
    </row>
    <row r="980" spans="1:2" x14ac:dyDescent="0.25">
      <c r="A980" s="5"/>
      <c r="B980" s="5"/>
    </row>
    <row r="981" spans="1:2" x14ac:dyDescent="0.25">
      <c r="A981" s="5"/>
      <c r="B981" s="5"/>
    </row>
    <row r="982" spans="1:2" x14ac:dyDescent="0.25">
      <c r="A982" s="5"/>
      <c r="B982" s="5"/>
    </row>
    <row r="983" spans="1:2" x14ac:dyDescent="0.25">
      <c r="A983" s="5"/>
      <c r="B983" s="5"/>
    </row>
    <row r="984" spans="1:2" x14ac:dyDescent="0.25">
      <c r="A984" s="5"/>
      <c r="B984" s="5"/>
    </row>
    <row r="985" spans="1:2" x14ac:dyDescent="0.25">
      <c r="A985" s="5"/>
      <c r="B985" s="5"/>
    </row>
    <row r="986" spans="1:2" x14ac:dyDescent="0.25">
      <c r="A986" s="5"/>
      <c r="B986" s="5"/>
    </row>
    <row r="987" spans="1:2" x14ac:dyDescent="0.25">
      <c r="A987" s="5"/>
      <c r="B987" s="5"/>
    </row>
    <row r="988" spans="1:2" x14ac:dyDescent="0.25">
      <c r="A988" s="5"/>
      <c r="B988" s="5"/>
    </row>
    <row r="989" spans="1:2" x14ac:dyDescent="0.25">
      <c r="A989" s="5"/>
      <c r="B989" s="5"/>
    </row>
    <row r="990" spans="1:2" x14ac:dyDescent="0.25">
      <c r="A990" s="5"/>
      <c r="B990" s="5"/>
    </row>
    <row r="991" spans="1:2" x14ac:dyDescent="0.25">
      <c r="A991" s="5"/>
      <c r="B991" s="5"/>
    </row>
    <row r="992" spans="1:2" x14ac:dyDescent="0.25">
      <c r="A992" s="5"/>
      <c r="B992" s="5"/>
    </row>
    <row r="993" spans="1:2" x14ac:dyDescent="0.25">
      <c r="A993" s="5"/>
      <c r="B993" s="5"/>
    </row>
    <row r="994" spans="1:2" x14ac:dyDescent="0.25">
      <c r="A994" s="5"/>
      <c r="B994" s="5"/>
    </row>
    <row r="995" spans="1:2" x14ac:dyDescent="0.25">
      <c r="A995" s="5"/>
      <c r="B995" s="5"/>
    </row>
    <row r="996" spans="1:2" x14ac:dyDescent="0.25">
      <c r="A996" s="5"/>
      <c r="B996" s="5"/>
    </row>
    <row r="997" spans="1:2" x14ac:dyDescent="0.25">
      <c r="A997" s="5"/>
      <c r="B997" s="5"/>
    </row>
    <row r="998" spans="1:2" x14ac:dyDescent="0.25">
      <c r="A998" s="5"/>
      <c r="B998" s="5"/>
    </row>
    <row r="999" spans="1:2" x14ac:dyDescent="0.25">
      <c r="A999" s="5"/>
      <c r="B999" s="5"/>
    </row>
    <row r="1000" spans="1:2" x14ac:dyDescent="0.25">
      <c r="A1000" s="5"/>
      <c r="B1000" s="5"/>
    </row>
    <row r="1001" spans="1:2" x14ac:dyDescent="0.25">
      <c r="A1001" s="5"/>
      <c r="B1001" s="5"/>
    </row>
    <row r="1002" spans="1:2" x14ac:dyDescent="0.25">
      <c r="A1002" s="5"/>
      <c r="B1002" s="5"/>
    </row>
    <row r="1003" spans="1:2" x14ac:dyDescent="0.25">
      <c r="A1003" s="5"/>
      <c r="B1003" s="5"/>
    </row>
    <row r="1004" spans="1:2" x14ac:dyDescent="0.25">
      <c r="A1004" s="5"/>
      <c r="B1004" s="5"/>
    </row>
    <row r="1005" spans="1:2" x14ac:dyDescent="0.25">
      <c r="A1005" s="5"/>
      <c r="B1005" s="5"/>
    </row>
    <row r="1006" spans="1:2" x14ac:dyDescent="0.25">
      <c r="A1006" s="5"/>
      <c r="B1006" s="5"/>
    </row>
    <row r="1007" spans="1:2" x14ac:dyDescent="0.25">
      <c r="A1007" s="5"/>
      <c r="B1007" s="5"/>
    </row>
    <row r="1008" spans="1:2" x14ac:dyDescent="0.25">
      <c r="A1008" s="5"/>
      <c r="B1008" s="5"/>
    </row>
    <row r="1009" spans="1:2" x14ac:dyDescent="0.25">
      <c r="A1009" s="5"/>
      <c r="B1009" s="5"/>
    </row>
    <row r="1010" spans="1:2" x14ac:dyDescent="0.25">
      <c r="A1010" s="5"/>
      <c r="B1010" s="5"/>
    </row>
    <row r="1011" spans="1:2" x14ac:dyDescent="0.25">
      <c r="A1011" s="5"/>
      <c r="B1011" s="5"/>
    </row>
    <row r="1012" spans="1:2" x14ac:dyDescent="0.25">
      <c r="A1012" s="5"/>
      <c r="B1012" s="5"/>
    </row>
    <row r="1013" spans="1:2" x14ac:dyDescent="0.25">
      <c r="A1013" s="5"/>
      <c r="B1013" s="5"/>
    </row>
    <row r="1014" spans="1:2" x14ac:dyDescent="0.25">
      <c r="A1014" s="5"/>
      <c r="B1014" s="5"/>
    </row>
    <row r="1015" spans="1:2" x14ac:dyDescent="0.25">
      <c r="A1015" s="5"/>
      <c r="B1015" s="5"/>
    </row>
    <row r="1016" spans="1:2" x14ac:dyDescent="0.25">
      <c r="A1016" s="5"/>
      <c r="B1016" s="5"/>
    </row>
    <row r="1017" spans="1:2" x14ac:dyDescent="0.25">
      <c r="A1017" s="5"/>
      <c r="B1017" s="5"/>
    </row>
    <row r="1018" spans="1:2" x14ac:dyDescent="0.25">
      <c r="A1018" s="5"/>
      <c r="B1018" s="5"/>
    </row>
    <row r="1019" spans="1:2" x14ac:dyDescent="0.25">
      <c r="A1019" s="5"/>
      <c r="B1019" s="5"/>
    </row>
    <row r="1020" spans="1:2" x14ac:dyDescent="0.25">
      <c r="A1020" s="5"/>
      <c r="B1020" s="5"/>
    </row>
    <row r="1021" spans="1:2" x14ac:dyDescent="0.25">
      <c r="A1021" s="5"/>
      <c r="B1021" s="5"/>
    </row>
    <row r="1022" spans="1:2" x14ac:dyDescent="0.25">
      <c r="A1022" s="5"/>
      <c r="B1022" s="5"/>
    </row>
    <row r="1023" spans="1:2" x14ac:dyDescent="0.25">
      <c r="A1023" s="5"/>
      <c r="B1023" s="5"/>
    </row>
    <row r="1024" spans="1:2" x14ac:dyDescent="0.25">
      <c r="A1024" s="5"/>
      <c r="B1024" s="5"/>
    </row>
    <row r="1025" spans="1:2" x14ac:dyDescent="0.25">
      <c r="A1025" s="5"/>
      <c r="B1025" s="5"/>
    </row>
    <row r="1026" spans="1:2" x14ac:dyDescent="0.25">
      <c r="A1026" s="5"/>
      <c r="B1026" s="5"/>
    </row>
    <row r="1027" spans="1:2" x14ac:dyDescent="0.25">
      <c r="A1027" s="5"/>
      <c r="B1027" s="5"/>
    </row>
    <row r="1028" spans="1:2" x14ac:dyDescent="0.25">
      <c r="A1028" s="5"/>
      <c r="B1028" s="5"/>
    </row>
    <row r="1029" spans="1:2" x14ac:dyDescent="0.25">
      <c r="A1029" s="5"/>
      <c r="B1029" s="5"/>
    </row>
    <row r="1030" spans="1:2" x14ac:dyDescent="0.25">
      <c r="A1030" s="5"/>
      <c r="B1030" s="5"/>
    </row>
    <row r="1031" spans="1:2" x14ac:dyDescent="0.25">
      <c r="A1031" s="5"/>
      <c r="B1031" s="5"/>
    </row>
    <row r="1032" spans="1:2" x14ac:dyDescent="0.25">
      <c r="A1032" s="5"/>
      <c r="B1032" s="5"/>
    </row>
    <row r="1033" spans="1:2" x14ac:dyDescent="0.25">
      <c r="A1033" s="5"/>
      <c r="B1033" s="5"/>
    </row>
    <row r="1034" spans="1:2" x14ac:dyDescent="0.25">
      <c r="A1034" s="5"/>
      <c r="B1034" s="5"/>
    </row>
    <row r="1035" spans="1:2" x14ac:dyDescent="0.25">
      <c r="A1035" s="5"/>
      <c r="B1035" s="5"/>
    </row>
    <row r="1036" spans="1:2" x14ac:dyDescent="0.25">
      <c r="A1036" s="5"/>
      <c r="B1036" s="5"/>
    </row>
    <row r="1037" spans="1:2" x14ac:dyDescent="0.25">
      <c r="A1037" s="5"/>
      <c r="B1037" s="5"/>
    </row>
    <row r="1038" spans="1:2" x14ac:dyDescent="0.25">
      <c r="A1038" s="5"/>
      <c r="B1038" s="5"/>
    </row>
    <row r="1039" spans="1:2" x14ac:dyDescent="0.25">
      <c r="A1039" s="5"/>
      <c r="B1039" s="5"/>
    </row>
    <row r="1040" spans="1:2" x14ac:dyDescent="0.25">
      <c r="A1040" s="5"/>
      <c r="B1040" s="5"/>
    </row>
    <row r="1041" spans="1:2" x14ac:dyDescent="0.25">
      <c r="A1041" s="5"/>
      <c r="B1041" s="5"/>
    </row>
    <row r="1042" spans="1:2" x14ac:dyDescent="0.25">
      <c r="A1042" s="5"/>
      <c r="B1042" s="5"/>
    </row>
    <row r="1043" spans="1:2" x14ac:dyDescent="0.25">
      <c r="A1043" s="5"/>
      <c r="B1043" s="5"/>
    </row>
    <row r="1044" spans="1:2" x14ac:dyDescent="0.25">
      <c r="A1044" s="5"/>
      <c r="B1044" s="5"/>
    </row>
    <row r="1045" spans="1:2" x14ac:dyDescent="0.25">
      <c r="A1045" s="5"/>
      <c r="B1045" s="5"/>
    </row>
    <row r="1046" spans="1:2" x14ac:dyDescent="0.25">
      <c r="A1046" s="5"/>
      <c r="B1046" s="5"/>
    </row>
    <row r="1047" spans="1:2" x14ac:dyDescent="0.25">
      <c r="A1047" s="5"/>
      <c r="B1047" s="5"/>
    </row>
    <row r="1048" spans="1:2" x14ac:dyDescent="0.25">
      <c r="A1048" s="5"/>
      <c r="B1048" s="5"/>
    </row>
    <row r="1049" spans="1:2" x14ac:dyDescent="0.25">
      <c r="A1049" s="5"/>
      <c r="B1049" s="5"/>
    </row>
    <row r="1050" spans="1:2" x14ac:dyDescent="0.25">
      <c r="A1050" s="5"/>
      <c r="B1050" s="5"/>
    </row>
    <row r="1051" spans="1:2" x14ac:dyDescent="0.25">
      <c r="A1051" s="5"/>
      <c r="B1051" s="5"/>
    </row>
    <row r="1052" spans="1:2" x14ac:dyDescent="0.25">
      <c r="A1052" s="5"/>
      <c r="B1052" s="5"/>
    </row>
    <row r="1053" spans="1:2" x14ac:dyDescent="0.25">
      <c r="A1053" s="5"/>
      <c r="B1053" s="5"/>
    </row>
    <row r="1054" spans="1:2" x14ac:dyDescent="0.25">
      <c r="A1054" s="5"/>
      <c r="B1054" s="5"/>
    </row>
    <row r="1055" spans="1:2" x14ac:dyDescent="0.25">
      <c r="A1055" s="5"/>
      <c r="B1055" s="5"/>
    </row>
    <row r="1056" spans="1:2" x14ac:dyDescent="0.25">
      <c r="A1056" s="5"/>
      <c r="B1056" s="5"/>
    </row>
    <row r="1057" spans="1:2" x14ac:dyDescent="0.25">
      <c r="A1057" s="5"/>
      <c r="B1057" s="5"/>
    </row>
    <row r="1058" spans="1:2" x14ac:dyDescent="0.25">
      <c r="A1058" s="5"/>
      <c r="B1058" s="5"/>
    </row>
    <row r="1059" spans="1:2" x14ac:dyDescent="0.25">
      <c r="A1059" s="5"/>
      <c r="B1059" s="5"/>
    </row>
    <row r="1060" spans="1:2" x14ac:dyDescent="0.25">
      <c r="A1060" s="5"/>
      <c r="B1060" s="5"/>
    </row>
    <row r="1061" spans="1:2" x14ac:dyDescent="0.25">
      <c r="A1061" s="5"/>
      <c r="B1061" s="5"/>
    </row>
    <row r="1062" spans="1:2" x14ac:dyDescent="0.25">
      <c r="A1062" s="5"/>
      <c r="B1062" s="5"/>
    </row>
    <row r="1063" spans="1:2" x14ac:dyDescent="0.25">
      <c r="A1063" s="5"/>
      <c r="B1063" s="5"/>
    </row>
    <row r="1064" spans="1:2" x14ac:dyDescent="0.25">
      <c r="A1064" s="5"/>
      <c r="B1064" s="5"/>
    </row>
    <row r="1065" spans="1:2" x14ac:dyDescent="0.25">
      <c r="A1065" s="5"/>
      <c r="B1065" s="5"/>
    </row>
    <row r="1066" spans="1:2" x14ac:dyDescent="0.25">
      <c r="A1066" s="5"/>
      <c r="B1066" s="5"/>
    </row>
    <row r="1067" spans="1:2" x14ac:dyDescent="0.25">
      <c r="A1067" s="5"/>
      <c r="B1067" s="5"/>
    </row>
    <row r="1068" spans="1:2" x14ac:dyDescent="0.25">
      <c r="A1068" s="5"/>
      <c r="B1068" s="5"/>
    </row>
    <row r="1069" spans="1:2" x14ac:dyDescent="0.25">
      <c r="A1069" s="5"/>
      <c r="B1069" s="5"/>
    </row>
    <row r="1070" spans="1:2" x14ac:dyDescent="0.25">
      <c r="A1070" s="5"/>
      <c r="B1070" s="5"/>
    </row>
    <row r="1071" spans="1:2" x14ac:dyDescent="0.25">
      <c r="A1071" s="5"/>
      <c r="B1071" s="5"/>
    </row>
    <row r="1072" spans="1:2" x14ac:dyDescent="0.25">
      <c r="A1072" s="5"/>
      <c r="B1072" s="5"/>
    </row>
    <row r="1073" spans="1:2" x14ac:dyDescent="0.25">
      <c r="A1073" s="5"/>
      <c r="B1073" s="5"/>
    </row>
    <row r="1074" spans="1:2" x14ac:dyDescent="0.25">
      <c r="A1074" s="5"/>
      <c r="B1074" s="5"/>
    </row>
    <row r="1075" spans="1:2" x14ac:dyDescent="0.25">
      <c r="A1075" s="5"/>
      <c r="B1075" s="5"/>
    </row>
    <row r="1076" spans="1:2" x14ac:dyDescent="0.25">
      <c r="A1076" s="5"/>
      <c r="B1076" s="5"/>
    </row>
    <row r="1077" spans="1:2" x14ac:dyDescent="0.25">
      <c r="A1077" s="5"/>
      <c r="B1077" s="5"/>
    </row>
    <row r="1078" spans="1:2" x14ac:dyDescent="0.25">
      <c r="A1078" s="5"/>
      <c r="B1078" s="5"/>
    </row>
    <row r="1079" spans="1:2" x14ac:dyDescent="0.25">
      <c r="A1079" s="5"/>
      <c r="B1079" s="5"/>
    </row>
    <row r="1080" spans="1:2" x14ac:dyDescent="0.25">
      <c r="A1080" s="5"/>
      <c r="B1080" s="5"/>
    </row>
    <row r="1081" spans="1:2" x14ac:dyDescent="0.25">
      <c r="A1081" s="5"/>
      <c r="B1081" s="5"/>
    </row>
    <row r="1082" spans="1:2" x14ac:dyDescent="0.25">
      <c r="A1082" s="5"/>
      <c r="B1082" s="5"/>
    </row>
    <row r="1083" spans="1:2" x14ac:dyDescent="0.25">
      <c r="A1083" s="5"/>
      <c r="B1083" s="5"/>
    </row>
    <row r="1084" spans="1:2" x14ac:dyDescent="0.25">
      <c r="A1084" s="5"/>
      <c r="B1084" s="5"/>
    </row>
    <row r="1085" spans="1:2" x14ac:dyDescent="0.25">
      <c r="A1085" s="5"/>
      <c r="B1085" s="5"/>
    </row>
    <row r="1086" spans="1:2" x14ac:dyDescent="0.25">
      <c r="A1086" s="5"/>
      <c r="B1086" s="5"/>
    </row>
    <row r="1087" spans="1:2" x14ac:dyDescent="0.25">
      <c r="A1087" s="5"/>
      <c r="B1087" s="5"/>
    </row>
    <row r="1088" spans="1:2" x14ac:dyDescent="0.25">
      <c r="A1088" s="5"/>
      <c r="B1088" s="5"/>
    </row>
    <row r="1089" spans="1:2" x14ac:dyDescent="0.25">
      <c r="A1089" s="5"/>
      <c r="B1089" s="5"/>
    </row>
    <row r="1090" spans="1:2" x14ac:dyDescent="0.25">
      <c r="A1090" s="5"/>
      <c r="B1090" s="5"/>
    </row>
    <row r="1091" spans="1:2" x14ac:dyDescent="0.25">
      <c r="A1091" s="5"/>
      <c r="B1091" s="5"/>
    </row>
    <row r="1092" spans="1:2" x14ac:dyDescent="0.25">
      <c r="A1092" s="5"/>
      <c r="B1092" s="5"/>
    </row>
    <row r="1093" spans="1:2" x14ac:dyDescent="0.25">
      <c r="A1093" s="5"/>
      <c r="B1093" s="5"/>
    </row>
    <row r="1094" spans="1:2" x14ac:dyDescent="0.25">
      <c r="A1094" s="5"/>
      <c r="B1094" s="5"/>
    </row>
    <row r="1095" spans="1:2" x14ac:dyDescent="0.25">
      <c r="A1095" s="5"/>
      <c r="B1095" s="5"/>
    </row>
    <row r="1096" spans="1:2" x14ac:dyDescent="0.25">
      <c r="A1096" s="5"/>
      <c r="B1096" s="5"/>
    </row>
    <row r="1097" spans="1:2" x14ac:dyDescent="0.25">
      <c r="A1097" s="5"/>
      <c r="B1097" s="5"/>
    </row>
    <row r="1098" spans="1:2" x14ac:dyDescent="0.25">
      <c r="A1098" s="5"/>
      <c r="B1098" s="5"/>
    </row>
    <row r="1099" spans="1:2" x14ac:dyDescent="0.25">
      <c r="A1099" s="5"/>
      <c r="B1099" s="5"/>
    </row>
    <row r="1100" spans="1:2" x14ac:dyDescent="0.25">
      <c r="A1100" s="5"/>
      <c r="B1100" s="5"/>
    </row>
    <row r="1101" spans="1:2" x14ac:dyDescent="0.25">
      <c r="A1101" s="5"/>
      <c r="B1101" s="5"/>
    </row>
    <row r="1102" spans="1:2" x14ac:dyDescent="0.25">
      <c r="A1102" s="5"/>
      <c r="B1102" s="5"/>
    </row>
    <row r="1103" spans="1:2" x14ac:dyDescent="0.25">
      <c r="A1103" s="5"/>
      <c r="B1103" s="5"/>
    </row>
    <row r="1104" spans="1:2" x14ac:dyDescent="0.25">
      <c r="A1104" s="5"/>
      <c r="B1104" s="5"/>
    </row>
    <row r="1105" spans="1:2" x14ac:dyDescent="0.25">
      <c r="A1105" s="5"/>
      <c r="B1105" s="5"/>
    </row>
    <row r="1106" spans="1:2" x14ac:dyDescent="0.25">
      <c r="A1106" s="5"/>
      <c r="B1106" s="5"/>
    </row>
    <row r="1107" spans="1:2" x14ac:dyDescent="0.25">
      <c r="A1107" s="5"/>
      <c r="B1107" s="5"/>
    </row>
    <row r="1108" spans="1:2" x14ac:dyDescent="0.25">
      <c r="A1108" s="5"/>
      <c r="B1108" s="5"/>
    </row>
    <row r="1109" spans="1:2" x14ac:dyDescent="0.25">
      <c r="A1109" s="5"/>
      <c r="B1109" s="5"/>
    </row>
    <row r="1110" spans="1:2" x14ac:dyDescent="0.25">
      <c r="A1110" s="5"/>
      <c r="B1110" s="5"/>
    </row>
    <row r="1111" spans="1:2" x14ac:dyDescent="0.25">
      <c r="A1111" s="5"/>
      <c r="B1111" s="5"/>
    </row>
    <row r="1112" spans="1:2" x14ac:dyDescent="0.25">
      <c r="A1112" s="5"/>
      <c r="B1112" s="5"/>
    </row>
    <row r="1113" spans="1:2" x14ac:dyDescent="0.25">
      <c r="A1113" s="5"/>
      <c r="B1113" s="5"/>
    </row>
    <row r="1114" spans="1:2" x14ac:dyDescent="0.25">
      <c r="A1114" s="5"/>
      <c r="B1114" s="5"/>
    </row>
    <row r="1115" spans="1:2" x14ac:dyDescent="0.25">
      <c r="A1115" s="5"/>
      <c r="B1115" s="5"/>
    </row>
    <row r="1116" spans="1:2" x14ac:dyDescent="0.25">
      <c r="A1116" s="5"/>
      <c r="B1116" s="5"/>
    </row>
    <row r="1117" spans="1:2" x14ac:dyDescent="0.25">
      <c r="A1117" s="5"/>
      <c r="B1117" s="5"/>
    </row>
    <row r="1118" spans="1:2" x14ac:dyDescent="0.25">
      <c r="A1118" s="5"/>
      <c r="B1118" s="5"/>
    </row>
    <row r="1119" spans="1:2" x14ac:dyDescent="0.25">
      <c r="A1119" s="5"/>
      <c r="B1119" s="5"/>
    </row>
    <row r="1120" spans="1:2" x14ac:dyDescent="0.25">
      <c r="A1120" s="5"/>
      <c r="B1120" s="5"/>
    </row>
    <row r="1121" spans="1:2" x14ac:dyDescent="0.25">
      <c r="A1121" s="5"/>
      <c r="B1121" s="5"/>
    </row>
    <row r="1122" spans="1:2" x14ac:dyDescent="0.25">
      <c r="A1122" s="5"/>
      <c r="B1122" s="5"/>
    </row>
    <row r="1123" spans="1:2" x14ac:dyDescent="0.25">
      <c r="A1123" s="5"/>
      <c r="B1123" s="5"/>
    </row>
    <row r="1124" spans="1:2" x14ac:dyDescent="0.25">
      <c r="A1124" s="5"/>
      <c r="B1124" s="5"/>
    </row>
    <row r="1125" spans="1:2" x14ac:dyDescent="0.25">
      <c r="A1125" s="5"/>
      <c r="B1125" s="5"/>
    </row>
    <row r="1126" spans="1:2" x14ac:dyDescent="0.25">
      <c r="A1126" s="5"/>
      <c r="B1126" s="5"/>
    </row>
    <row r="1127" spans="1:2" x14ac:dyDescent="0.25">
      <c r="A1127" s="5"/>
      <c r="B1127" s="5"/>
    </row>
    <row r="1128" spans="1:2" x14ac:dyDescent="0.25">
      <c r="A1128" s="5"/>
      <c r="B1128" s="5"/>
    </row>
    <row r="1129" spans="1:2" x14ac:dyDescent="0.25">
      <c r="A1129" s="5"/>
      <c r="B1129" s="5"/>
    </row>
    <row r="1130" spans="1:2" x14ac:dyDescent="0.25">
      <c r="A1130" s="5"/>
      <c r="B1130" s="5"/>
    </row>
    <row r="1131" spans="1:2" x14ac:dyDescent="0.25">
      <c r="A1131" s="5"/>
      <c r="B1131" s="5"/>
    </row>
    <row r="1132" spans="1:2" x14ac:dyDescent="0.25">
      <c r="A1132" s="5"/>
      <c r="B1132" s="5"/>
    </row>
    <row r="1133" spans="1:2" x14ac:dyDescent="0.25">
      <c r="A1133" s="5"/>
      <c r="B1133" s="5"/>
    </row>
    <row r="1134" spans="1:2" x14ac:dyDescent="0.25">
      <c r="A1134" s="5"/>
      <c r="B1134" s="5"/>
    </row>
    <row r="1135" spans="1:2" x14ac:dyDescent="0.25">
      <c r="A1135" s="5"/>
      <c r="B1135" s="5"/>
    </row>
    <row r="1136" spans="1:2" x14ac:dyDescent="0.25">
      <c r="A1136" s="5"/>
      <c r="B1136" s="5"/>
    </row>
    <row r="1137" spans="1:2" x14ac:dyDescent="0.25">
      <c r="A1137" s="5"/>
      <c r="B1137" s="5"/>
    </row>
    <row r="1138" spans="1:2" x14ac:dyDescent="0.25">
      <c r="A1138" s="5"/>
      <c r="B1138" s="5"/>
    </row>
    <row r="1139" spans="1:2" x14ac:dyDescent="0.25">
      <c r="A1139" s="5"/>
      <c r="B1139" s="5"/>
    </row>
    <row r="1140" spans="1:2" x14ac:dyDescent="0.25">
      <c r="A1140" s="5"/>
      <c r="B1140" s="5"/>
    </row>
    <row r="1141" spans="1:2" x14ac:dyDescent="0.25">
      <c r="A1141" s="5"/>
      <c r="B1141" s="5"/>
    </row>
    <row r="1142" spans="1:2" x14ac:dyDescent="0.25">
      <c r="A1142" s="5"/>
      <c r="B1142" s="5"/>
    </row>
    <row r="1143" spans="1:2" x14ac:dyDescent="0.25">
      <c r="A1143" s="5"/>
      <c r="B1143" s="5"/>
    </row>
    <row r="1144" spans="1:2" x14ac:dyDescent="0.25">
      <c r="A1144" s="5"/>
      <c r="B1144" s="5"/>
    </row>
    <row r="1145" spans="1:2" x14ac:dyDescent="0.25">
      <c r="A1145" s="5"/>
      <c r="B1145" s="5"/>
    </row>
    <row r="1146" spans="1:2" x14ac:dyDescent="0.25">
      <c r="A1146" s="5"/>
      <c r="B1146" s="5"/>
    </row>
    <row r="1147" spans="1:2" x14ac:dyDescent="0.25">
      <c r="A1147" s="5"/>
      <c r="B1147" s="5"/>
    </row>
    <row r="1148" spans="1:2" x14ac:dyDescent="0.25">
      <c r="A1148" s="5"/>
      <c r="B1148" s="5"/>
    </row>
    <row r="1149" spans="1:2" x14ac:dyDescent="0.25">
      <c r="A1149" s="5"/>
      <c r="B1149" s="5"/>
    </row>
    <row r="1150" spans="1:2" x14ac:dyDescent="0.25">
      <c r="A1150" s="5"/>
      <c r="B1150" s="5"/>
    </row>
    <row r="1151" spans="1:2" x14ac:dyDescent="0.25">
      <c r="A1151" s="5"/>
      <c r="B1151" s="5"/>
    </row>
    <row r="1152" spans="1:2" x14ac:dyDescent="0.25">
      <c r="A1152" s="5"/>
      <c r="B1152" s="5"/>
    </row>
    <row r="1153" spans="1:2" x14ac:dyDescent="0.25">
      <c r="A1153" s="5"/>
      <c r="B1153" s="5"/>
    </row>
    <row r="1154" spans="1:2" x14ac:dyDescent="0.25">
      <c r="A1154" s="5"/>
      <c r="B1154" s="5"/>
    </row>
    <row r="1155" spans="1:2" x14ac:dyDescent="0.25">
      <c r="A1155" s="5"/>
      <c r="B1155" s="5"/>
    </row>
    <row r="1156" spans="1:2" x14ac:dyDescent="0.25">
      <c r="A1156" s="5"/>
      <c r="B1156" s="5"/>
    </row>
    <row r="1157" spans="1:2" x14ac:dyDescent="0.25">
      <c r="A1157" s="5"/>
      <c r="B1157" s="5"/>
    </row>
    <row r="1158" spans="1:2" x14ac:dyDescent="0.25">
      <c r="A1158" s="5"/>
      <c r="B1158" s="5"/>
    </row>
    <row r="1159" spans="1:2" x14ac:dyDescent="0.25">
      <c r="A1159" s="5"/>
      <c r="B1159" s="5"/>
    </row>
    <row r="1160" spans="1:2" x14ac:dyDescent="0.25">
      <c r="A1160" s="5"/>
      <c r="B1160" s="5"/>
    </row>
    <row r="1161" spans="1:2" x14ac:dyDescent="0.25">
      <c r="A1161" s="5"/>
      <c r="B1161" s="5"/>
    </row>
    <row r="1162" spans="1:2" x14ac:dyDescent="0.25">
      <c r="A1162" s="5"/>
      <c r="B1162" s="5"/>
    </row>
    <row r="1163" spans="1:2" x14ac:dyDescent="0.25">
      <c r="A1163" s="5"/>
      <c r="B1163" s="5"/>
    </row>
    <row r="1164" spans="1:2" x14ac:dyDescent="0.25">
      <c r="A1164" s="5"/>
      <c r="B1164" s="5"/>
    </row>
    <row r="1165" spans="1:2" x14ac:dyDescent="0.25">
      <c r="A1165" s="5"/>
      <c r="B1165" s="5"/>
    </row>
    <row r="1166" spans="1:2" x14ac:dyDescent="0.25">
      <c r="A1166" s="5"/>
      <c r="B1166" s="5"/>
    </row>
    <row r="1167" spans="1:2" x14ac:dyDescent="0.25">
      <c r="A1167" s="5"/>
      <c r="B1167" s="5"/>
    </row>
    <row r="1168" spans="1:2" x14ac:dyDescent="0.25">
      <c r="A1168" s="5"/>
      <c r="B1168" s="5"/>
    </row>
    <row r="1169" spans="1:2" x14ac:dyDescent="0.25">
      <c r="A1169" s="5"/>
      <c r="B1169" s="5"/>
    </row>
    <row r="1170" spans="1:2" x14ac:dyDescent="0.25">
      <c r="A1170" s="5"/>
      <c r="B1170" s="5"/>
    </row>
    <row r="1171" spans="1:2" x14ac:dyDescent="0.25">
      <c r="A1171" s="5"/>
      <c r="B1171" s="5"/>
    </row>
    <row r="1172" spans="1:2" x14ac:dyDescent="0.25">
      <c r="A1172" s="5"/>
      <c r="B1172" s="5"/>
    </row>
    <row r="1173" spans="1:2" x14ac:dyDescent="0.25">
      <c r="A1173" s="5"/>
      <c r="B1173" s="5"/>
    </row>
    <row r="1174" spans="1:2" x14ac:dyDescent="0.25">
      <c r="A1174" s="5"/>
      <c r="B1174" s="5"/>
    </row>
    <row r="1175" spans="1:2" x14ac:dyDescent="0.25">
      <c r="A1175" s="5"/>
      <c r="B1175" s="5"/>
    </row>
    <row r="1176" spans="1:2" x14ac:dyDescent="0.25">
      <c r="A1176" s="5"/>
      <c r="B1176" s="5"/>
    </row>
    <row r="1177" spans="1:2" x14ac:dyDescent="0.25">
      <c r="A1177" s="5"/>
      <c r="B1177" s="5"/>
    </row>
    <row r="1178" spans="1:2" x14ac:dyDescent="0.25">
      <c r="A1178" s="5"/>
      <c r="B1178" s="5"/>
    </row>
    <row r="1179" spans="1:2" x14ac:dyDescent="0.25">
      <c r="A1179" s="5"/>
      <c r="B1179" s="5"/>
    </row>
    <row r="1180" spans="1:2" x14ac:dyDescent="0.25">
      <c r="A1180" s="5"/>
      <c r="B1180" s="5"/>
    </row>
    <row r="1181" spans="1:2" x14ac:dyDescent="0.25">
      <c r="A1181" s="5"/>
      <c r="B1181" s="5"/>
    </row>
    <row r="1182" spans="1:2" x14ac:dyDescent="0.25">
      <c r="A1182" s="5"/>
      <c r="B1182" s="5"/>
    </row>
    <row r="1183" spans="1:2" x14ac:dyDescent="0.25">
      <c r="A1183" s="5"/>
      <c r="B1183" s="5"/>
    </row>
    <row r="1184" spans="1:2" x14ac:dyDescent="0.25">
      <c r="A1184" s="5"/>
      <c r="B1184" s="5"/>
    </row>
    <row r="1185" spans="1:2" x14ac:dyDescent="0.25">
      <c r="A1185" s="5"/>
      <c r="B1185" s="5"/>
    </row>
    <row r="1186" spans="1:2" x14ac:dyDescent="0.25">
      <c r="A1186" s="5"/>
      <c r="B1186" s="5"/>
    </row>
    <row r="1187" spans="1:2" x14ac:dyDescent="0.25">
      <c r="A1187" s="5"/>
      <c r="B1187" s="5"/>
    </row>
    <row r="1188" spans="1:2" x14ac:dyDescent="0.25">
      <c r="A1188" s="5"/>
      <c r="B1188" s="5"/>
    </row>
    <row r="1189" spans="1:2" x14ac:dyDescent="0.25">
      <c r="A1189" s="5"/>
      <c r="B1189" s="5"/>
    </row>
    <row r="1190" spans="1:2" x14ac:dyDescent="0.25">
      <c r="A1190" s="5"/>
      <c r="B1190" s="5"/>
    </row>
    <row r="1191" spans="1:2" x14ac:dyDescent="0.25">
      <c r="A1191" s="5"/>
      <c r="B1191" s="5"/>
    </row>
    <row r="1192" spans="1:2" x14ac:dyDescent="0.25">
      <c r="A1192" s="5"/>
      <c r="B1192" s="5"/>
    </row>
    <row r="1193" spans="1:2" x14ac:dyDescent="0.25">
      <c r="A1193" s="5"/>
      <c r="B1193" s="5"/>
    </row>
    <row r="1194" spans="1:2" x14ac:dyDescent="0.25">
      <c r="A1194" s="5"/>
      <c r="B1194" s="5"/>
    </row>
    <row r="1195" spans="1:2" x14ac:dyDescent="0.25">
      <c r="A1195" s="5"/>
      <c r="B1195" s="5"/>
    </row>
    <row r="1196" spans="1:2" x14ac:dyDescent="0.25">
      <c r="A1196" s="5"/>
      <c r="B1196" s="5"/>
    </row>
    <row r="1197" spans="1:2" x14ac:dyDescent="0.25">
      <c r="A1197" s="5"/>
      <c r="B1197" s="5"/>
    </row>
    <row r="1198" spans="1:2" x14ac:dyDescent="0.25">
      <c r="A1198" s="5"/>
      <c r="B1198" s="5"/>
    </row>
    <row r="1199" spans="1:2" x14ac:dyDescent="0.25">
      <c r="A1199" s="5"/>
      <c r="B1199" s="5"/>
    </row>
    <row r="1200" spans="1:2" x14ac:dyDescent="0.25">
      <c r="A1200" s="5"/>
      <c r="B1200" s="5"/>
    </row>
    <row r="1201" spans="1:2" x14ac:dyDescent="0.25">
      <c r="A1201" s="5"/>
      <c r="B1201" s="5"/>
    </row>
    <row r="1202" spans="1:2" x14ac:dyDescent="0.25">
      <c r="A1202" s="5"/>
      <c r="B1202" s="5"/>
    </row>
    <row r="1203" spans="1:2" x14ac:dyDescent="0.25">
      <c r="A1203" s="5"/>
      <c r="B1203" s="5"/>
    </row>
    <row r="1204" spans="1:2" x14ac:dyDescent="0.25">
      <c r="A1204" s="5"/>
      <c r="B1204" s="5"/>
    </row>
    <row r="1205" spans="1:2" x14ac:dyDescent="0.25">
      <c r="A1205" s="5"/>
      <c r="B1205" s="5"/>
    </row>
    <row r="1206" spans="1:2" x14ac:dyDescent="0.25">
      <c r="A1206" s="5"/>
      <c r="B1206" s="5"/>
    </row>
    <row r="1207" spans="1:2" x14ac:dyDescent="0.25">
      <c r="A1207" s="5"/>
      <c r="B1207" s="5"/>
    </row>
    <row r="1208" spans="1:2" x14ac:dyDescent="0.25">
      <c r="A1208" s="5"/>
      <c r="B1208" s="5"/>
    </row>
    <row r="1209" spans="1:2" x14ac:dyDescent="0.25">
      <c r="A1209" s="5"/>
      <c r="B1209" s="5"/>
    </row>
    <row r="1210" spans="1:2" x14ac:dyDescent="0.25">
      <c r="A1210" s="5"/>
      <c r="B1210" s="5"/>
    </row>
    <row r="1211" spans="1:2" x14ac:dyDescent="0.25">
      <c r="A1211" s="5"/>
      <c r="B1211" s="5"/>
    </row>
    <row r="1212" spans="1:2" x14ac:dyDescent="0.25">
      <c r="A1212" s="5"/>
      <c r="B1212" s="5"/>
    </row>
    <row r="1213" spans="1:2" x14ac:dyDescent="0.25">
      <c r="A1213" s="5"/>
      <c r="B1213" s="5"/>
    </row>
    <row r="1214" spans="1:2" x14ac:dyDescent="0.25">
      <c r="A1214" s="5"/>
      <c r="B1214" s="5"/>
    </row>
    <row r="1215" spans="1:2" x14ac:dyDescent="0.25">
      <c r="A1215" s="5"/>
      <c r="B1215" s="5"/>
    </row>
    <row r="1216" spans="1:2" x14ac:dyDescent="0.25">
      <c r="A1216" s="5"/>
      <c r="B1216" s="5"/>
    </row>
    <row r="1217" spans="1:2" x14ac:dyDescent="0.25">
      <c r="A1217" s="5"/>
      <c r="B1217" s="5"/>
    </row>
    <row r="1218" spans="1:2" x14ac:dyDescent="0.25">
      <c r="A1218" s="5"/>
      <c r="B1218" s="5"/>
    </row>
    <row r="1219" spans="1:2" x14ac:dyDescent="0.25">
      <c r="A1219" s="5"/>
      <c r="B1219" s="5"/>
    </row>
    <row r="1220" spans="1:2" x14ac:dyDescent="0.25">
      <c r="A1220" s="5"/>
      <c r="B1220" s="5"/>
    </row>
    <row r="1221" spans="1:2" x14ac:dyDescent="0.25">
      <c r="A1221" s="5"/>
      <c r="B1221" s="5"/>
    </row>
    <row r="1222" spans="1:2" x14ac:dyDescent="0.25">
      <c r="A1222" s="5"/>
      <c r="B1222" s="5"/>
    </row>
    <row r="1223" spans="1:2" x14ac:dyDescent="0.25">
      <c r="A1223" s="5"/>
      <c r="B1223" s="5"/>
    </row>
    <row r="1224" spans="1:2" x14ac:dyDescent="0.25">
      <c r="A1224" s="5"/>
      <c r="B1224" s="5"/>
    </row>
    <row r="1225" spans="1:2" x14ac:dyDescent="0.25">
      <c r="A1225" s="5"/>
      <c r="B1225" s="5"/>
    </row>
    <row r="1226" spans="1:2" x14ac:dyDescent="0.25">
      <c r="A1226" s="5"/>
      <c r="B1226" s="5"/>
    </row>
    <row r="1227" spans="1:2" x14ac:dyDescent="0.25">
      <c r="A1227" s="5"/>
      <c r="B1227" s="5"/>
    </row>
    <row r="1228" spans="1:2" x14ac:dyDescent="0.25">
      <c r="A1228" s="5"/>
      <c r="B1228" s="5"/>
    </row>
    <row r="1229" spans="1:2" x14ac:dyDescent="0.25">
      <c r="A1229" s="5"/>
      <c r="B1229" s="5"/>
    </row>
    <row r="1230" spans="1:2" x14ac:dyDescent="0.25">
      <c r="A1230" s="5"/>
      <c r="B1230" s="5"/>
    </row>
    <row r="1231" spans="1:2" x14ac:dyDescent="0.25">
      <c r="A1231" s="5"/>
      <c r="B1231" s="5"/>
    </row>
    <row r="1232" spans="1:2" x14ac:dyDescent="0.25">
      <c r="A1232" s="5"/>
      <c r="B1232" s="5"/>
    </row>
    <row r="1233" spans="1:2" x14ac:dyDescent="0.25">
      <c r="A1233" s="5"/>
      <c r="B1233" s="5"/>
    </row>
    <row r="1234" spans="1:2" x14ac:dyDescent="0.25">
      <c r="A1234" s="5"/>
      <c r="B1234" s="5"/>
    </row>
    <row r="1235" spans="1:2" x14ac:dyDescent="0.25">
      <c r="A1235" s="5"/>
      <c r="B1235" s="5"/>
    </row>
    <row r="1236" spans="1:2" x14ac:dyDescent="0.25">
      <c r="A1236" s="5"/>
      <c r="B1236" s="5"/>
    </row>
    <row r="1237" spans="1:2" x14ac:dyDescent="0.25">
      <c r="A1237" s="5"/>
      <c r="B1237" s="5"/>
    </row>
    <row r="1238" spans="1:2" x14ac:dyDescent="0.25">
      <c r="A1238" s="5"/>
      <c r="B1238" s="5"/>
    </row>
    <row r="1239" spans="1:2" x14ac:dyDescent="0.25">
      <c r="A1239" s="5"/>
      <c r="B1239" s="5"/>
    </row>
    <row r="1240" spans="1:2" x14ac:dyDescent="0.25">
      <c r="A1240" s="5"/>
      <c r="B1240" s="5"/>
    </row>
    <row r="1241" spans="1:2" x14ac:dyDescent="0.25">
      <c r="A1241" s="5"/>
      <c r="B1241" s="5"/>
    </row>
    <row r="1242" spans="1:2" x14ac:dyDescent="0.25">
      <c r="A1242" s="5"/>
      <c r="B1242" s="5"/>
    </row>
    <row r="1243" spans="1:2" x14ac:dyDescent="0.25">
      <c r="A1243" s="5"/>
      <c r="B1243" s="5"/>
    </row>
    <row r="1244" spans="1:2" x14ac:dyDescent="0.25">
      <c r="A1244" s="5"/>
      <c r="B1244" s="5"/>
    </row>
    <row r="1245" spans="1:2" x14ac:dyDescent="0.25">
      <c r="A1245" s="5"/>
      <c r="B1245" s="5"/>
    </row>
    <row r="1246" spans="1:2" x14ac:dyDescent="0.25">
      <c r="A1246" s="5"/>
      <c r="B1246" s="5"/>
    </row>
    <row r="1247" spans="1:2" x14ac:dyDescent="0.25">
      <c r="A1247" s="5"/>
      <c r="B1247" s="5"/>
    </row>
    <row r="1248" spans="1:2" x14ac:dyDescent="0.25">
      <c r="A1248" s="5"/>
      <c r="B1248" s="5"/>
    </row>
    <row r="1249" spans="1:2" x14ac:dyDescent="0.25">
      <c r="A1249" s="5"/>
      <c r="B1249" s="5"/>
    </row>
    <row r="1250" spans="1:2" x14ac:dyDescent="0.25">
      <c r="A1250" s="5"/>
      <c r="B1250" s="5"/>
    </row>
    <row r="1251" spans="1:2" x14ac:dyDescent="0.25">
      <c r="A1251" s="5"/>
      <c r="B1251" s="5"/>
    </row>
    <row r="1252" spans="1:2" x14ac:dyDescent="0.25">
      <c r="A1252" s="5"/>
      <c r="B1252" s="5"/>
    </row>
    <row r="1253" spans="1:2" x14ac:dyDescent="0.25">
      <c r="A1253" s="5"/>
      <c r="B1253" s="5"/>
    </row>
    <row r="1254" spans="1:2" x14ac:dyDescent="0.25">
      <c r="A1254" s="5"/>
      <c r="B1254" s="5"/>
    </row>
    <row r="1255" spans="1:2" x14ac:dyDescent="0.25">
      <c r="A1255" s="5"/>
      <c r="B1255" s="5"/>
    </row>
    <row r="1256" spans="1:2" x14ac:dyDescent="0.25">
      <c r="A1256" s="5"/>
      <c r="B1256" s="5"/>
    </row>
    <row r="1257" spans="1:2" x14ac:dyDescent="0.25">
      <c r="A1257" s="5"/>
      <c r="B1257" s="5"/>
    </row>
    <row r="1258" spans="1:2" x14ac:dyDescent="0.25">
      <c r="A1258" s="5"/>
      <c r="B1258" s="5"/>
    </row>
    <row r="1259" spans="1:2" x14ac:dyDescent="0.25">
      <c r="A1259" s="5"/>
      <c r="B1259" s="5"/>
    </row>
    <row r="1260" spans="1:2" x14ac:dyDescent="0.25">
      <c r="A1260" s="5"/>
      <c r="B1260" s="5"/>
    </row>
    <row r="1261" spans="1:2" x14ac:dyDescent="0.25">
      <c r="A1261" s="5"/>
      <c r="B1261" s="5"/>
    </row>
    <row r="1262" spans="1:2" x14ac:dyDescent="0.25">
      <c r="A1262" s="5"/>
      <c r="B1262" s="5"/>
    </row>
    <row r="1263" spans="1:2" x14ac:dyDescent="0.25">
      <c r="A1263" s="5"/>
      <c r="B1263" s="5"/>
    </row>
    <row r="1264" spans="1:2" x14ac:dyDescent="0.25">
      <c r="A1264" s="5"/>
      <c r="B1264" s="5"/>
    </row>
    <row r="1265" spans="1:2" x14ac:dyDescent="0.25">
      <c r="A1265" s="5"/>
      <c r="B1265" s="5"/>
    </row>
    <row r="1266" spans="1:2" x14ac:dyDescent="0.25">
      <c r="A1266" s="5"/>
      <c r="B1266" s="5"/>
    </row>
    <row r="1267" spans="1:2" x14ac:dyDescent="0.25">
      <c r="A1267" s="5"/>
      <c r="B1267" s="5"/>
    </row>
    <row r="1268" spans="1:2" x14ac:dyDescent="0.25">
      <c r="A1268" s="5"/>
      <c r="B1268" s="5"/>
    </row>
    <row r="1269" spans="1:2" x14ac:dyDescent="0.25">
      <c r="A1269" s="5"/>
      <c r="B1269" s="5"/>
    </row>
    <row r="1270" spans="1:2" x14ac:dyDescent="0.25">
      <c r="A1270" s="5"/>
      <c r="B1270" s="5"/>
    </row>
    <row r="1271" spans="1:2" x14ac:dyDescent="0.25">
      <c r="A1271" s="5"/>
      <c r="B1271" s="5"/>
    </row>
    <row r="1272" spans="1:2" x14ac:dyDescent="0.25">
      <c r="A1272" s="5"/>
      <c r="B1272" s="5"/>
    </row>
    <row r="1273" spans="1:2" x14ac:dyDescent="0.25">
      <c r="A1273" s="5"/>
      <c r="B1273" s="5"/>
    </row>
    <row r="1274" spans="1:2" x14ac:dyDescent="0.25">
      <c r="A1274" s="5"/>
      <c r="B1274" s="5"/>
    </row>
    <row r="1275" spans="1:2" x14ac:dyDescent="0.25">
      <c r="A1275" s="5"/>
      <c r="B1275" s="5"/>
    </row>
    <row r="1276" spans="1:2" x14ac:dyDescent="0.25">
      <c r="A1276" s="5"/>
      <c r="B1276" s="5"/>
    </row>
    <row r="1277" spans="1:2" x14ac:dyDescent="0.25">
      <c r="A1277" s="5"/>
      <c r="B1277" s="5"/>
    </row>
    <row r="1278" spans="1:2" x14ac:dyDescent="0.25">
      <c r="A1278" s="5"/>
      <c r="B1278" s="5"/>
    </row>
    <row r="1279" spans="1:2" x14ac:dyDescent="0.25">
      <c r="A1279" s="5"/>
      <c r="B1279" s="5"/>
    </row>
    <row r="1280" spans="1:2" x14ac:dyDescent="0.25">
      <c r="A1280" s="5"/>
      <c r="B1280" s="5"/>
    </row>
    <row r="1281" spans="1:2" x14ac:dyDescent="0.25">
      <c r="A1281" s="5"/>
      <c r="B1281" s="5"/>
    </row>
    <row r="1282" spans="1:2" x14ac:dyDescent="0.25">
      <c r="A1282" s="5"/>
      <c r="B1282" s="5"/>
    </row>
    <row r="1283" spans="1:2" x14ac:dyDescent="0.25">
      <c r="A1283" s="5"/>
      <c r="B1283" s="5"/>
    </row>
    <row r="1284" spans="1:2" x14ac:dyDescent="0.25">
      <c r="A1284" s="5"/>
      <c r="B1284" s="5"/>
    </row>
    <row r="1285" spans="1:2" x14ac:dyDescent="0.25">
      <c r="A1285" s="5"/>
      <c r="B1285" s="5"/>
    </row>
    <row r="1286" spans="1:2" x14ac:dyDescent="0.25">
      <c r="A1286" s="5"/>
      <c r="B1286" s="5"/>
    </row>
    <row r="1287" spans="1:2" x14ac:dyDescent="0.25">
      <c r="A1287" s="5"/>
      <c r="B1287" s="5"/>
    </row>
    <row r="1288" spans="1:2" x14ac:dyDescent="0.25">
      <c r="A1288" s="5"/>
      <c r="B1288" s="5"/>
    </row>
    <row r="1289" spans="1:2" x14ac:dyDescent="0.25">
      <c r="A1289" s="5"/>
      <c r="B1289" s="5"/>
    </row>
    <row r="1290" spans="1:2" x14ac:dyDescent="0.25">
      <c r="A1290" s="5"/>
      <c r="B1290" s="5"/>
    </row>
    <row r="1291" spans="1:2" x14ac:dyDescent="0.25">
      <c r="A1291" s="5"/>
      <c r="B1291" s="5"/>
    </row>
    <row r="1292" spans="1:2" x14ac:dyDescent="0.25">
      <c r="A1292" s="5"/>
      <c r="B1292" s="5"/>
    </row>
    <row r="1293" spans="1:2" x14ac:dyDescent="0.25">
      <c r="A1293" s="5"/>
      <c r="B1293" s="5"/>
    </row>
    <row r="1294" spans="1:2" x14ac:dyDescent="0.25">
      <c r="A1294" s="5"/>
      <c r="B1294" s="5"/>
    </row>
    <row r="1295" spans="1:2" x14ac:dyDescent="0.25">
      <c r="A1295" s="5"/>
      <c r="B1295" s="5"/>
    </row>
    <row r="1296" spans="1:2" x14ac:dyDescent="0.25">
      <c r="A1296" s="5"/>
      <c r="B1296" s="5"/>
    </row>
    <row r="1297" spans="1:2" x14ac:dyDescent="0.25">
      <c r="A1297" s="5"/>
      <c r="B1297" s="5"/>
    </row>
    <row r="1298" spans="1:2" x14ac:dyDescent="0.25">
      <c r="A1298" s="5"/>
      <c r="B1298" s="5"/>
    </row>
    <row r="1299" spans="1:2" x14ac:dyDescent="0.25">
      <c r="A1299" s="5"/>
      <c r="B1299" s="5"/>
    </row>
    <row r="1300" spans="1:2" x14ac:dyDescent="0.25">
      <c r="A1300" s="5"/>
      <c r="B1300" s="5"/>
    </row>
    <row r="1301" spans="1:2" x14ac:dyDescent="0.25">
      <c r="A1301" s="5"/>
      <c r="B1301" s="5"/>
    </row>
    <row r="1302" spans="1:2" x14ac:dyDescent="0.25">
      <c r="A1302" s="5"/>
      <c r="B1302" s="5"/>
    </row>
    <row r="1303" spans="1:2" x14ac:dyDescent="0.25">
      <c r="A1303" s="5"/>
      <c r="B1303" s="5"/>
    </row>
    <row r="1304" spans="1:2" x14ac:dyDescent="0.25">
      <c r="A1304" s="5"/>
      <c r="B1304" s="5"/>
    </row>
    <row r="1305" spans="1:2" x14ac:dyDescent="0.25">
      <c r="A1305" s="5"/>
      <c r="B1305" s="5"/>
    </row>
    <row r="1306" spans="1:2" x14ac:dyDescent="0.25">
      <c r="A1306" s="5"/>
      <c r="B1306" s="5"/>
    </row>
    <row r="1307" spans="1:2" x14ac:dyDescent="0.25">
      <c r="A1307" s="5"/>
      <c r="B1307" s="5"/>
    </row>
    <row r="1308" spans="1:2" x14ac:dyDescent="0.25">
      <c r="A1308" s="5"/>
      <c r="B1308" s="5"/>
    </row>
    <row r="1309" spans="1:2" x14ac:dyDescent="0.25">
      <c r="A1309" s="5"/>
      <c r="B1309" s="5"/>
    </row>
    <row r="1310" spans="1:2" x14ac:dyDescent="0.25">
      <c r="A1310" s="5"/>
      <c r="B1310" s="5"/>
    </row>
    <row r="1311" spans="1:2" x14ac:dyDescent="0.25">
      <c r="A1311" s="5"/>
      <c r="B1311" s="5"/>
    </row>
    <row r="1312" spans="1:2" x14ac:dyDescent="0.25">
      <c r="A1312" s="5"/>
      <c r="B1312" s="5"/>
    </row>
    <row r="1313" spans="1:2" x14ac:dyDescent="0.25">
      <c r="A1313" s="5"/>
      <c r="B1313" s="5"/>
    </row>
    <row r="1314" spans="1:2" x14ac:dyDescent="0.25">
      <c r="A1314" s="5"/>
      <c r="B1314" s="5"/>
    </row>
    <row r="1315" spans="1:2" x14ac:dyDescent="0.25">
      <c r="A1315" s="5"/>
      <c r="B1315" s="5"/>
    </row>
    <row r="1316" spans="1:2" x14ac:dyDescent="0.25">
      <c r="A1316" s="5"/>
      <c r="B1316" s="5"/>
    </row>
    <row r="1317" spans="1:2" x14ac:dyDescent="0.25">
      <c r="A1317" s="5"/>
      <c r="B1317" s="5"/>
    </row>
    <row r="1318" spans="1:2" x14ac:dyDescent="0.25">
      <c r="A1318" s="5"/>
      <c r="B1318" s="5"/>
    </row>
    <row r="1319" spans="1:2" x14ac:dyDescent="0.25">
      <c r="A1319" s="5"/>
      <c r="B1319" s="5"/>
    </row>
    <row r="1320" spans="1:2" x14ac:dyDescent="0.25">
      <c r="A1320" s="5"/>
      <c r="B1320" s="5"/>
    </row>
    <row r="1321" spans="1:2" x14ac:dyDescent="0.25">
      <c r="A1321" s="5"/>
      <c r="B1321" s="5"/>
    </row>
    <row r="1322" spans="1:2" x14ac:dyDescent="0.25">
      <c r="A1322" s="5"/>
      <c r="B1322" s="5"/>
    </row>
    <row r="1323" spans="1:2" x14ac:dyDescent="0.25">
      <c r="A1323" s="5"/>
      <c r="B1323" s="5"/>
    </row>
    <row r="1324" spans="1:2" x14ac:dyDescent="0.25">
      <c r="A1324" s="5"/>
      <c r="B1324" s="5"/>
    </row>
    <row r="1325" spans="1:2" x14ac:dyDescent="0.25">
      <c r="A1325" s="5"/>
      <c r="B1325" s="5"/>
    </row>
    <row r="1326" spans="1:2" x14ac:dyDescent="0.25">
      <c r="A1326" s="5"/>
      <c r="B1326" s="5"/>
    </row>
    <row r="1327" spans="1:2" x14ac:dyDescent="0.25">
      <c r="A1327" s="5"/>
      <c r="B1327" s="5"/>
    </row>
    <row r="1328" spans="1:2" x14ac:dyDescent="0.25">
      <c r="A1328" s="5"/>
      <c r="B1328" s="5"/>
    </row>
    <row r="1329" spans="1:2" x14ac:dyDescent="0.25">
      <c r="A1329" s="5"/>
      <c r="B1329" s="5"/>
    </row>
    <row r="1330" spans="1:2" x14ac:dyDescent="0.25">
      <c r="A1330" s="5"/>
      <c r="B1330" s="5"/>
    </row>
    <row r="1331" spans="1:2" x14ac:dyDescent="0.25">
      <c r="A1331" s="5"/>
      <c r="B1331" s="5"/>
    </row>
    <row r="1332" spans="1:2" x14ac:dyDescent="0.25">
      <c r="A1332" s="5"/>
      <c r="B1332" s="5"/>
    </row>
    <row r="1333" spans="1:2" x14ac:dyDescent="0.25">
      <c r="A1333" s="5"/>
      <c r="B1333" s="5"/>
    </row>
    <row r="1334" spans="1:2" x14ac:dyDescent="0.25">
      <c r="A1334" s="5"/>
      <c r="B1334" s="5"/>
    </row>
    <row r="1335" spans="1:2" x14ac:dyDescent="0.25">
      <c r="A1335" s="5"/>
      <c r="B1335" s="5"/>
    </row>
    <row r="1336" spans="1:2" x14ac:dyDescent="0.25">
      <c r="A1336" s="5"/>
      <c r="B1336" s="5"/>
    </row>
    <row r="1337" spans="1:2" x14ac:dyDescent="0.25">
      <c r="A1337" s="5"/>
      <c r="B1337" s="5"/>
    </row>
    <row r="1338" spans="1:2" x14ac:dyDescent="0.25">
      <c r="A1338" s="5"/>
      <c r="B1338" s="5"/>
    </row>
    <row r="1339" spans="1:2" x14ac:dyDescent="0.25">
      <c r="A1339" s="5"/>
      <c r="B1339" s="5"/>
    </row>
    <row r="1340" spans="1:2" x14ac:dyDescent="0.25">
      <c r="A1340" s="5"/>
      <c r="B1340" s="5"/>
    </row>
    <row r="1341" spans="1:2" x14ac:dyDescent="0.25">
      <c r="A1341" s="5"/>
      <c r="B1341" s="5"/>
    </row>
    <row r="1342" spans="1:2" x14ac:dyDescent="0.25">
      <c r="A1342" s="5"/>
      <c r="B1342" s="5"/>
    </row>
    <row r="1343" spans="1:2" x14ac:dyDescent="0.25">
      <c r="A1343" s="5"/>
      <c r="B1343" s="5"/>
    </row>
    <row r="1344" spans="1:2" x14ac:dyDescent="0.25">
      <c r="A1344" s="5"/>
      <c r="B1344" s="5"/>
    </row>
    <row r="1345" spans="1:2" x14ac:dyDescent="0.25">
      <c r="A1345" s="5"/>
      <c r="B1345" s="5"/>
    </row>
    <row r="1346" spans="1:2" x14ac:dyDescent="0.25">
      <c r="A1346" s="5"/>
      <c r="B1346" s="5"/>
    </row>
    <row r="1347" spans="1:2" x14ac:dyDescent="0.25">
      <c r="A1347" s="5"/>
      <c r="B1347" s="5"/>
    </row>
    <row r="1348" spans="1:2" x14ac:dyDescent="0.25">
      <c r="A1348" s="5"/>
      <c r="B1348" s="5"/>
    </row>
    <row r="1349" spans="1:2" x14ac:dyDescent="0.25">
      <c r="A1349" s="5"/>
      <c r="B1349" s="5"/>
    </row>
    <row r="1350" spans="1:2" x14ac:dyDescent="0.25">
      <c r="A1350" s="5"/>
      <c r="B1350" s="5"/>
    </row>
    <row r="1351" spans="1:2" x14ac:dyDescent="0.25">
      <c r="A1351" s="5"/>
      <c r="B1351" s="5"/>
    </row>
    <row r="1352" spans="1:2" x14ac:dyDescent="0.25">
      <c r="A1352" s="5"/>
      <c r="B1352" s="5"/>
    </row>
    <row r="1353" spans="1:2" x14ac:dyDescent="0.25">
      <c r="A1353" s="5"/>
      <c r="B1353" s="5"/>
    </row>
    <row r="1354" spans="1:2" x14ac:dyDescent="0.25">
      <c r="A1354" s="5"/>
      <c r="B1354" s="5"/>
    </row>
    <row r="1355" spans="1:2" x14ac:dyDescent="0.25">
      <c r="A1355" s="5"/>
      <c r="B1355" s="5"/>
    </row>
    <row r="1356" spans="1:2" x14ac:dyDescent="0.25">
      <c r="A1356" s="5"/>
      <c r="B1356" s="5"/>
    </row>
    <row r="1357" spans="1:2" x14ac:dyDescent="0.25">
      <c r="A1357" s="5"/>
      <c r="B1357" s="5"/>
    </row>
    <row r="1358" spans="1:2" x14ac:dyDescent="0.25">
      <c r="A1358" s="5"/>
      <c r="B1358" s="5"/>
    </row>
    <row r="1359" spans="1:2" x14ac:dyDescent="0.25">
      <c r="A1359" s="5"/>
      <c r="B1359" s="5"/>
    </row>
    <row r="1360" spans="1:2" x14ac:dyDescent="0.25">
      <c r="A1360" s="5"/>
      <c r="B1360" s="5"/>
    </row>
    <row r="1361" spans="1:2" x14ac:dyDescent="0.25">
      <c r="A1361" s="5"/>
      <c r="B1361" s="5"/>
    </row>
    <row r="1362" spans="1:2" x14ac:dyDescent="0.25">
      <c r="A1362" s="5"/>
      <c r="B1362" s="5"/>
    </row>
    <row r="1363" spans="1:2" x14ac:dyDescent="0.25">
      <c r="A1363" s="5"/>
      <c r="B1363" s="5"/>
    </row>
    <row r="1364" spans="1:2" x14ac:dyDescent="0.25">
      <c r="A1364" s="5"/>
      <c r="B1364" s="5"/>
    </row>
    <row r="1365" spans="1:2" x14ac:dyDescent="0.25">
      <c r="A1365" s="5"/>
      <c r="B1365" s="5"/>
    </row>
    <row r="1366" spans="1:2" x14ac:dyDescent="0.25">
      <c r="A1366" s="5"/>
      <c r="B1366" s="5"/>
    </row>
    <row r="1367" spans="1:2" x14ac:dyDescent="0.25">
      <c r="A1367" s="5"/>
      <c r="B1367" s="5"/>
    </row>
    <row r="1368" spans="1:2" x14ac:dyDescent="0.25">
      <c r="A1368" s="5"/>
      <c r="B1368" s="5"/>
    </row>
    <row r="1369" spans="1:2" x14ac:dyDescent="0.25">
      <c r="A1369" s="5"/>
      <c r="B1369" s="5"/>
    </row>
    <row r="1370" spans="1:2" x14ac:dyDescent="0.25">
      <c r="A1370" s="5"/>
      <c r="B1370" s="5"/>
    </row>
    <row r="1371" spans="1:2" x14ac:dyDescent="0.25">
      <c r="A1371" s="5"/>
      <c r="B1371" s="5"/>
    </row>
    <row r="1372" spans="1:2" x14ac:dyDescent="0.25">
      <c r="A1372" s="5"/>
      <c r="B1372" s="5"/>
    </row>
    <row r="1373" spans="1:2" x14ac:dyDescent="0.25">
      <c r="A1373" s="5"/>
      <c r="B1373" s="5"/>
    </row>
    <row r="1374" spans="1:2" x14ac:dyDescent="0.25">
      <c r="A1374" s="5"/>
      <c r="B1374" s="5"/>
    </row>
    <row r="1375" spans="1:2" x14ac:dyDescent="0.25">
      <c r="A1375" s="5"/>
      <c r="B1375" s="5"/>
    </row>
    <row r="1376" spans="1:2" x14ac:dyDescent="0.25">
      <c r="A1376" s="5"/>
      <c r="B1376" s="5"/>
    </row>
    <row r="1377" spans="1:2" x14ac:dyDescent="0.25">
      <c r="A1377" s="5"/>
      <c r="B1377" s="5"/>
    </row>
    <row r="1378" spans="1:2" x14ac:dyDescent="0.25">
      <c r="A1378" s="5"/>
      <c r="B1378" s="5"/>
    </row>
    <row r="1379" spans="1:2" x14ac:dyDescent="0.25">
      <c r="A1379" s="5"/>
      <c r="B1379" s="5"/>
    </row>
    <row r="1380" spans="1:2" x14ac:dyDescent="0.25">
      <c r="A1380" s="5"/>
      <c r="B1380" s="5"/>
    </row>
    <row r="1381" spans="1:2" x14ac:dyDescent="0.25">
      <c r="A1381" s="5"/>
      <c r="B1381" s="5"/>
    </row>
    <row r="1382" spans="1:2" x14ac:dyDescent="0.25">
      <c r="A1382" s="5"/>
      <c r="B1382" s="5"/>
    </row>
    <row r="1383" spans="1:2" x14ac:dyDescent="0.25">
      <c r="A1383" s="5"/>
      <c r="B1383" s="5"/>
    </row>
    <row r="1384" spans="1:2" x14ac:dyDescent="0.25">
      <c r="A1384" s="5"/>
      <c r="B1384" s="5"/>
    </row>
    <row r="1385" spans="1:2" x14ac:dyDescent="0.25">
      <c r="A1385" s="5"/>
      <c r="B1385" s="5"/>
    </row>
    <row r="1386" spans="1:2" x14ac:dyDescent="0.25">
      <c r="A1386" s="5"/>
      <c r="B1386" s="5"/>
    </row>
    <row r="1387" spans="1:2" x14ac:dyDescent="0.25">
      <c r="A1387" s="5"/>
      <c r="B1387" s="5"/>
    </row>
    <row r="1388" spans="1:2" x14ac:dyDescent="0.25">
      <c r="A1388" s="5"/>
      <c r="B1388" s="5"/>
    </row>
    <row r="1389" spans="1:2" x14ac:dyDescent="0.25">
      <c r="A1389" s="5"/>
      <c r="B1389" s="5"/>
    </row>
    <row r="1390" spans="1:2" x14ac:dyDescent="0.25">
      <c r="A1390" s="5"/>
      <c r="B1390" s="5"/>
    </row>
    <row r="1391" spans="1:2" x14ac:dyDescent="0.25">
      <c r="A1391" s="5"/>
      <c r="B1391" s="5"/>
    </row>
    <row r="1392" spans="1:2" x14ac:dyDescent="0.25">
      <c r="A1392" s="5"/>
      <c r="B1392" s="5"/>
    </row>
    <row r="1393" spans="1:2" x14ac:dyDescent="0.25">
      <c r="A1393" s="5"/>
      <c r="B1393" s="5"/>
    </row>
    <row r="1394" spans="1:2" x14ac:dyDescent="0.25">
      <c r="A1394" s="5"/>
      <c r="B1394" s="5"/>
    </row>
    <row r="1395" spans="1:2" x14ac:dyDescent="0.25">
      <c r="A1395" s="5"/>
      <c r="B1395" s="5"/>
    </row>
    <row r="1396" spans="1:2" x14ac:dyDescent="0.25">
      <c r="A1396" s="5"/>
      <c r="B1396" s="5"/>
    </row>
    <row r="1397" spans="1:2" x14ac:dyDescent="0.25">
      <c r="A1397" s="5"/>
      <c r="B1397" s="5"/>
    </row>
    <row r="1398" spans="1:2" x14ac:dyDescent="0.25">
      <c r="A1398" s="5"/>
      <c r="B1398" s="5"/>
    </row>
    <row r="1399" spans="1:2" x14ac:dyDescent="0.25">
      <c r="A1399" s="5"/>
      <c r="B1399" s="5"/>
    </row>
    <row r="1400" spans="1:2" x14ac:dyDescent="0.25">
      <c r="A1400" s="5"/>
      <c r="B1400" s="5"/>
    </row>
    <row r="1401" spans="1:2" x14ac:dyDescent="0.25">
      <c r="A1401" s="5"/>
      <c r="B1401" s="5"/>
    </row>
    <row r="1402" spans="1:2" x14ac:dyDescent="0.25">
      <c r="A1402" s="5"/>
      <c r="B1402" s="5"/>
    </row>
    <row r="1403" spans="1:2" x14ac:dyDescent="0.25">
      <c r="A1403" s="5"/>
      <c r="B1403" s="5"/>
    </row>
    <row r="1404" spans="1:2" x14ac:dyDescent="0.25">
      <c r="A1404" s="5"/>
      <c r="B1404" s="5"/>
    </row>
    <row r="1405" spans="1:2" x14ac:dyDescent="0.25">
      <c r="A1405" s="5"/>
      <c r="B1405" s="5"/>
    </row>
    <row r="1406" spans="1:2" x14ac:dyDescent="0.25">
      <c r="A1406" s="5"/>
      <c r="B1406" s="5"/>
    </row>
    <row r="1407" spans="1:2" x14ac:dyDescent="0.25">
      <c r="A1407" s="5"/>
      <c r="B1407" s="5"/>
    </row>
    <row r="1408" spans="1:2" x14ac:dyDescent="0.25">
      <c r="A1408" s="5"/>
      <c r="B1408" s="5"/>
    </row>
    <row r="1409" spans="1:2" x14ac:dyDescent="0.25">
      <c r="A1409" s="5"/>
      <c r="B1409" s="5"/>
    </row>
    <row r="1410" spans="1:2" x14ac:dyDescent="0.25">
      <c r="A1410" s="5"/>
      <c r="B1410" s="5"/>
    </row>
    <row r="1411" spans="1:2" x14ac:dyDescent="0.25">
      <c r="A1411" s="5"/>
      <c r="B1411" s="5"/>
    </row>
    <row r="1412" spans="1:2" x14ac:dyDescent="0.25">
      <c r="A1412" s="5"/>
      <c r="B1412" s="5"/>
    </row>
    <row r="1413" spans="1:2" x14ac:dyDescent="0.25">
      <c r="A1413" s="5"/>
      <c r="B1413" s="5"/>
    </row>
    <row r="1414" spans="1:2" x14ac:dyDescent="0.25">
      <c r="A1414" s="5"/>
      <c r="B1414" s="5"/>
    </row>
    <row r="1415" spans="1:2" x14ac:dyDescent="0.25">
      <c r="A1415" s="5"/>
      <c r="B1415" s="5"/>
    </row>
    <row r="1416" spans="1:2" x14ac:dyDescent="0.25">
      <c r="A1416" s="5"/>
      <c r="B1416" s="5"/>
    </row>
    <row r="1417" spans="1:2" x14ac:dyDescent="0.25">
      <c r="A1417" s="5"/>
      <c r="B1417" s="5"/>
    </row>
    <row r="1418" spans="1:2" x14ac:dyDescent="0.25">
      <c r="A1418" s="5"/>
      <c r="B1418" s="5"/>
    </row>
    <row r="1419" spans="1:2" x14ac:dyDescent="0.25">
      <c r="A1419" s="5"/>
      <c r="B1419" s="5"/>
    </row>
    <row r="1420" spans="1:2" x14ac:dyDescent="0.25">
      <c r="A1420" s="5"/>
      <c r="B1420" s="5"/>
    </row>
    <row r="1421" spans="1:2" x14ac:dyDescent="0.25">
      <c r="A1421" s="5"/>
      <c r="B1421" s="5"/>
    </row>
    <row r="1422" spans="1:2" x14ac:dyDescent="0.25">
      <c r="A1422" s="5"/>
      <c r="B1422" s="5"/>
    </row>
    <row r="1423" spans="1:2" x14ac:dyDescent="0.25">
      <c r="A1423" s="5"/>
      <c r="B1423" s="5"/>
    </row>
    <row r="1424" spans="1:2" x14ac:dyDescent="0.25">
      <c r="A1424" s="5"/>
      <c r="B1424" s="5"/>
    </row>
    <row r="1425" spans="1:2" x14ac:dyDescent="0.25">
      <c r="A1425" s="5"/>
      <c r="B1425" s="5"/>
    </row>
    <row r="1426" spans="1:2" x14ac:dyDescent="0.25">
      <c r="A1426" s="5"/>
      <c r="B1426" s="5"/>
    </row>
    <row r="1427" spans="1:2" x14ac:dyDescent="0.25">
      <c r="A1427" s="5"/>
      <c r="B1427" s="5"/>
    </row>
    <row r="1428" spans="1:2" x14ac:dyDescent="0.25">
      <c r="A1428" s="5"/>
      <c r="B1428" s="5"/>
    </row>
    <row r="1429" spans="1:2" x14ac:dyDescent="0.25">
      <c r="A1429" s="5"/>
      <c r="B1429" s="5"/>
    </row>
    <row r="1430" spans="1:2" x14ac:dyDescent="0.25">
      <c r="A1430" s="5"/>
      <c r="B1430" s="5"/>
    </row>
    <row r="1431" spans="1:2" x14ac:dyDescent="0.25">
      <c r="A1431" s="5"/>
      <c r="B1431" s="5"/>
    </row>
    <row r="1432" spans="1:2" x14ac:dyDescent="0.25">
      <c r="A1432" s="5"/>
      <c r="B1432" s="5"/>
    </row>
    <row r="1433" spans="1:2" x14ac:dyDescent="0.25">
      <c r="A1433" s="5"/>
      <c r="B1433" s="5"/>
    </row>
    <row r="1434" spans="1:2" x14ac:dyDescent="0.25">
      <c r="A1434" s="5"/>
      <c r="B1434" s="5"/>
    </row>
    <row r="1435" spans="1:2" x14ac:dyDescent="0.25">
      <c r="A1435" s="5"/>
      <c r="B1435" s="5"/>
    </row>
    <row r="1436" spans="1:2" x14ac:dyDescent="0.25">
      <c r="A1436" s="5"/>
      <c r="B1436" s="5"/>
    </row>
    <row r="1437" spans="1:2" x14ac:dyDescent="0.25">
      <c r="A1437" s="5"/>
      <c r="B1437" s="5"/>
    </row>
    <row r="1438" spans="1:2" x14ac:dyDescent="0.25">
      <c r="A1438" s="5"/>
      <c r="B1438" s="5"/>
    </row>
    <row r="1439" spans="1:2" x14ac:dyDescent="0.25">
      <c r="A1439" s="5"/>
      <c r="B1439" s="5"/>
    </row>
    <row r="1440" spans="1:2" x14ac:dyDescent="0.25">
      <c r="A1440" s="5"/>
      <c r="B1440" s="5"/>
    </row>
    <row r="1441" spans="1:2" x14ac:dyDescent="0.25">
      <c r="A1441" s="5"/>
      <c r="B1441" s="5"/>
    </row>
    <row r="1442" spans="1:2" x14ac:dyDescent="0.25">
      <c r="A1442" s="5"/>
      <c r="B1442" s="5"/>
    </row>
    <row r="1443" spans="1:2" x14ac:dyDescent="0.25">
      <c r="A1443" s="5"/>
      <c r="B1443" s="5"/>
    </row>
    <row r="1444" spans="1:2" x14ac:dyDescent="0.25">
      <c r="A1444" s="5"/>
      <c r="B1444" s="5"/>
    </row>
    <row r="1445" spans="1:2" x14ac:dyDescent="0.25">
      <c r="A1445" s="5"/>
      <c r="B1445" s="5"/>
    </row>
    <row r="1446" spans="1:2" x14ac:dyDescent="0.25">
      <c r="A1446" s="5"/>
      <c r="B1446" s="5"/>
    </row>
    <row r="1447" spans="1:2" x14ac:dyDescent="0.25">
      <c r="A1447" s="5"/>
      <c r="B1447" s="5"/>
    </row>
    <row r="1448" spans="1:2" x14ac:dyDescent="0.25">
      <c r="A1448" s="5"/>
      <c r="B1448" s="5"/>
    </row>
    <row r="1449" spans="1:2" x14ac:dyDescent="0.25">
      <c r="A1449" s="5"/>
      <c r="B1449" s="5"/>
    </row>
    <row r="1450" spans="1:2" x14ac:dyDescent="0.25">
      <c r="A1450" s="5"/>
      <c r="B1450" s="5"/>
    </row>
    <row r="1451" spans="1:2" x14ac:dyDescent="0.25">
      <c r="A1451" s="5"/>
      <c r="B1451" s="5"/>
    </row>
    <row r="1452" spans="1:2" x14ac:dyDescent="0.25">
      <c r="A1452" s="5"/>
      <c r="B1452" s="5"/>
    </row>
    <row r="1453" spans="1:2" x14ac:dyDescent="0.25">
      <c r="A1453" s="5"/>
      <c r="B1453" s="5"/>
    </row>
    <row r="1454" spans="1:2" x14ac:dyDescent="0.25">
      <c r="A1454" s="5"/>
      <c r="B1454" s="5"/>
    </row>
    <row r="1455" spans="1:2" x14ac:dyDescent="0.25">
      <c r="A1455" s="5"/>
      <c r="B1455" s="5"/>
    </row>
    <row r="1456" spans="1:2" x14ac:dyDescent="0.25">
      <c r="A1456" s="5"/>
      <c r="B1456" s="5"/>
    </row>
    <row r="1457" spans="1:2" x14ac:dyDescent="0.25">
      <c r="A1457" s="5"/>
      <c r="B1457" s="5"/>
    </row>
    <row r="1458" spans="1:2" x14ac:dyDescent="0.25">
      <c r="A1458" s="5"/>
      <c r="B1458" s="5"/>
    </row>
    <row r="1459" spans="1:2" x14ac:dyDescent="0.25">
      <c r="A1459" s="5"/>
      <c r="B1459" s="5"/>
    </row>
    <row r="1460" spans="1:2" x14ac:dyDescent="0.25">
      <c r="A1460" s="5"/>
      <c r="B1460" s="5"/>
    </row>
    <row r="1461" spans="1:2" x14ac:dyDescent="0.25">
      <c r="A1461" s="5"/>
      <c r="B1461" s="5"/>
    </row>
    <row r="1462" spans="1:2" x14ac:dyDescent="0.25">
      <c r="A1462" s="5"/>
      <c r="B1462" s="5"/>
    </row>
    <row r="1463" spans="1:2" x14ac:dyDescent="0.25">
      <c r="A1463" s="5"/>
      <c r="B1463" s="5"/>
    </row>
    <row r="1464" spans="1:2" x14ac:dyDescent="0.25">
      <c r="A1464" s="5"/>
      <c r="B1464" s="5"/>
    </row>
    <row r="1465" spans="1:2" x14ac:dyDescent="0.25">
      <c r="A1465" s="5"/>
      <c r="B1465" s="5"/>
    </row>
    <row r="1466" spans="1:2" x14ac:dyDescent="0.25">
      <c r="A1466" s="5"/>
      <c r="B1466" s="5"/>
    </row>
    <row r="1467" spans="1:2" x14ac:dyDescent="0.25">
      <c r="A1467" s="5"/>
      <c r="B1467" s="5"/>
    </row>
    <row r="1468" spans="1:2" x14ac:dyDescent="0.25">
      <c r="A1468" s="5"/>
      <c r="B1468" s="5"/>
    </row>
    <row r="1469" spans="1:2" x14ac:dyDescent="0.25">
      <c r="A1469" s="5"/>
      <c r="B1469" s="5"/>
    </row>
    <row r="1470" spans="1:2" x14ac:dyDescent="0.25">
      <c r="A1470" s="5"/>
      <c r="B1470" s="5"/>
    </row>
    <row r="1471" spans="1:2" x14ac:dyDescent="0.25">
      <c r="A1471" s="5"/>
      <c r="B1471" s="5"/>
    </row>
    <row r="1472" spans="1:2" x14ac:dyDescent="0.25">
      <c r="A1472" s="5"/>
      <c r="B1472" s="5"/>
    </row>
    <row r="1473" spans="1:2" x14ac:dyDescent="0.25">
      <c r="A1473" s="5"/>
      <c r="B1473" s="5"/>
    </row>
    <row r="1474" spans="1:2" x14ac:dyDescent="0.25">
      <c r="A1474" s="5"/>
      <c r="B1474" s="5"/>
    </row>
    <row r="1475" spans="1:2" x14ac:dyDescent="0.25">
      <c r="A1475" s="5"/>
      <c r="B1475" s="5"/>
    </row>
    <row r="1476" spans="1:2" x14ac:dyDescent="0.25">
      <c r="A1476" s="5"/>
      <c r="B1476" s="5"/>
    </row>
    <row r="1477" spans="1:2" x14ac:dyDescent="0.25">
      <c r="A1477" s="5"/>
      <c r="B1477" s="5"/>
    </row>
    <row r="1478" spans="1:2" x14ac:dyDescent="0.25">
      <c r="A1478" s="5"/>
      <c r="B1478" s="5"/>
    </row>
    <row r="1479" spans="1:2" x14ac:dyDescent="0.25">
      <c r="A1479" s="5"/>
      <c r="B1479" s="5"/>
    </row>
    <row r="1480" spans="1:2" x14ac:dyDescent="0.25">
      <c r="A1480" s="5"/>
      <c r="B1480" s="5"/>
    </row>
    <row r="1481" spans="1:2" x14ac:dyDescent="0.25">
      <c r="A1481" s="5"/>
      <c r="B1481" s="5"/>
    </row>
    <row r="1482" spans="1:2" x14ac:dyDescent="0.25">
      <c r="A1482" s="5"/>
      <c r="B1482" s="5"/>
    </row>
    <row r="1483" spans="1:2" x14ac:dyDescent="0.25">
      <c r="A1483" s="5"/>
      <c r="B1483" s="5"/>
    </row>
    <row r="1484" spans="1:2" x14ac:dyDescent="0.25">
      <c r="A1484" s="5"/>
      <c r="B1484" s="5"/>
    </row>
    <row r="1485" spans="1:2" x14ac:dyDescent="0.25">
      <c r="A1485" s="5"/>
      <c r="B1485" s="5"/>
    </row>
    <row r="1486" spans="1:2" x14ac:dyDescent="0.25">
      <c r="A1486" s="5"/>
      <c r="B1486" s="5"/>
    </row>
    <row r="1487" spans="1:2" x14ac:dyDescent="0.25">
      <c r="A1487" s="5"/>
      <c r="B1487" s="5"/>
    </row>
    <row r="1488" spans="1:2" x14ac:dyDescent="0.25">
      <c r="A1488" s="5"/>
      <c r="B1488" s="5"/>
    </row>
    <row r="1489" spans="1:2" x14ac:dyDescent="0.25">
      <c r="A1489" s="5"/>
      <c r="B1489" s="5"/>
    </row>
    <row r="1490" spans="1:2" x14ac:dyDescent="0.25">
      <c r="A1490" s="5"/>
      <c r="B1490" s="5"/>
    </row>
    <row r="1491" spans="1:2" x14ac:dyDescent="0.25">
      <c r="A1491" s="5"/>
      <c r="B1491" s="5"/>
    </row>
    <row r="1492" spans="1:2" x14ac:dyDescent="0.25">
      <c r="A1492" s="5"/>
      <c r="B1492" s="5"/>
    </row>
    <row r="1493" spans="1:2" x14ac:dyDescent="0.25">
      <c r="A1493" s="5"/>
      <c r="B1493" s="5"/>
    </row>
    <row r="1494" spans="1:2" x14ac:dyDescent="0.25">
      <c r="A1494" s="5"/>
      <c r="B1494" s="5"/>
    </row>
    <row r="1495" spans="1:2" x14ac:dyDescent="0.25">
      <c r="A1495" s="5"/>
      <c r="B1495" s="5"/>
    </row>
    <row r="1496" spans="1:2" x14ac:dyDescent="0.25">
      <c r="A1496" s="5"/>
      <c r="B1496" s="5"/>
    </row>
    <row r="1497" spans="1:2" x14ac:dyDescent="0.25">
      <c r="A1497" s="5"/>
      <c r="B1497" s="5"/>
    </row>
    <row r="1498" spans="1:2" x14ac:dyDescent="0.25">
      <c r="A1498" s="5"/>
      <c r="B1498" s="5"/>
    </row>
    <row r="1499" spans="1:2" x14ac:dyDescent="0.25">
      <c r="A1499" s="5"/>
      <c r="B1499" s="5"/>
    </row>
    <row r="1500" spans="1:2" x14ac:dyDescent="0.25">
      <c r="A1500" s="5"/>
      <c r="B1500" s="5"/>
    </row>
    <row r="1501" spans="1:2" x14ac:dyDescent="0.25">
      <c r="A1501" s="5"/>
      <c r="B1501" s="5"/>
    </row>
    <row r="1502" spans="1:2" x14ac:dyDescent="0.25">
      <c r="A1502" s="5"/>
      <c r="B1502" s="5"/>
    </row>
    <row r="1503" spans="1:2" x14ac:dyDescent="0.25">
      <c r="A1503" s="5"/>
      <c r="B1503" s="5"/>
    </row>
    <row r="1504" spans="1:2" x14ac:dyDescent="0.25">
      <c r="A1504" s="5"/>
      <c r="B1504" s="5"/>
    </row>
    <row r="1505" spans="1:2" x14ac:dyDescent="0.25">
      <c r="A1505" s="5"/>
      <c r="B1505" s="5"/>
    </row>
    <row r="1506" spans="1:2" x14ac:dyDescent="0.25">
      <c r="A1506" s="5"/>
      <c r="B1506" s="5"/>
    </row>
    <row r="1507" spans="1:2" x14ac:dyDescent="0.25">
      <c r="A1507" s="5"/>
      <c r="B1507" s="5"/>
    </row>
    <row r="1508" spans="1:2" x14ac:dyDescent="0.25">
      <c r="A1508" s="5"/>
      <c r="B1508" s="5"/>
    </row>
    <row r="1509" spans="1:2" x14ac:dyDescent="0.25">
      <c r="A1509" s="5"/>
      <c r="B1509" s="5"/>
    </row>
    <row r="1510" spans="1:2" x14ac:dyDescent="0.25">
      <c r="A1510" s="5"/>
      <c r="B1510" s="5"/>
    </row>
    <row r="1511" spans="1:2" x14ac:dyDescent="0.25">
      <c r="A1511" s="5"/>
      <c r="B1511" s="5"/>
    </row>
    <row r="1512" spans="1:2" x14ac:dyDescent="0.25">
      <c r="A1512" s="5"/>
      <c r="B1512" s="5"/>
    </row>
    <row r="1513" spans="1:2" x14ac:dyDescent="0.25">
      <c r="A1513" s="5"/>
      <c r="B1513" s="5"/>
    </row>
    <row r="1514" spans="1:2" x14ac:dyDescent="0.25">
      <c r="A1514" s="5"/>
      <c r="B1514" s="5"/>
    </row>
    <row r="1515" spans="1:2" x14ac:dyDescent="0.25">
      <c r="A1515" s="5"/>
      <c r="B1515" s="5"/>
    </row>
    <row r="1516" spans="1:2" x14ac:dyDescent="0.25">
      <c r="A1516" s="5"/>
      <c r="B1516" s="5"/>
    </row>
    <row r="1517" spans="1:2" x14ac:dyDescent="0.25">
      <c r="A1517" s="5"/>
      <c r="B1517" s="5"/>
    </row>
    <row r="1518" spans="1:2" x14ac:dyDescent="0.25">
      <c r="A1518" s="5"/>
      <c r="B1518" s="5"/>
    </row>
    <row r="1519" spans="1:2" x14ac:dyDescent="0.25">
      <c r="A1519" s="5"/>
      <c r="B1519" s="5"/>
    </row>
    <row r="1520" spans="1:2" x14ac:dyDescent="0.25">
      <c r="A1520" s="5"/>
      <c r="B1520" s="5"/>
    </row>
    <row r="1521" spans="1:2" x14ac:dyDescent="0.25">
      <c r="A1521" s="5"/>
      <c r="B1521" s="5"/>
    </row>
    <row r="1522" spans="1:2" x14ac:dyDescent="0.25">
      <c r="A1522" s="5"/>
      <c r="B1522" s="5"/>
    </row>
    <row r="1523" spans="1:2" x14ac:dyDescent="0.25">
      <c r="A1523" s="5"/>
      <c r="B1523" s="5"/>
    </row>
    <row r="1524" spans="1:2" x14ac:dyDescent="0.25">
      <c r="A1524" s="5"/>
      <c r="B1524" s="5"/>
    </row>
    <row r="1525" spans="1:2" x14ac:dyDescent="0.25">
      <c r="A1525" s="5"/>
      <c r="B1525" s="5"/>
    </row>
    <row r="1526" spans="1:2" x14ac:dyDescent="0.25">
      <c r="A1526" s="5"/>
      <c r="B1526" s="5"/>
    </row>
    <row r="1527" spans="1:2" x14ac:dyDescent="0.25">
      <c r="A1527" s="5"/>
      <c r="B1527" s="5"/>
    </row>
    <row r="1528" spans="1:2" x14ac:dyDescent="0.25">
      <c r="A1528" s="5"/>
      <c r="B1528" s="5"/>
    </row>
    <row r="1529" spans="1:2" x14ac:dyDescent="0.25">
      <c r="A1529" s="5"/>
      <c r="B1529" s="5"/>
    </row>
    <row r="1530" spans="1:2" x14ac:dyDescent="0.25">
      <c r="A1530" s="5"/>
      <c r="B1530" s="5"/>
    </row>
    <row r="1531" spans="1:2" x14ac:dyDescent="0.25">
      <c r="A1531" s="5"/>
      <c r="B1531" s="5"/>
    </row>
    <row r="1532" spans="1:2" x14ac:dyDescent="0.25">
      <c r="A1532" s="5"/>
      <c r="B1532" s="5"/>
    </row>
    <row r="1533" spans="1:2" x14ac:dyDescent="0.25">
      <c r="A1533" s="5"/>
      <c r="B1533" s="5"/>
    </row>
    <row r="1534" spans="1:2" x14ac:dyDescent="0.25">
      <c r="A1534" s="5"/>
      <c r="B1534" s="5"/>
    </row>
    <row r="1535" spans="1:2" x14ac:dyDescent="0.25">
      <c r="A1535" s="5"/>
      <c r="B1535" s="5"/>
    </row>
    <row r="1536" spans="1:2" x14ac:dyDescent="0.25">
      <c r="A1536" s="5"/>
      <c r="B1536" s="5"/>
    </row>
    <row r="1537" spans="1:2" x14ac:dyDescent="0.25">
      <c r="A1537" s="5"/>
      <c r="B1537" s="5"/>
    </row>
    <row r="1538" spans="1:2" x14ac:dyDescent="0.25">
      <c r="A1538" s="5"/>
      <c r="B1538" s="5"/>
    </row>
    <row r="1539" spans="1:2" x14ac:dyDescent="0.25">
      <c r="A1539" s="5"/>
      <c r="B1539" s="5"/>
    </row>
    <row r="1540" spans="1:2" x14ac:dyDescent="0.25">
      <c r="A1540" s="5"/>
      <c r="B1540" s="5"/>
    </row>
    <row r="1541" spans="1:2" x14ac:dyDescent="0.25">
      <c r="A1541" s="5"/>
      <c r="B1541" s="5"/>
    </row>
    <row r="1542" spans="1:2" x14ac:dyDescent="0.25">
      <c r="A1542" s="5"/>
      <c r="B1542" s="5"/>
    </row>
    <row r="1543" spans="1:2" x14ac:dyDescent="0.25">
      <c r="A1543" s="5"/>
      <c r="B1543" s="5"/>
    </row>
    <row r="1544" spans="1:2" x14ac:dyDescent="0.25">
      <c r="A1544" s="5"/>
      <c r="B1544" s="5"/>
    </row>
    <row r="1545" spans="1:2" x14ac:dyDescent="0.25">
      <c r="A1545" s="5"/>
      <c r="B1545" s="5"/>
    </row>
    <row r="1546" spans="1:2" x14ac:dyDescent="0.25">
      <c r="A1546" s="5"/>
      <c r="B1546" s="5"/>
    </row>
    <row r="1547" spans="1:2" x14ac:dyDescent="0.25">
      <c r="A1547" s="5"/>
      <c r="B1547" s="5"/>
    </row>
    <row r="1548" spans="1:2" x14ac:dyDescent="0.25">
      <c r="A1548" s="5"/>
      <c r="B1548" s="5"/>
    </row>
    <row r="1549" spans="1:2" x14ac:dyDescent="0.25">
      <c r="A1549" s="5"/>
      <c r="B1549" s="5"/>
    </row>
    <row r="1550" spans="1:2" x14ac:dyDescent="0.25">
      <c r="A1550" s="5"/>
      <c r="B1550" s="5"/>
    </row>
    <row r="1551" spans="1:2" x14ac:dyDescent="0.25">
      <c r="A1551" s="5"/>
      <c r="B1551" s="5"/>
    </row>
    <row r="1552" spans="1:2" x14ac:dyDescent="0.25">
      <c r="A1552" s="5"/>
      <c r="B1552" s="5"/>
    </row>
    <row r="1553" spans="1:2" x14ac:dyDescent="0.25">
      <c r="A1553" s="5"/>
      <c r="B1553" s="5"/>
    </row>
    <row r="1554" spans="1:2" x14ac:dyDescent="0.25">
      <c r="A1554" s="5"/>
      <c r="B1554" s="5"/>
    </row>
    <row r="1555" spans="1:2" x14ac:dyDescent="0.25">
      <c r="A1555" s="5"/>
      <c r="B1555" s="5"/>
    </row>
    <row r="1556" spans="1:2" x14ac:dyDescent="0.25">
      <c r="A1556" s="5"/>
      <c r="B1556" s="5"/>
    </row>
    <row r="1557" spans="1:2" x14ac:dyDescent="0.25">
      <c r="A1557" s="5"/>
      <c r="B1557" s="5"/>
    </row>
    <row r="1558" spans="1:2" x14ac:dyDescent="0.25">
      <c r="A1558" s="5"/>
      <c r="B1558" s="5"/>
    </row>
    <row r="1559" spans="1:2" x14ac:dyDescent="0.25">
      <c r="A1559" s="5"/>
      <c r="B1559" s="5"/>
    </row>
    <row r="1560" spans="1:2" x14ac:dyDescent="0.25">
      <c r="A1560" s="5"/>
      <c r="B1560" s="5"/>
    </row>
    <row r="1561" spans="1:2" x14ac:dyDescent="0.25">
      <c r="A1561" s="5"/>
      <c r="B1561" s="5"/>
    </row>
    <row r="1562" spans="1:2" x14ac:dyDescent="0.25">
      <c r="A1562" s="5"/>
      <c r="B1562" s="5"/>
    </row>
    <row r="1563" spans="1:2" x14ac:dyDescent="0.25">
      <c r="A1563" s="5"/>
      <c r="B1563" s="5"/>
    </row>
    <row r="1564" spans="1:2" x14ac:dyDescent="0.25">
      <c r="A1564" s="5"/>
      <c r="B1564" s="5"/>
    </row>
    <row r="1565" spans="1:2" x14ac:dyDescent="0.25">
      <c r="A1565" s="5"/>
      <c r="B1565" s="5"/>
    </row>
    <row r="1566" spans="1:2" x14ac:dyDescent="0.25">
      <c r="A1566" s="5"/>
      <c r="B1566" s="5"/>
    </row>
    <row r="1567" spans="1:2" x14ac:dyDescent="0.25">
      <c r="A1567" s="5"/>
      <c r="B1567" s="5"/>
    </row>
    <row r="1568" spans="1:2" x14ac:dyDescent="0.25">
      <c r="A1568" s="5"/>
      <c r="B1568" s="5"/>
    </row>
    <row r="1569" spans="1:2" x14ac:dyDescent="0.25">
      <c r="A1569" s="5"/>
      <c r="B1569" s="5"/>
    </row>
    <row r="1570" spans="1:2" x14ac:dyDescent="0.25">
      <c r="A1570" s="5"/>
      <c r="B1570" s="5"/>
    </row>
    <row r="1571" spans="1:2" x14ac:dyDescent="0.25">
      <c r="A1571" s="5"/>
      <c r="B1571" s="5"/>
    </row>
    <row r="1572" spans="1:2" x14ac:dyDescent="0.25">
      <c r="A1572" s="5"/>
      <c r="B1572" s="5"/>
    </row>
    <row r="1573" spans="1:2" x14ac:dyDescent="0.25">
      <c r="A1573" s="5"/>
      <c r="B1573" s="5"/>
    </row>
    <row r="1574" spans="1:2" x14ac:dyDescent="0.25">
      <c r="A1574" s="5"/>
      <c r="B1574" s="5"/>
    </row>
    <row r="1575" spans="1:2" x14ac:dyDescent="0.25">
      <c r="A1575" s="5"/>
      <c r="B1575" s="5"/>
    </row>
    <row r="1576" spans="1:2" x14ac:dyDescent="0.25">
      <c r="A1576" s="5"/>
      <c r="B1576" s="5"/>
    </row>
    <row r="1577" spans="1:2" x14ac:dyDescent="0.25">
      <c r="A1577" s="5"/>
      <c r="B1577" s="5"/>
    </row>
    <row r="1578" spans="1:2" x14ac:dyDescent="0.25">
      <c r="A1578" s="5"/>
      <c r="B1578" s="5"/>
    </row>
    <row r="1579" spans="1:2" x14ac:dyDescent="0.25">
      <c r="A1579" s="5"/>
      <c r="B1579" s="5"/>
    </row>
    <row r="1580" spans="1:2" x14ac:dyDescent="0.25">
      <c r="A1580" s="5"/>
      <c r="B1580" s="5"/>
    </row>
    <row r="1581" spans="1:2" x14ac:dyDescent="0.25">
      <c r="A1581" s="5"/>
      <c r="B1581" s="5"/>
    </row>
    <row r="1582" spans="1:2" x14ac:dyDescent="0.25">
      <c r="A1582" s="5"/>
      <c r="B1582" s="5"/>
    </row>
    <row r="1583" spans="1:2" x14ac:dyDescent="0.25">
      <c r="A1583" s="5"/>
      <c r="B1583" s="5"/>
    </row>
    <row r="1584" spans="1:2" x14ac:dyDescent="0.25">
      <c r="A1584" s="5"/>
      <c r="B1584" s="5"/>
    </row>
    <row r="1585" spans="1:2" x14ac:dyDescent="0.25">
      <c r="A1585" s="5"/>
      <c r="B1585" s="5"/>
    </row>
    <row r="1586" spans="1:2" x14ac:dyDescent="0.25">
      <c r="A1586" s="5"/>
      <c r="B1586" s="5"/>
    </row>
    <row r="1587" spans="1:2" x14ac:dyDescent="0.25">
      <c r="A1587" s="5"/>
      <c r="B1587" s="5"/>
    </row>
    <row r="1588" spans="1:2" x14ac:dyDescent="0.25">
      <c r="A1588" s="5"/>
      <c r="B1588" s="5"/>
    </row>
    <row r="1589" spans="1:2" x14ac:dyDescent="0.25">
      <c r="A1589" s="5"/>
      <c r="B1589" s="5"/>
    </row>
    <row r="1590" spans="1:2" x14ac:dyDescent="0.25">
      <c r="A1590" s="5"/>
      <c r="B1590" s="5"/>
    </row>
    <row r="1591" spans="1:2" x14ac:dyDescent="0.25">
      <c r="A1591" s="5"/>
      <c r="B1591" s="5"/>
    </row>
    <row r="1592" spans="1:2" x14ac:dyDescent="0.25">
      <c r="A1592" s="5"/>
      <c r="B1592" s="5"/>
    </row>
    <row r="1593" spans="1:2" x14ac:dyDescent="0.25">
      <c r="A1593" s="5"/>
      <c r="B1593" s="5"/>
    </row>
    <row r="1594" spans="1:2" x14ac:dyDescent="0.25">
      <c r="A1594" s="5"/>
      <c r="B1594" s="5"/>
    </row>
    <row r="1595" spans="1:2" x14ac:dyDescent="0.25">
      <c r="A1595" s="5"/>
      <c r="B1595" s="5"/>
    </row>
    <row r="1596" spans="1:2" x14ac:dyDescent="0.25">
      <c r="A1596" s="5"/>
      <c r="B1596" s="5"/>
    </row>
    <row r="1597" spans="1:2" x14ac:dyDescent="0.25">
      <c r="A1597" s="5"/>
      <c r="B1597" s="5"/>
    </row>
    <row r="1598" spans="1:2" x14ac:dyDescent="0.25">
      <c r="A1598" s="5"/>
      <c r="B1598" s="5"/>
    </row>
    <row r="1599" spans="1:2" x14ac:dyDescent="0.25">
      <c r="A1599" s="5"/>
      <c r="B1599" s="5"/>
    </row>
    <row r="1600" spans="1:2" x14ac:dyDescent="0.25">
      <c r="A1600" s="5"/>
      <c r="B1600" s="5"/>
    </row>
    <row r="1601" spans="1:2" x14ac:dyDescent="0.25">
      <c r="A1601" s="5"/>
      <c r="B1601" s="5"/>
    </row>
    <row r="1602" spans="1:2" x14ac:dyDescent="0.25">
      <c r="A1602" s="5"/>
      <c r="B1602" s="5"/>
    </row>
    <row r="1603" spans="1:2" x14ac:dyDescent="0.25">
      <c r="A1603" s="5"/>
      <c r="B1603" s="5"/>
    </row>
    <row r="1604" spans="1:2" x14ac:dyDescent="0.25">
      <c r="A1604" s="5"/>
      <c r="B1604" s="5"/>
    </row>
    <row r="1605" spans="1:2" x14ac:dyDescent="0.25">
      <c r="A1605" s="5"/>
      <c r="B1605" s="5"/>
    </row>
    <row r="1606" spans="1:2" x14ac:dyDescent="0.25">
      <c r="A1606" s="5"/>
      <c r="B1606" s="5"/>
    </row>
    <row r="1607" spans="1:2" x14ac:dyDescent="0.25">
      <c r="A1607" s="5"/>
      <c r="B1607" s="5"/>
    </row>
    <row r="1608" spans="1:2" x14ac:dyDescent="0.25">
      <c r="A1608" s="5"/>
      <c r="B1608" s="5"/>
    </row>
    <row r="1609" spans="1:2" x14ac:dyDescent="0.25">
      <c r="A1609" s="5"/>
      <c r="B1609" s="5"/>
    </row>
    <row r="1610" spans="1:2" x14ac:dyDescent="0.25">
      <c r="A1610" s="5"/>
      <c r="B1610" s="5"/>
    </row>
    <row r="1611" spans="1:2" x14ac:dyDescent="0.25">
      <c r="A1611" s="5"/>
      <c r="B1611" s="5"/>
    </row>
    <row r="1612" spans="1:2" x14ac:dyDescent="0.25">
      <c r="A1612" s="5"/>
      <c r="B1612" s="5"/>
    </row>
    <row r="1613" spans="1:2" x14ac:dyDescent="0.25">
      <c r="A1613" s="5"/>
      <c r="B1613" s="5"/>
    </row>
    <row r="1614" spans="1:2" x14ac:dyDescent="0.25">
      <c r="A1614" s="5"/>
      <c r="B1614" s="5"/>
    </row>
    <row r="1615" spans="1:2" x14ac:dyDescent="0.25">
      <c r="A1615" s="5"/>
      <c r="B1615" s="5"/>
    </row>
    <row r="1616" spans="1:2" x14ac:dyDescent="0.25">
      <c r="A1616" s="5"/>
      <c r="B1616" s="5"/>
    </row>
    <row r="1617" spans="1:2" x14ac:dyDescent="0.25">
      <c r="A1617" s="5"/>
      <c r="B1617" s="5"/>
    </row>
    <row r="1618" spans="1:2" x14ac:dyDescent="0.25">
      <c r="A1618" s="5"/>
      <c r="B1618" s="5"/>
    </row>
    <row r="1619" spans="1:2" x14ac:dyDescent="0.25">
      <c r="A1619" s="5"/>
      <c r="B1619" s="5"/>
    </row>
    <row r="1620" spans="1:2" x14ac:dyDescent="0.25">
      <c r="A1620" s="5"/>
      <c r="B1620" s="5"/>
    </row>
    <row r="1621" spans="1:2" x14ac:dyDescent="0.25">
      <c r="A1621" s="5"/>
      <c r="B1621" s="5"/>
    </row>
    <row r="1622" spans="1:2" x14ac:dyDescent="0.25">
      <c r="A1622" s="5"/>
      <c r="B1622" s="5"/>
    </row>
    <row r="1623" spans="1:2" x14ac:dyDescent="0.25">
      <c r="A1623" s="5"/>
      <c r="B1623" s="5"/>
    </row>
    <row r="1624" spans="1:2" x14ac:dyDescent="0.25">
      <c r="A1624" s="5"/>
      <c r="B1624" s="5"/>
    </row>
    <row r="1625" spans="1:2" x14ac:dyDescent="0.25">
      <c r="A1625" s="5"/>
      <c r="B1625" s="5"/>
    </row>
    <row r="1626" spans="1:2" x14ac:dyDescent="0.25">
      <c r="A1626" s="5"/>
      <c r="B1626" s="5"/>
    </row>
    <row r="1627" spans="1:2" x14ac:dyDescent="0.25">
      <c r="A1627" s="5"/>
      <c r="B1627" s="5"/>
    </row>
    <row r="1628" spans="1:2" x14ac:dyDescent="0.25">
      <c r="A1628" s="5"/>
      <c r="B1628" s="5"/>
    </row>
    <row r="1629" spans="1:2" x14ac:dyDescent="0.25">
      <c r="A1629" s="5"/>
      <c r="B1629" s="5"/>
    </row>
    <row r="1630" spans="1:2" x14ac:dyDescent="0.25">
      <c r="A1630" s="5"/>
      <c r="B1630" s="5"/>
    </row>
    <row r="1631" spans="1:2" x14ac:dyDescent="0.25">
      <c r="A1631" s="5"/>
      <c r="B1631" s="5"/>
    </row>
    <row r="1632" spans="1:2" x14ac:dyDescent="0.25">
      <c r="A1632" s="5"/>
      <c r="B1632" s="5"/>
    </row>
    <row r="1633" spans="1:2" x14ac:dyDescent="0.25">
      <c r="A1633" s="5"/>
      <c r="B1633" s="5"/>
    </row>
    <row r="1634" spans="1:2" x14ac:dyDescent="0.25">
      <c r="A1634" s="5"/>
      <c r="B1634" s="5"/>
    </row>
    <row r="1635" spans="1:2" x14ac:dyDescent="0.25">
      <c r="A1635" s="5"/>
      <c r="B1635" s="5"/>
    </row>
    <row r="1636" spans="1:2" x14ac:dyDescent="0.25">
      <c r="A1636" s="5"/>
      <c r="B1636" s="5"/>
    </row>
    <row r="1637" spans="1:2" x14ac:dyDescent="0.25">
      <c r="A1637" s="5"/>
      <c r="B1637" s="5"/>
    </row>
    <row r="1638" spans="1:2" x14ac:dyDescent="0.25">
      <c r="A1638" s="5"/>
      <c r="B1638" s="5"/>
    </row>
    <row r="1639" spans="1:2" x14ac:dyDescent="0.25">
      <c r="A1639" s="5"/>
      <c r="B1639" s="5"/>
    </row>
    <row r="1640" spans="1:2" x14ac:dyDescent="0.25">
      <c r="A1640" s="5"/>
      <c r="B1640" s="5"/>
    </row>
    <row r="1641" spans="1:2" x14ac:dyDescent="0.25">
      <c r="A1641" s="5"/>
      <c r="B1641" s="5"/>
    </row>
    <row r="1642" spans="1:2" x14ac:dyDescent="0.25">
      <c r="A1642" s="5"/>
      <c r="B1642" s="5"/>
    </row>
    <row r="1643" spans="1:2" x14ac:dyDescent="0.25">
      <c r="A1643" s="5"/>
      <c r="B1643" s="5"/>
    </row>
    <row r="1644" spans="1:2" x14ac:dyDescent="0.25">
      <c r="A1644" s="5"/>
      <c r="B1644" s="5"/>
    </row>
    <row r="1645" spans="1:2" x14ac:dyDescent="0.25">
      <c r="A1645" s="5"/>
      <c r="B1645" s="5"/>
    </row>
    <row r="1646" spans="1:2" x14ac:dyDescent="0.25">
      <c r="A1646" s="5"/>
      <c r="B1646" s="5"/>
    </row>
    <row r="1647" spans="1:2" x14ac:dyDescent="0.25">
      <c r="A1647" s="5"/>
      <c r="B1647" s="5"/>
    </row>
    <row r="1648" spans="1:2" x14ac:dyDescent="0.25">
      <c r="A1648" s="5"/>
      <c r="B1648" s="5"/>
    </row>
    <row r="1649" spans="1:2" x14ac:dyDescent="0.25">
      <c r="A1649" s="5"/>
      <c r="B1649" s="5"/>
    </row>
    <row r="1650" spans="1:2" x14ac:dyDescent="0.25">
      <c r="A1650" s="5"/>
      <c r="B1650" s="5"/>
    </row>
    <row r="1651" spans="1:2" x14ac:dyDescent="0.25">
      <c r="A1651" s="5"/>
      <c r="B1651" s="5"/>
    </row>
    <row r="1652" spans="1:2" x14ac:dyDescent="0.25">
      <c r="A1652" s="5"/>
      <c r="B1652" s="5"/>
    </row>
    <row r="1653" spans="1:2" x14ac:dyDescent="0.25">
      <c r="A1653" s="5"/>
      <c r="B1653" s="5"/>
    </row>
    <row r="1654" spans="1:2" x14ac:dyDescent="0.25">
      <c r="A1654" s="5"/>
      <c r="B1654" s="5"/>
    </row>
    <row r="1655" spans="1:2" x14ac:dyDescent="0.25">
      <c r="A1655" s="5"/>
      <c r="B1655" s="5"/>
    </row>
    <row r="1656" spans="1:2" x14ac:dyDescent="0.25">
      <c r="A1656" s="5"/>
      <c r="B1656" s="5"/>
    </row>
    <row r="1657" spans="1:2" x14ac:dyDescent="0.25">
      <c r="A1657" s="5"/>
      <c r="B1657" s="5"/>
    </row>
    <row r="1658" spans="1:2" x14ac:dyDescent="0.25">
      <c r="A1658" s="5"/>
      <c r="B1658" s="5"/>
    </row>
    <row r="1659" spans="1:2" x14ac:dyDescent="0.25">
      <c r="A1659" s="5"/>
      <c r="B1659" s="5"/>
    </row>
    <row r="1660" spans="1:2" x14ac:dyDescent="0.25">
      <c r="A1660" s="5"/>
      <c r="B1660" s="5"/>
    </row>
    <row r="1661" spans="1:2" x14ac:dyDescent="0.25">
      <c r="A1661" s="5"/>
      <c r="B1661" s="5"/>
    </row>
    <row r="1662" spans="1:2" x14ac:dyDescent="0.25">
      <c r="A1662" s="5"/>
      <c r="B1662" s="5"/>
    </row>
    <row r="1663" spans="1:2" x14ac:dyDescent="0.25">
      <c r="A1663" s="5"/>
      <c r="B1663" s="5"/>
    </row>
    <row r="1664" spans="1:2" x14ac:dyDescent="0.25">
      <c r="A1664" s="5"/>
      <c r="B1664" s="5"/>
    </row>
    <row r="1665" spans="1:2" x14ac:dyDescent="0.25">
      <c r="A1665" s="5"/>
      <c r="B1665" s="5"/>
    </row>
    <row r="1666" spans="1:2" x14ac:dyDescent="0.25">
      <c r="A1666" s="5"/>
      <c r="B1666" s="5"/>
    </row>
    <row r="1667" spans="1:2" x14ac:dyDescent="0.25">
      <c r="A1667" s="5"/>
      <c r="B1667" s="5"/>
    </row>
    <row r="1668" spans="1:2" x14ac:dyDescent="0.25">
      <c r="A1668" s="5"/>
      <c r="B1668" s="5"/>
    </row>
    <row r="1669" spans="1:2" x14ac:dyDescent="0.25">
      <c r="A1669" s="5"/>
      <c r="B1669" s="5"/>
    </row>
    <row r="1670" spans="1:2" x14ac:dyDescent="0.25">
      <c r="A1670" s="5"/>
      <c r="B1670" s="5"/>
    </row>
    <row r="1671" spans="1:2" x14ac:dyDescent="0.25">
      <c r="A1671" s="5"/>
      <c r="B1671" s="5"/>
    </row>
    <row r="1672" spans="1:2" x14ac:dyDescent="0.25">
      <c r="A1672" s="5"/>
      <c r="B1672" s="5"/>
    </row>
    <row r="1673" spans="1:2" x14ac:dyDescent="0.25">
      <c r="A1673" s="5"/>
      <c r="B1673" s="5"/>
    </row>
    <row r="1674" spans="1:2" x14ac:dyDescent="0.25">
      <c r="A1674" s="5"/>
      <c r="B1674" s="5"/>
    </row>
    <row r="1675" spans="1:2" x14ac:dyDescent="0.25">
      <c r="A1675" s="5"/>
      <c r="B1675" s="5"/>
    </row>
    <row r="1676" spans="1:2" x14ac:dyDescent="0.25">
      <c r="A1676" s="5"/>
      <c r="B1676" s="5"/>
    </row>
    <row r="1677" spans="1:2" x14ac:dyDescent="0.25">
      <c r="A1677" s="5"/>
      <c r="B1677" s="5"/>
    </row>
    <row r="1678" spans="1:2" x14ac:dyDescent="0.25">
      <c r="A1678" s="5"/>
      <c r="B1678" s="5"/>
    </row>
    <row r="1679" spans="1:2" x14ac:dyDescent="0.25">
      <c r="A1679" s="5"/>
      <c r="B1679" s="5"/>
    </row>
    <row r="1680" spans="1:2" x14ac:dyDescent="0.25">
      <c r="A1680" s="5"/>
      <c r="B1680" s="5"/>
    </row>
    <row r="1681" spans="1:2" x14ac:dyDescent="0.25">
      <c r="A1681" s="5"/>
      <c r="B1681" s="5"/>
    </row>
    <row r="1682" spans="1:2" x14ac:dyDescent="0.25">
      <c r="A1682" s="5"/>
      <c r="B1682" s="5"/>
    </row>
    <row r="1683" spans="1:2" x14ac:dyDescent="0.25">
      <c r="A1683" s="5"/>
      <c r="B1683" s="5"/>
    </row>
    <row r="1684" spans="1:2" x14ac:dyDescent="0.25">
      <c r="A1684" s="5"/>
      <c r="B1684" s="5"/>
    </row>
    <row r="1685" spans="1:2" x14ac:dyDescent="0.25">
      <c r="A1685" s="5"/>
      <c r="B1685" s="5"/>
    </row>
    <row r="1686" spans="1:2" x14ac:dyDescent="0.25">
      <c r="A1686" s="5"/>
      <c r="B1686" s="5"/>
    </row>
    <row r="1687" spans="1:2" x14ac:dyDescent="0.25">
      <c r="A1687" s="5"/>
      <c r="B1687" s="5"/>
    </row>
    <row r="1688" spans="1:2" x14ac:dyDescent="0.25">
      <c r="A1688" s="5"/>
      <c r="B1688" s="5"/>
    </row>
    <row r="1689" spans="1:2" x14ac:dyDescent="0.25">
      <c r="A1689" s="5"/>
      <c r="B1689" s="5"/>
    </row>
    <row r="1690" spans="1:2" x14ac:dyDescent="0.25">
      <c r="A1690" s="5"/>
      <c r="B1690" s="5"/>
    </row>
    <row r="1691" spans="1:2" x14ac:dyDescent="0.25">
      <c r="A1691" s="5"/>
      <c r="B1691" s="5"/>
    </row>
    <row r="1692" spans="1:2" x14ac:dyDescent="0.25">
      <c r="A1692" s="5"/>
      <c r="B1692" s="5"/>
    </row>
    <row r="1693" spans="1:2" x14ac:dyDescent="0.25">
      <c r="A1693" s="5"/>
      <c r="B1693" s="5"/>
    </row>
    <row r="1694" spans="1:2" x14ac:dyDescent="0.25">
      <c r="A1694" s="5"/>
      <c r="B1694" s="5"/>
    </row>
    <row r="1695" spans="1:2" x14ac:dyDescent="0.25">
      <c r="A1695" s="5"/>
      <c r="B1695" s="5"/>
    </row>
    <row r="1696" spans="1:2" x14ac:dyDescent="0.25">
      <c r="A1696" s="5"/>
      <c r="B1696" s="5"/>
    </row>
    <row r="1697" spans="1:2" x14ac:dyDescent="0.25">
      <c r="A1697" s="5"/>
      <c r="B1697" s="5"/>
    </row>
    <row r="1698" spans="1:2" x14ac:dyDescent="0.25">
      <c r="A1698" s="5"/>
      <c r="B1698" s="5"/>
    </row>
    <row r="1699" spans="1:2" x14ac:dyDescent="0.25">
      <c r="A1699" s="5"/>
      <c r="B1699" s="5"/>
    </row>
    <row r="1700" spans="1:2" x14ac:dyDescent="0.25">
      <c r="A1700" s="5"/>
      <c r="B1700" s="5"/>
    </row>
    <row r="1701" spans="1:2" x14ac:dyDescent="0.25">
      <c r="A1701" s="5"/>
      <c r="B1701" s="5"/>
    </row>
    <row r="1702" spans="1:2" x14ac:dyDescent="0.25">
      <c r="A1702" s="5"/>
      <c r="B1702" s="5"/>
    </row>
    <row r="1703" spans="1:2" x14ac:dyDescent="0.25">
      <c r="A1703" s="5"/>
      <c r="B1703" s="5"/>
    </row>
    <row r="1704" spans="1:2" x14ac:dyDescent="0.25">
      <c r="A1704" s="5"/>
      <c r="B1704" s="5"/>
    </row>
    <row r="1705" spans="1:2" x14ac:dyDescent="0.25">
      <c r="A1705" s="5"/>
      <c r="B1705" s="5"/>
    </row>
    <row r="1706" spans="1:2" x14ac:dyDescent="0.25">
      <c r="A1706" s="5"/>
      <c r="B1706" s="5"/>
    </row>
    <row r="1707" spans="1:2" x14ac:dyDescent="0.25">
      <c r="A1707" s="5"/>
      <c r="B1707" s="5"/>
    </row>
    <row r="1708" spans="1:2" x14ac:dyDescent="0.25">
      <c r="A1708" s="5"/>
      <c r="B1708" s="5"/>
    </row>
    <row r="1709" spans="1:2" x14ac:dyDescent="0.25">
      <c r="A1709" s="5"/>
      <c r="B1709" s="5"/>
    </row>
    <row r="1710" spans="1:2" x14ac:dyDescent="0.25">
      <c r="A1710" s="5"/>
      <c r="B1710" s="5"/>
    </row>
    <row r="1711" spans="1:2" x14ac:dyDescent="0.25">
      <c r="A1711" s="5"/>
      <c r="B1711" s="5"/>
    </row>
    <row r="1712" spans="1:2" x14ac:dyDescent="0.25">
      <c r="A1712" s="5"/>
      <c r="B1712" s="5"/>
    </row>
    <row r="1713" spans="1:2" x14ac:dyDescent="0.25">
      <c r="A1713" s="5"/>
      <c r="B1713" s="5"/>
    </row>
    <row r="1714" spans="1:2" x14ac:dyDescent="0.25">
      <c r="A1714" s="5"/>
      <c r="B1714" s="5"/>
    </row>
    <row r="1715" spans="1:2" x14ac:dyDescent="0.25">
      <c r="A1715" s="5"/>
      <c r="B1715" s="5"/>
    </row>
    <row r="1716" spans="1:2" x14ac:dyDescent="0.25">
      <c r="A1716" s="5"/>
      <c r="B1716" s="5"/>
    </row>
    <row r="1717" spans="1:2" x14ac:dyDescent="0.25">
      <c r="A1717" s="5"/>
      <c r="B1717" s="5"/>
    </row>
    <row r="1718" spans="1:2" x14ac:dyDescent="0.25">
      <c r="A1718" s="5"/>
      <c r="B1718" s="5"/>
    </row>
    <row r="1719" spans="1:2" x14ac:dyDescent="0.25">
      <c r="A1719" s="5"/>
      <c r="B1719" s="5"/>
    </row>
    <row r="1720" spans="1:2" x14ac:dyDescent="0.25">
      <c r="A1720" s="5"/>
      <c r="B1720" s="5"/>
    </row>
    <row r="1721" spans="1:2" x14ac:dyDescent="0.25">
      <c r="A1721" s="5"/>
      <c r="B1721" s="5"/>
    </row>
    <row r="1722" spans="1:2" x14ac:dyDescent="0.25">
      <c r="A1722" s="5"/>
      <c r="B1722" s="5"/>
    </row>
    <row r="1723" spans="1:2" x14ac:dyDescent="0.25">
      <c r="A1723" s="5"/>
      <c r="B1723" s="5"/>
    </row>
    <row r="1724" spans="1:2" x14ac:dyDescent="0.25">
      <c r="A1724" s="5"/>
      <c r="B1724" s="5"/>
    </row>
    <row r="1725" spans="1:2" x14ac:dyDescent="0.25">
      <c r="A1725" s="5"/>
      <c r="B1725" s="5"/>
    </row>
    <row r="1726" spans="1:2" x14ac:dyDescent="0.25">
      <c r="A1726" s="5"/>
      <c r="B1726" s="5"/>
    </row>
    <row r="1727" spans="1:2" x14ac:dyDescent="0.25">
      <c r="A1727" s="5"/>
      <c r="B1727" s="5"/>
    </row>
    <row r="1728" spans="1:2" x14ac:dyDescent="0.25">
      <c r="A1728" s="5"/>
      <c r="B1728" s="5"/>
    </row>
    <row r="1729" spans="1:2" x14ac:dyDescent="0.25">
      <c r="A1729" s="5"/>
      <c r="B1729" s="5"/>
    </row>
    <row r="1730" spans="1:2" x14ac:dyDescent="0.25">
      <c r="A1730" s="5"/>
      <c r="B1730" s="5"/>
    </row>
    <row r="1731" spans="1:2" x14ac:dyDescent="0.25">
      <c r="A1731" s="5"/>
      <c r="B1731" s="5"/>
    </row>
    <row r="1732" spans="1:2" x14ac:dyDescent="0.25">
      <c r="A1732" s="5"/>
      <c r="B1732" s="5"/>
    </row>
    <row r="1733" spans="1:2" x14ac:dyDescent="0.25">
      <c r="A1733" s="5"/>
      <c r="B1733" s="5"/>
    </row>
    <row r="1734" spans="1:2" x14ac:dyDescent="0.25">
      <c r="A1734" s="5"/>
      <c r="B1734" s="5"/>
    </row>
    <row r="1735" spans="1:2" x14ac:dyDescent="0.25">
      <c r="A1735" s="5"/>
      <c r="B1735" s="5"/>
    </row>
    <row r="1736" spans="1:2" x14ac:dyDescent="0.25">
      <c r="A1736" s="5"/>
      <c r="B1736" s="5"/>
    </row>
    <row r="1737" spans="1:2" x14ac:dyDescent="0.25">
      <c r="A1737" s="5"/>
      <c r="B1737" s="5"/>
    </row>
    <row r="1738" spans="1:2" x14ac:dyDescent="0.25">
      <c r="A1738" s="5"/>
      <c r="B1738" s="5"/>
    </row>
    <row r="1739" spans="1:2" x14ac:dyDescent="0.25">
      <c r="A1739" s="5"/>
      <c r="B1739" s="5"/>
    </row>
    <row r="1740" spans="1:2" x14ac:dyDescent="0.25">
      <c r="A1740" s="5"/>
      <c r="B1740" s="5"/>
    </row>
    <row r="1741" spans="1:2" x14ac:dyDescent="0.25">
      <c r="A1741" s="5"/>
      <c r="B1741" s="5"/>
    </row>
    <row r="1742" spans="1:2" x14ac:dyDescent="0.25">
      <c r="A1742" s="5"/>
      <c r="B1742" s="5"/>
    </row>
    <row r="1743" spans="1:2" x14ac:dyDescent="0.25">
      <c r="A1743" s="5"/>
      <c r="B1743" s="5"/>
    </row>
    <row r="1744" spans="1:2" x14ac:dyDescent="0.25">
      <c r="A1744" s="5"/>
      <c r="B1744" s="5"/>
    </row>
    <row r="1745" spans="1:2" x14ac:dyDescent="0.25">
      <c r="A1745" s="5"/>
      <c r="B1745" s="5"/>
    </row>
    <row r="1746" spans="1:2" x14ac:dyDescent="0.25">
      <c r="A1746" s="5"/>
      <c r="B1746" s="5"/>
    </row>
    <row r="1747" spans="1:2" x14ac:dyDescent="0.25">
      <c r="A1747" s="5"/>
      <c r="B1747" s="5"/>
    </row>
    <row r="1748" spans="1:2" x14ac:dyDescent="0.25">
      <c r="A1748" s="5"/>
      <c r="B1748" s="5"/>
    </row>
    <row r="1749" spans="1:2" x14ac:dyDescent="0.25">
      <c r="A1749" s="5"/>
      <c r="B1749" s="5"/>
    </row>
    <row r="1750" spans="1:2" x14ac:dyDescent="0.25">
      <c r="A1750" s="5"/>
      <c r="B1750" s="5"/>
    </row>
    <row r="1751" spans="1:2" x14ac:dyDescent="0.25">
      <c r="A1751" s="5"/>
      <c r="B1751" s="5"/>
    </row>
    <row r="1752" spans="1:2" x14ac:dyDescent="0.25">
      <c r="A1752" s="5"/>
      <c r="B1752" s="5"/>
    </row>
    <row r="1753" spans="1:2" x14ac:dyDescent="0.25">
      <c r="A1753" s="5"/>
      <c r="B1753" s="5"/>
    </row>
    <row r="1754" spans="1:2" x14ac:dyDescent="0.25">
      <c r="A1754" s="5"/>
      <c r="B1754" s="5"/>
    </row>
    <row r="1755" spans="1:2" x14ac:dyDescent="0.25">
      <c r="A1755" s="5"/>
      <c r="B1755" s="5"/>
    </row>
    <row r="1756" spans="1:2" x14ac:dyDescent="0.25">
      <c r="A1756" s="5"/>
      <c r="B1756" s="5"/>
    </row>
    <row r="1757" spans="1:2" x14ac:dyDescent="0.25">
      <c r="A1757" s="5"/>
      <c r="B1757" s="5"/>
    </row>
    <row r="1758" spans="1:2" x14ac:dyDescent="0.25">
      <c r="A1758" s="5"/>
      <c r="B1758" s="5"/>
    </row>
    <row r="1759" spans="1:2" x14ac:dyDescent="0.25">
      <c r="A1759" s="5"/>
      <c r="B1759" s="5"/>
    </row>
    <row r="1760" spans="1:2" x14ac:dyDescent="0.25">
      <c r="A1760" s="5"/>
      <c r="B1760" s="5"/>
    </row>
    <row r="1761" spans="1:2" x14ac:dyDescent="0.25">
      <c r="A1761" s="5"/>
      <c r="B1761" s="5"/>
    </row>
    <row r="1762" spans="1:2" x14ac:dyDescent="0.25">
      <c r="A1762" s="5"/>
      <c r="B1762" s="5"/>
    </row>
    <row r="1763" spans="1:2" x14ac:dyDescent="0.25">
      <c r="A1763" s="5"/>
      <c r="B1763" s="5"/>
    </row>
    <row r="1764" spans="1:2" x14ac:dyDescent="0.25">
      <c r="A1764" s="5"/>
      <c r="B1764" s="5"/>
    </row>
    <row r="1765" spans="1:2" x14ac:dyDescent="0.25">
      <c r="A1765" s="5"/>
      <c r="B1765" s="5"/>
    </row>
    <row r="1766" spans="1:2" x14ac:dyDescent="0.25">
      <c r="A1766" s="5"/>
      <c r="B1766" s="5"/>
    </row>
    <row r="1767" spans="1:2" x14ac:dyDescent="0.25">
      <c r="A1767" s="5"/>
      <c r="B1767" s="5"/>
    </row>
    <row r="1768" spans="1:2" x14ac:dyDescent="0.25">
      <c r="A1768" s="5"/>
      <c r="B1768" s="5"/>
    </row>
    <row r="1769" spans="1:2" x14ac:dyDescent="0.25">
      <c r="A1769" s="5"/>
      <c r="B1769" s="5"/>
    </row>
    <row r="1770" spans="1:2" x14ac:dyDescent="0.25">
      <c r="A1770" s="5"/>
      <c r="B1770" s="5"/>
    </row>
    <row r="1771" spans="1:2" x14ac:dyDescent="0.25">
      <c r="A1771" s="5"/>
      <c r="B1771" s="5"/>
    </row>
    <row r="1772" spans="1:2" x14ac:dyDescent="0.25">
      <c r="A1772" s="5"/>
      <c r="B1772" s="5"/>
    </row>
    <row r="1773" spans="1:2" x14ac:dyDescent="0.25">
      <c r="A1773" s="5"/>
      <c r="B1773" s="5"/>
    </row>
    <row r="1774" spans="1:2" x14ac:dyDescent="0.25">
      <c r="A1774" s="5"/>
      <c r="B1774" s="5"/>
    </row>
    <row r="1775" spans="1:2" x14ac:dyDescent="0.25">
      <c r="A1775" s="5"/>
      <c r="B1775" s="5"/>
    </row>
    <row r="1776" spans="1:2" x14ac:dyDescent="0.25">
      <c r="A1776" s="5"/>
      <c r="B1776" s="5"/>
    </row>
    <row r="1777" spans="1:2" x14ac:dyDescent="0.25">
      <c r="A1777" s="5"/>
      <c r="B1777" s="5"/>
    </row>
    <row r="1778" spans="1:2" x14ac:dyDescent="0.25">
      <c r="A1778" s="5"/>
      <c r="B1778" s="5"/>
    </row>
    <row r="1779" spans="1:2" x14ac:dyDescent="0.25">
      <c r="A1779" s="5"/>
      <c r="B1779" s="5"/>
    </row>
    <row r="1780" spans="1:2" x14ac:dyDescent="0.25">
      <c r="A1780" s="5"/>
      <c r="B1780" s="5"/>
    </row>
    <row r="1781" spans="1:2" x14ac:dyDescent="0.25">
      <c r="A1781" s="5"/>
      <c r="B1781" s="5"/>
    </row>
    <row r="1782" spans="1:2" x14ac:dyDescent="0.25">
      <c r="A1782" s="5"/>
      <c r="B1782" s="5"/>
    </row>
    <row r="1783" spans="1:2" x14ac:dyDescent="0.25">
      <c r="A1783" s="5"/>
      <c r="B1783" s="5"/>
    </row>
    <row r="1784" spans="1:2" x14ac:dyDescent="0.25">
      <c r="A1784" s="5"/>
      <c r="B1784" s="5"/>
    </row>
    <row r="1785" spans="1:2" x14ac:dyDescent="0.25">
      <c r="A1785" s="5"/>
      <c r="B1785" s="5"/>
    </row>
    <row r="1786" spans="1:2" x14ac:dyDescent="0.25">
      <c r="A1786" s="5"/>
      <c r="B1786" s="5"/>
    </row>
    <row r="1787" spans="1:2" x14ac:dyDescent="0.25">
      <c r="A1787" s="5"/>
      <c r="B1787" s="5"/>
    </row>
    <row r="1788" spans="1:2" x14ac:dyDescent="0.25">
      <c r="A1788" s="5"/>
      <c r="B1788" s="5"/>
    </row>
    <row r="1789" spans="1:2" x14ac:dyDescent="0.25">
      <c r="A1789" s="5"/>
      <c r="B1789" s="5"/>
    </row>
    <row r="1790" spans="1:2" x14ac:dyDescent="0.25">
      <c r="A1790" s="5"/>
      <c r="B1790" s="5"/>
    </row>
    <row r="1791" spans="1:2" x14ac:dyDescent="0.25">
      <c r="A1791" s="5"/>
      <c r="B1791" s="5"/>
    </row>
    <row r="1792" spans="1:2" x14ac:dyDescent="0.25">
      <c r="A1792" s="5"/>
      <c r="B1792" s="5"/>
    </row>
    <row r="1793" spans="1:2" x14ac:dyDescent="0.25">
      <c r="A1793" s="5"/>
      <c r="B1793" s="5"/>
    </row>
    <row r="1794" spans="1:2" x14ac:dyDescent="0.25">
      <c r="A1794" s="5"/>
      <c r="B1794" s="5"/>
    </row>
    <row r="1795" spans="1:2" x14ac:dyDescent="0.25">
      <c r="A1795" s="5"/>
      <c r="B1795" s="5"/>
    </row>
    <row r="1796" spans="1:2" x14ac:dyDescent="0.25">
      <c r="A1796" s="5"/>
      <c r="B1796" s="5"/>
    </row>
    <row r="1797" spans="1:2" x14ac:dyDescent="0.25">
      <c r="A1797" s="5"/>
      <c r="B1797" s="5"/>
    </row>
    <row r="1798" spans="1:2" x14ac:dyDescent="0.25">
      <c r="A1798" s="5"/>
      <c r="B1798" s="5"/>
    </row>
    <row r="1799" spans="1:2" x14ac:dyDescent="0.25">
      <c r="A1799" s="5"/>
      <c r="B1799" s="5"/>
    </row>
    <row r="1800" spans="1:2" x14ac:dyDescent="0.25">
      <c r="A1800" s="5"/>
      <c r="B1800" s="5"/>
    </row>
    <row r="1801" spans="1:2" x14ac:dyDescent="0.25">
      <c r="A1801" s="5"/>
      <c r="B1801" s="5"/>
    </row>
    <row r="1802" spans="1:2" x14ac:dyDescent="0.25">
      <c r="A1802" s="5"/>
      <c r="B1802" s="5"/>
    </row>
    <row r="1803" spans="1:2" x14ac:dyDescent="0.25">
      <c r="A1803" s="5"/>
      <c r="B1803" s="5"/>
    </row>
    <row r="1804" spans="1:2" x14ac:dyDescent="0.25">
      <c r="A1804" s="5"/>
      <c r="B1804" s="5"/>
    </row>
    <row r="1805" spans="1:2" x14ac:dyDescent="0.25">
      <c r="A1805" s="5"/>
      <c r="B1805" s="5"/>
    </row>
    <row r="1806" spans="1:2" x14ac:dyDescent="0.25">
      <c r="A1806" s="5"/>
      <c r="B1806" s="5"/>
    </row>
    <row r="1807" spans="1:2" x14ac:dyDescent="0.25">
      <c r="A1807" s="5"/>
      <c r="B1807" s="5"/>
    </row>
    <row r="1808" spans="1:2" x14ac:dyDescent="0.25">
      <c r="A1808" s="5"/>
      <c r="B1808" s="5"/>
    </row>
    <row r="1809" spans="1:2" x14ac:dyDescent="0.25">
      <c r="A1809" s="5"/>
      <c r="B1809" s="5"/>
    </row>
    <row r="1810" spans="1:2" x14ac:dyDescent="0.25">
      <c r="A1810" s="5"/>
      <c r="B1810" s="5"/>
    </row>
    <row r="1811" spans="1:2" x14ac:dyDescent="0.25">
      <c r="A1811" s="5"/>
      <c r="B1811" s="5"/>
    </row>
    <row r="1812" spans="1:2" x14ac:dyDescent="0.25">
      <c r="A1812" s="5"/>
      <c r="B1812" s="5"/>
    </row>
    <row r="1813" spans="1:2" x14ac:dyDescent="0.25">
      <c r="A1813" s="5"/>
      <c r="B1813" s="5"/>
    </row>
    <row r="1814" spans="1:2" x14ac:dyDescent="0.25">
      <c r="A1814" s="5"/>
      <c r="B1814" s="5"/>
    </row>
    <row r="1815" spans="1:2" x14ac:dyDescent="0.25">
      <c r="A1815" s="5"/>
      <c r="B1815" s="5"/>
    </row>
    <row r="1816" spans="1:2" x14ac:dyDescent="0.25">
      <c r="A1816" s="5"/>
      <c r="B1816" s="5"/>
    </row>
    <row r="1817" spans="1:2" x14ac:dyDescent="0.25">
      <c r="A1817" s="5"/>
      <c r="B1817" s="5"/>
    </row>
    <row r="1818" spans="1:2" x14ac:dyDescent="0.25">
      <c r="A1818" s="5"/>
      <c r="B1818" s="5"/>
    </row>
    <row r="1819" spans="1:2" x14ac:dyDescent="0.25">
      <c r="A1819" s="5"/>
      <c r="B1819" s="5"/>
    </row>
    <row r="1820" spans="1:2" x14ac:dyDescent="0.25">
      <c r="A1820" s="5"/>
      <c r="B1820" s="5"/>
    </row>
    <row r="1821" spans="1:2" x14ac:dyDescent="0.25">
      <c r="A1821" s="5"/>
      <c r="B1821" s="5"/>
    </row>
    <row r="1822" spans="1:2" x14ac:dyDescent="0.25">
      <c r="A1822" s="5"/>
      <c r="B1822" s="5"/>
    </row>
    <row r="1823" spans="1:2" x14ac:dyDescent="0.25">
      <c r="A1823" s="5"/>
      <c r="B1823" s="5"/>
    </row>
    <row r="1824" spans="1:2" x14ac:dyDescent="0.25">
      <c r="A1824" s="5"/>
      <c r="B1824" s="5"/>
    </row>
    <row r="1825" spans="1:2" x14ac:dyDescent="0.25">
      <c r="A1825" s="5"/>
      <c r="B1825" s="5"/>
    </row>
    <row r="1826" spans="1:2" x14ac:dyDescent="0.25">
      <c r="A1826" s="5"/>
      <c r="B1826" s="5"/>
    </row>
    <row r="1827" spans="1:2" x14ac:dyDescent="0.25">
      <c r="A1827" s="5"/>
      <c r="B1827" s="5"/>
    </row>
    <row r="1828" spans="1:2" x14ac:dyDescent="0.25">
      <c r="A1828" s="5"/>
      <c r="B1828" s="5"/>
    </row>
    <row r="1829" spans="1:2" x14ac:dyDescent="0.25">
      <c r="A1829" s="5"/>
      <c r="B1829" s="5"/>
    </row>
    <row r="1830" spans="1:2" x14ac:dyDescent="0.25">
      <c r="A1830" s="5"/>
      <c r="B1830" s="5"/>
    </row>
    <row r="1831" spans="1:2" x14ac:dyDescent="0.25">
      <c r="A1831" s="5"/>
      <c r="B1831" s="5"/>
    </row>
    <row r="1832" spans="1:2" x14ac:dyDescent="0.25">
      <c r="A1832" s="5"/>
      <c r="B1832" s="5"/>
    </row>
    <row r="1833" spans="1:2" x14ac:dyDescent="0.25">
      <c r="A1833" s="5"/>
      <c r="B1833" s="5"/>
    </row>
    <row r="1834" spans="1:2" x14ac:dyDescent="0.25">
      <c r="A1834" s="5"/>
      <c r="B1834" s="5"/>
    </row>
    <row r="1835" spans="1:2" x14ac:dyDescent="0.25">
      <c r="A1835" s="5"/>
      <c r="B1835" s="5"/>
    </row>
    <row r="1836" spans="1:2" x14ac:dyDescent="0.25">
      <c r="A1836" s="5"/>
      <c r="B1836" s="5"/>
    </row>
    <row r="1837" spans="1:2" x14ac:dyDescent="0.25">
      <c r="A1837" s="5"/>
      <c r="B1837" s="5"/>
    </row>
    <row r="1838" spans="1:2" x14ac:dyDescent="0.25">
      <c r="A1838" s="5"/>
      <c r="B1838" s="5"/>
    </row>
    <row r="1839" spans="1:2" x14ac:dyDescent="0.25">
      <c r="A1839" s="5"/>
      <c r="B1839" s="5"/>
    </row>
    <row r="1840" spans="1:2" x14ac:dyDescent="0.25">
      <c r="A1840" s="5"/>
      <c r="B1840" s="5"/>
    </row>
    <row r="1841" spans="1:2" x14ac:dyDescent="0.25">
      <c r="A1841" s="5"/>
      <c r="B1841" s="5"/>
    </row>
    <row r="1842" spans="1:2" x14ac:dyDescent="0.25">
      <c r="A1842" s="5"/>
      <c r="B1842" s="5"/>
    </row>
    <row r="1843" spans="1:2" x14ac:dyDescent="0.25">
      <c r="A1843" s="5"/>
      <c r="B1843" s="5"/>
    </row>
    <row r="1844" spans="1:2" x14ac:dyDescent="0.25">
      <c r="A1844" s="5"/>
      <c r="B1844" s="5"/>
    </row>
    <row r="1845" spans="1:2" x14ac:dyDescent="0.25">
      <c r="A1845" s="5"/>
      <c r="B1845" s="5"/>
    </row>
    <row r="1846" spans="1:2" x14ac:dyDescent="0.25">
      <c r="A1846" s="5"/>
      <c r="B1846" s="5"/>
    </row>
    <row r="1847" spans="1:2" x14ac:dyDescent="0.25">
      <c r="A1847" s="5"/>
      <c r="B1847" s="5"/>
    </row>
    <row r="1848" spans="1:2" x14ac:dyDescent="0.25">
      <c r="A1848" s="5"/>
      <c r="B1848" s="5"/>
    </row>
    <row r="1849" spans="1:2" x14ac:dyDescent="0.25">
      <c r="A1849" s="5"/>
      <c r="B1849" s="5"/>
    </row>
    <row r="1850" spans="1:2" x14ac:dyDescent="0.25">
      <c r="A1850" s="5"/>
      <c r="B1850" s="5"/>
    </row>
    <row r="1851" spans="1:2" x14ac:dyDescent="0.25">
      <c r="A1851" s="5"/>
      <c r="B1851" s="5"/>
    </row>
    <row r="1852" spans="1:2" x14ac:dyDescent="0.25">
      <c r="A1852" s="5"/>
      <c r="B1852" s="5"/>
    </row>
    <row r="1853" spans="1:2" x14ac:dyDescent="0.25">
      <c r="A1853" s="5"/>
      <c r="B1853" s="5"/>
    </row>
    <row r="1854" spans="1:2" x14ac:dyDescent="0.25">
      <c r="A1854" s="5"/>
      <c r="B1854" s="5"/>
    </row>
    <row r="1855" spans="1:2" x14ac:dyDescent="0.25">
      <c r="A1855" s="5"/>
      <c r="B1855" s="5"/>
    </row>
    <row r="1856" spans="1:2" x14ac:dyDescent="0.25">
      <c r="A1856" s="5"/>
      <c r="B1856" s="5"/>
    </row>
    <row r="1857" spans="1:2" x14ac:dyDescent="0.25">
      <c r="A1857" s="5"/>
      <c r="B1857" s="5"/>
    </row>
    <row r="1858" spans="1:2" x14ac:dyDescent="0.25">
      <c r="A1858" s="5"/>
      <c r="B1858" s="5"/>
    </row>
    <row r="1859" spans="1:2" x14ac:dyDescent="0.25">
      <c r="A1859" s="5"/>
      <c r="B1859" s="5"/>
    </row>
    <row r="1860" spans="1:2" x14ac:dyDescent="0.25">
      <c r="A1860" s="5"/>
      <c r="B1860" s="5"/>
    </row>
    <row r="1861" spans="1:2" x14ac:dyDescent="0.25">
      <c r="A1861" s="5"/>
      <c r="B1861" s="5"/>
    </row>
    <row r="1862" spans="1:2" x14ac:dyDescent="0.25">
      <c r="A1862" s="5"/>
      <c r="B1862" s="5"/>
    </row>
    <row r="1863" spans="1:2" x14ac:dyDescent="0.25">
      <c r="A1863" s="5"/>
      <c r="B1863" s="5"/>
    </row>
    <row r="1864" spans="1:2" x14ac:dyDescent="0.25">
      <c r="A1864" s="5"/>
      <c r="B1864" s="5"/>
    </row>
    <row r="1865" spans="1:2" x14ac:dyDescent="0.25">
      <c r="A1865" s="5"/>
      <c r="B1865" s="5"/>
    </row>
    <row r="1866" spans="1:2" x14ac:dyDescent="0.25">
      <c r="A1866" s="5"/>
      <c r="B1866" s="5"/>
    </row>
    <row r="1867" spans="1:2" x14ac:dyDescent="0.25">
      <c r="A1867" s="5"/>
      <c r="B1867" s="5"/>
    </row>
    <row r="1868" spans="1:2" x14ac:dyDescent="0.25">
      <c r="A1868" s="5"/>
      <c r="B1868" s="5"/>
    </row>
    <row r="1869" spans="1:2" x14ac:dyDescent="0.25">
      <c r="A1869" s="5"/>
      <c r="B1869" s="5"/>
    </row>
    <row r="1870" spans="1:2" x14ac:dyDescent="0.25">
      <c r="A1870" s="5"/>
      <c r="B1870" s="5"/>
    </row>
    <row r="1871" spans="1:2" x14ac:dyDescent="0.25">
      <c r="A1871" s="5"/>
      <c r="B1871" s="5"/>
    </row>
    <row r="1872" spans="1:2" x14ac:dyDescent="0.25">
      <c r="A1872" s="5"/>
      <c r="B1872" s="5"/>
    </row>
    <row r="1873" spans="1:2" x14ac:dyDescent="0.25">
      <c r="A1873" s="5"/>
      <c r="B1873" s="5"/>
    </row>
    <row r="1874" spans="1:2" x14ac:dyDescent="0.25">
      <c r="A1874" s="5"/>
      <c r="B1874" s="5"/>
    </row>
    <row r="1875" spans="1:2" x14ac:dyDescent="0.25">
      <c r="A1875" s="5"/>
      <c r="B1875" s="5"/>
    </row>
    <row r="1876" spans="1:2" x14ac:dyDescent="0.25">
      <c r="A1876" s="5"/>
      <c r="B1876" s="5"/>
    </row>
    <row r="1877" spans="1:2" x14ac:dyDescent="0.25">
      <c r="A1877" s="5"/>
      <c r="B1877" s="5"/>
    </row>
    <row r="1878" spans="1:2" x14ac:dyDescent="0.25">
      <c r="A1878" s="5"/>
      <c r="B1878" s="5"/>
    </row>
    <row r="1879" spans="1:2" x14ac:dyDescent="0.25">
      <c r="A1879" s="5"/>
      <c r="B1879" s="5"/>
    </row>
    <row r="1880" spans="1:2" x14ac:dyDescent="0.25">
      <c r="A1880" s="5"/>
      <c r="B1880" s="5"/>
    </row>
    <row r="1881" spans="1:2" x14ac:dyDescent="0.25">
      <c r="A1881" s="5"/>
      <c r="B1881" s="5"/>
    </row>
    <row r="1882" spans="1:2" x14ac:dyDescent="0.25">
      <c r="A1882" s="5"/>
      <c r="B1882" s="5"/>
    </row>
    <row r="1883" spans="1:2" x14ac:dyDescent="0.25">
      <c r="A1883" s="5"/>
      <c r="B1883" s="5"/>
    </row>
    <row r="1884" spans="1:2" x14ac:dyDescent="0.25">
      <c r="A1884" s="5"/>
      <c r="B1884" s="5"/>
    </row>
    <row r="1885" spans="1:2" x14ac:dyDescent="0.25">
      <c r="A1885" s="5"/>
      <c r="B1885" s="5"/>
    </row>
    <row r="1886" spans="1:2" x14ac:dyDescent="0.25">
      <c r="A1886" s="5"/>
      <c r="B1886" s="5"/>
    </row>
    <row r="1887" spans="1:2" x14ac:dyDescent="0.25">
      <c r="A1887" s="5"/>
      <c r="B1887" s="5"/>
    </row>
    <row r="1888" spans="1:2" x14ac:dyDescent="0.25">
      <c r="A1888" s="5"/>
      <c r="B1888" s="5"/>
    </row>
    <row r="1889" spans="1:2" x14ac:dyDescent="0.25">
      <c r="A1889" s="5"/>
      <c r="B1889" s="5"/>
    </row>
    <row r="1890" spans="1:2" x14ac:dyDescent="0.25">
      <c r="A1890" s="5"/>
      <c r="B1890" s="5"/>
    </row>
    <row r="1891" spans="1:2" x14ac:dyDescent="0.25">
      <c r="A1891" s="5"/>
      <c r="B1891" s="5"/>
    </row>
    <row r="1892" spans="1:2" x14ac:dyDescent="0.25">
      <c r="A1892" s="5"/>
      <c r="B1892" s="5"/>
    </row>
    <row r="1893" spans="1:2" x14ac:dyDescent="0.25">
      <c r="A1893" s="5"/>
      <c r="B1893" s="5"/>
    </row>
    <row r="1894" spans="1:2" x14ac:dyDescent="0.25">
      <c r="A1894" s="5"/>
      <c r="B1894" s="5"/>
    </row>
    <row r="1895" spans="1:2" x14ac:dyDescent="0.25">
      <c r="A1895" s="5"/>
      <c r="B1895" s="5"/>
    </row>
    <row r="1896" spans="1:2" x14ac:dyDescent="0.25">
      <c r="A1896" s="5"/>
      <c r="B1896" s="5"/>
    </row>
    <row r="1897" spans="1:2" x14ac:dyDescent="0.25">
      <c r="A1897" s="5"/>
      <c r="B1897" s="5"/>
    </row>
    <row r="1898" spans="1:2" x14ac:dyDescent="0.25">
      <c r="A1898" s="5"/>
      <c r="B1898" s="5"/>
    </row>
    <row r="1899" spans="1:2" x14ac:dyDescent="0.25">
      <c r="A1899" s="5"/>
      <c r="B1899" s="5"/>
    </row>
    <row r="1900" spans="1:2" x14ac:dyDescent="0.25">
      <c r="A1900" s="5"/>
      <c r="B1900" s="5"/>
    </row>
    <row r="1901" spans="1:2" x14ac:dyDescent="0.25">
      <c r="A1901" s="5"/>
      <c r="B1901" s="5"/>
    </row>
    <row r="1902" spans="1:2" x14ac:dyDescent="0.25">
      <c r="A1902" s="5"/>
      <c r="B1902" s="5"/>
    </row>
    <row r="1903" spans="1:2" x14ac:dyDescent="0.25">
      <c r="A1903" s="5"/>
      <c r="B1903" s="5"/>
    </row>
    <row r="1904" spans="1:2" x14ac:dyDescent="0.25">
      <c r="A1904" s="5"/>
      <c r="B1904" s="5"/>
    </row>
    <row r="1905" spans="1:2" x14ac:dyDescent="0.25">
      <c r="A1905" s="5"/>
      <c r="B1905" s="5"/>
    </row>
    <row r="1906" spans="1:2" x14ac:dyDescent="0.25">
      <c r="A1906" s="5"/>
      <c r="B1906" s="5"/>
    </row>
    <row r="1907" spans="1:2" x14ac:dyDescent="0.25">
      <c r="A1907" s="5"/>
      <c r="B1907" s="5"/>
    </row>
    <row r="1908" spans="1:2" x14ac:dyDescent="0.25">
      <c r="A1908" s="5"/>
      <c r="B1908" s="5"/>
    </row>
    <row r="1909" spans="1:2" x14ac:dyDescent="0.25">
      <c r="A1909" s="5"/>
      <c r="B1909" s="5"/>
    </row>
    <row r="1910" spans="1:2" x14ac:dyDescent="0.25">
      <c r="A1910" s="5"/>
      <c r="B1910" s="5"/>
    </row>
    <row r="1911" spans="1:2" x14ac:dyDescent="0.25">
      <c r="A1911" s="5"/>
      <c r="B1911" s="5"/>
    </row>
    <row r="1912" spans="1:2" x14ac:dyDescent="0.25">
      <c r="A1912" s="5"/>
      <c r="B1912" s="5"/>
    </row>
    <row r="1913" spans="1:2" x14ac:dyDescent="0.25">
      <c r="A1913" s="5"/>
      <c r="B1913" s="5"/>
    </row>
    <row r="1914" spans="1:2" x14ac:dyDescent="0.25">
      <c r="A1914" s="5"/>
      <c r="B1914" s="5"/>
    </row>
    <row r="1915" spans="1:2" x14ac:dyDescent="0.25">
      <c r="A1915" s="5"/>
      <c r="B1915" s="5"/>
    </row>
    <row r="1916" spans="1:2" x14ac:dyDescent="0.25">
      <c r="A1916" s="5"/>
      <c r="B1916" s="5"/>
    </row>
    <row r="1917" spans="1:2" x14ac:dyDescent="0.25">
      <c r="A1917" s="5"/>
      <c r="B1917" s="5"/>
    </row>
    <row r="1918" spans="1:2" x14ac:dyDescent="0.25">
      <c r="A1918" s="5"/>
      <c r="B1918" s="5"/>
    </row>
    <row r="1919" spans="1:2" x14ac:dyDescent="0.25">
      <c r="A1919" s="5"/>
      <c r="B1919" s="5"/>
    </row>
    <row r="1920" spans="1:2" x14ac:dyDescent="0.25">
      <c r="A1920" s="5"/>
      <c r="B1920" s="5"/>
    </row>
    <row r="1921" spans="1:2" x14ac:dyDescent="0.25">
      <c r="A1921" s="5"/>
      <c r="B1921" s="5"/>
    </row>
    <row r="1922" spans="1:2" x14ac:dyDescent="0.25">
      <c r="A1922" s="5"/>
      <c r="B1922" s="5"/>
    </row>
    <row r="1923" spans="1:2" x14ac:dyDescent="0.25">
      <c r="A1923" s="5"/>
      <c r="B1923" s="5"/>
    </row>
    <row r="1924" spans="1:2" x14ac:dyDescent="0.25">
      <c r="A1924" s="5"/>
      <c r="B1924" s="5"/>
    </row>
    <row r="1925" spans="1:2" x14ac:dyDescent="0.25">
      <c r="A1925" s="5"/>
      <c r="B1925" s="5"/>
    </row>
    <row r="1926" spans="1:2" x14ac:dyDescent="0.25">
      <c r="A1926" s="5"/>
      <c r="B1926" s="5"/>
    </row>
    <row r="1927" spans="1:2" x14ac:dyDescent="0.25">
      <c r="A1927" s="5"/>
      <c r="B1927" s="5"/>
    </row>
    <row r="1928" spans="1:2" x14ac:dyDescent="0.25">
      <c r="A1928" s="5"/>
      <c r="B1928" s="5"/>
    </row>
    <row r="1929" spans="1:2" x14ac:dyDescent="0.25">
      <c r="A1929" s="5"/>
      <c r="B1929" s="5"/>
    </row>
    <row r="1930" spans="1:2" x14ac:dyDescent="0.25">
      <c r="A1930" s="5"/>
      <c r="B1930" s="5"/>
    </row>
    <row r="1931" spans="1:2" x14ac:dyDescent="0.25">
      <c r="A1931" s="5"/>
      <c r="B1931" s="5"/>
    </row>
    <row r="1932" spans="1:2" x14ac:dyDescent="0.25">
      <c r="A1932" s="5"/>
      <c r="B1932" s="5"/>
    </row>
    <row r="1933" spans="1:2" x14ac:dyDescent="0.25">
      <c r="A1933" s="5"/>
      <c r="B1933" s="5"/>
    </row>
    <row r="1934" spans="1:2" x14ac:dyDescent="0.25">
      <c r="A1934" s="5"/>
      <c r="B1934" s="5"/>
    </row>
    <row r="1935" spans="1:2" x14ac:dyDescent="0.25">
      <c r="A1935" s="5"/>
      <c r="B1935" s="5"/>
    </row>
    <row r="1936" spans="1:2" x14ac:dyDescent="0.25">
      <c r="A1936" s="5"/>
      <c r="B1936" s="5"/>
    </row>
    <row r="1937" spans="1:2" x14ac:dyDescent="0.25">
      <c r="A1937" s="5"/>
      <c r="B1937" s="5"/>
    </row>
    <row r="1938" spans="1:2" x14ac:dyDescent="0.25">
      <c r="A1938" s="5"/>
      <c r="B1938" s="5"/>
    </row>
    <row r="1939" spans="1:2" x14ac:dyDescent="0.25">
      <c r="A1939" s="5"/>
      <c r="B1939" s="5"/>
    </row>
    <row r="1940" spans="1:2" x14ac:dyDescent="0.25">
      <c r="A1940" s="5"/>
      <c r="B1940" s="5"/>
    </row>
    <row r="1941" spans="1:2" x14ac:dyDescent="0.25">
      <c r="A1941" s="5"/>
      <c r="B1941" s="5"/>
    </row>
    <row r="1942" spans="1:2" x14ac:dyDescent="0.25">
      <c r="A1942" s="5"/>
      <c r="B1942" s="5"/>
    </row>
    <row r="1943" spans="1:2" x14ac:dyDescent="0.25">
      <c r="A1943" s="5"/>
      <c r="B1943" s="5"/>
    </row>
    <row r="1944" spans="1:2" x14ac:dyDescent="0.25">
      <c r="A1944" s="5"/>
      <c r="B1944" s="5"/>
    </row>
    <row r="1945" spans="1:2" x14ac:dyDescent="0.25">
      <c r="A1945" s="5"/>
      <c r="B1945" s="5"/>
    </row>
    <row r="1946" spans="1:2" x14ac:dyDescent="0.25">
      <c r="A1946" s="5"/>
      <c r="B1946" s="5"/>
    </row>
    <row r="1947" spans="1:2" x14ac:dyDescent="0.25">
      <c r="A1947" s="5"/>
      <c r="B1947" s="5"/>
    </row>
    <row r="1948" spans="1:2" x14ac:dyDescent="0.25">
      <c r="A1948" s="5"/>
      <c r="B1948" s="5"/>
    </row>
    <row r="1949" spans="1:2" x14ac:dyDescent="0.25">
      <c r="A1949" s="5"/>
      <c r="B1949" s="5"/>
    </row>
    <row r="1950" spans="1:2" x14ac:dyDescent="0.25">
      <c r="A1950" s="5"/>
      <c r="B1950" s="5"/>
    </row>
    <row r="1951" spans="1:2" x14ac:dyDescent="0.25">
      <c r="A1951" s="5"/>
      <c r="B1951" s="5"/>
    </row>
    <row r="1952" spans="1:2" x14ac:dyDescent="0.25">
      <c r="A1952" s="5"/>
      <c r="B1952" s="5"/>
    </row>
    <row r="1953" spans="1:2" x14ac:dyDescent="0.25">
      <c r="A1953" s="5"/>
      <c r="B1953" s="5"/>
    </row>
    <row r="1954" spans="1:2" x14ac:dyDescent="0.25">
      <c r="A1954" s="5"/>
      <c r="B1954" s="5"/>
    </row>
    <row r="1955" spans="1:2" x14ac:dyDescent="0.25">
      <c r="A1955" s="5"/>
      <c r="B1955" s="5"/>
    </row>
    <row r="1956" spans="1:2" x14ac:dyDescent="0.25">
      <c r="A1956" s="5"/>
      <c r="B1956" s="5"/>
    </row>
    <row r="1957" spans="1:2" x14ac:dyDescent="0.25">
      <c r="A1957" s="5"/>
      <c r="B1957" s="5"/>
    </row>
    <row r="1958" spans="1:2" x14ac:dyDescent="0.25">
      <c r="A1958" s="5"/>
      <c r="B1958" s="5"/>
    </row>
    <row r="1959" spans="1:2" x14ac:dyDescent="0.25">
      <c r="A1959" s="5"/>
      <c r="B1959" s="5"/>
    </row>
    <row r="1960" spans="1:2" x14ac:dyDescent="0.25">
      <c r="A1960" s="5"/>
      <c r="B1960" s="5"/>
    </row>
    <row r="1961" spans="1:2" x14ac:dyDescent="0.25">
      <c r="A1961" s="5"/>
      <c r="B1961" s="5"/>
    </row>
    <row r="1962" spans="1:2" x14ac:dyDescent="0.25">
      <c r="A1962" s="5"/>
      <c r="B1962" s="5"/>
    </row>
    <row r="1963" spans="1:2" x14ac:dyDescent="0.25">
      <c r="A1963" s="5"/>
      <c r="B1963" s="5"/>
    </row>
    <row r="1964" spans="1:2" x14ac:dyDescent="0.25">
      <c r="A1964" s="5"/>
      <c r="B1964" s="5"/>
    </row>
    <row r="1965" spans="1:2" x14ac:dyDescent="0.25">
      <c r="A1965" s="5"/>
      <c r="B1965" s="5"/>
    </row>
    <row r="1966" spans="1:2" x14ac:dyDescent="0.25">
      <c r="A1966" s="5"/>
      <c r="B1966" s="5"/>
    </row>
    <row r="1967" spans="1:2" x14ac:dyDescent="0.25">
      <c r="A1967" s="5"/>
      <c r="B1967" s="5"/>
    </row>
    <row r="1968" spans="1:2" x14ac:dyDescent="0.25">
      <c r="A1968" s="5"/>
      <c r="B1968" s="5"/>
    </row>
    <row r="1969" spans="1:2" x14ac:dyDescent="0.25">
      <c r="A1969" s="5"/>
      <c r="B1969" s="5"/>
    </row>
    <row r="1970" spans="1:2" x14ac:dyDescent="0.25">
      <c r="A1970" s="5"/>
      <c r="B1970" s="5"/>
    </row>
    <row r="1971" spans="1:2" x14ac:dyDescent="0.25">
      <c r="A1971" s="5"/>
      <c r="B1971" s="5"/>
    </row>
    <row r="1972" spans="1:2" x14ac:dyDescent="0.25">
      <c r="A1972" s="5"/>
      <c r="B1972" s="5"/>
    </row>
    <row r="1973" spans="1:2" x14ac:dyDescent="0.25">
      <c r="A1973" s="5"/>
      <c r="B1973" s="5"/>
    </row>
    <row r="1974" spans="1:2" x14ac:dyDescent="0.25">
      <c r="A1974" s="5"/>
      <c r="B1974" s="5"/>
    </row>
    <row r="1975" spans="1:2" x14ac:dyDescent="0.25">
      <c r="A1975" s="5"/>
      <c r="B1975" s="5"/>
    </row>
    <row r="1976" spans="1:2" x14ac:dyDescent="0.25">
      <c r="A1976" s="5"/>
      <c r="B1976" s="5"/>
    </row>
    <row r="1977" spans="1:2" x14ac:dyDescent="0.25">
      <c r="A1977" s="5"/>
      <c r="B1977" s="5"/>
    </row>
    <row r="1978" spans="1:2" x14ac:dyDescent="0.25">
      <c r="A1978" s="5"/>
      <c r="B1978" s="5"/>
    </row>
    <row r="1979" spans="1:2" x14ac:dyDescent="0.25">
      <c r="A1979" s="5"/>
      <c r="B1979" s="5"/>
    </row>
    <row r="1980" spans="1:2" x14ac:dyDescent="0.25">
      <c r="A1980" s="5"/>
      <c r="B1980" s="5"/>
    </row>
    <row r="1981" spans="1:2" x14ac:dyDescent="0.25">
      <c r="A1981" s="5"/>
      <c r="B1981" s="5"/>
    </row>
    <row r="1982" spans="1:2" x14ac:dyDescent="0.25">
      <c r="A1982" s="5"/>
      <c r="B1982" s="5"/>
    </row>
    <row r="1983" spans="1:2" x14ac:dyDescent="0.25">
      <c r="A1983" s="5"/>
      <c r="B1983" s="5"/>
    </row>
    <row r="1984" spans="1:2" x14ac:dyDescent="0.25">
      <c r="A1984" s="5"/>
      <c r="B1984" s="5"/>
    </row>
    <row r="1985" spans="1:2" x14ac:dyDescent="0.25">
      <c r="A1985" s="5"/>
      <c r="B1985" s="5"/>
    </row>
    <row r="1986" spans="1:2" x14ac:dyDescent="0.25">
      <c r="A1986" s="5"/>
      <c r="B1986" s="5"/>
    </row>
    <row r="1987" spans="1:2" x14ac:dyDescent="0.25">
      <c r="A1987" s="5"/>
      <c r="B1987" s="5"/>
    </row>
    <row r="1988" spans="1:2" x14ac:dyDescent="0.25">
      <c r="A1988" s="5"/>
      <c r="B1988" s="5"/>
    </row>
    <row r="1989" spans="1:2" x14ac:dyDescent="0.25">
      <c r="A1989" s="5"/>
      <c r="B1989" s="5"/>
    </row>
    <row r="1990" spans="1:2" x14ac:dyDescent="0.25">
      <c r="A1990" s="5"/>
      <c r="B1990" s="5"/>
    </row>
    <row r="1991" spans="1:2" x14ac:dyDescent="0.25">
      <c r="A1991" s="5"/>
      <c r="B1991" s="5"/>
    </row>
    <row r="1992" spans="1:2" x14ac:dyDescent="0.25">
      <c r="A1992" s="5"/>
      <c r="B1992" s="5"/>
    </row>
    <row r="1993" spans="1:2" x14ac:dyDescent="0.25">
      <c r="A1993" s="5"/>
      <c r="B1993" s="5"/>
    </row>
    <row r="1994" spans="1:2" x14ac:dyDescent="0.25">
      <c r="A1994" s="5"/>
      <c r="B1994" s="5"/>
    </row>
    <row r="1995" spans="1:2" x14ac:dyDescent="0.25">
      <c r="A1995" s="5"/>
      <c r="B1995" s="5"/>
    </row>
    <row r="1996" spans="1:2" x14ac:dyDescent="0.25">
      <c r="A1996" s="5"/>
      <c r="B1996" s="5"/>
    </row>
    <row r="1997" spans="1:2" x14ac:dyDescent="0.25">
      <c r="A1997" s="5"/>
      <c r="B1997" s="5"/>
    </row>
    <row r="1998" spans="1:2" x14ac:dyDescent="0.25">
      <c r="A1998" s="5"/>
      <c r="B1998" s="5"/>
    </row>
    <row r="1999" spans="1:2" x14ac:dyDescent="0.25">
      <c r="A1999" s="5"/>
      <c r="B1999" s="5"/>
    </row>
    <row r="2000" spans="1:2" x14ac:dyDescent="0.25">
      <c r="A2000" s="5"/>
      <c r="B2000" s="5"/>
    </row>
    <row r="2001" spans="1:2" x14ac:dyDescent="0.25">
      <c r="A2001" s="5"/>
      <c r="B2001" s="5"/>
    </row>
    <row r="2002" spans="1:2" x14ac:dyDescent="0.25">
      <c r="A2002" s="5"/>
      <c r="B2002" s="5"/>
    </row>
    <row r="2003" spans="1:2" x14ac:dyDescent="0.25">
      <c r="A2003" s="5"/>
      <c r="B2003" s="5"/>
    </row>
    <row r="2004" spans="1:2" x14ac:dyDescent="0.25">
      <c r="A2004" s="5"/>
      <c r="B2004" s="5"/>
    </row>
    <row r="2005" spans="1:2" x14ac:dyDescent="0.25">
      <c r="A2005" s="5"/>
      <c r="B2005" s="5"/>
    </row>
    <row r="2006" spans="1:2" x14ac:dyDescent="0.25">
      <c r="A2006" s="5"/>
      <c r="B2006" s="5"/>
    </row>
    <row r="2007" spans="1:2" x14ac:dyDescent="0.25">
      <c r="A2007" s="5"/>
      <c r="B2007" s="5"/>
    </row>
    <row r="2008" spans="1:2" x14ac:dyDescent="0.25">
      <c r="A2008" s="5"/>
      <c r="B2008" s="5"/>
    </row>
    <row r="2009" spans="1:2" x14ac:dyDescent="0.25">
      <c r="A2009" s="5"/>
      <c r="B2009" s="5"/>
    </row>
    <row r="2010" spans="1:2" x14ac:dyDescent="0.25">
      <c r="A2010" s="5"/>
      <c r="B2010" s="5"/>
    </row>
    <row r="2011" spans="1:2" x14ac:dyDescent="0.25">
      <c r="A2011" s="5"/>
      <c r="B2011" s="5"/>
    </row>
    <row r="2012" spans="1:2" x14ac:dyDescent="0.25">
      <c r="A2012" s="5"/>
      <c r="B2012" s="5"/>
    </row>
    <row r="2013" spans="1:2" x14ac:dyDescent="0.25">
      <c r="A2013" s="5"/>
      <c r="B2013" s="5"/>
    </row>
    <row r="2014" spans="1:2" x14ac:dyDescent="0.25">
      <c r="A2014" s="5"/>
      <c r="B2014" s="5"/>
    </row>
    <row r="2015" spans="1:2" x14ac:dyDescent="0.25">
      <c r="A2015" s="5"/>
      <c r="B2015" s="5"/>
    </row>
    <row r="2016" spans="1:2" x14ac:dyDescent="0.25">
      <c r="A2016" s="5"/>
      <c r="B2016" s="5"/>
    </row>
    <row r="2017" spans="1:2" x14ac:dyDescent="0.25">
      <c r="A2017" s="5"/>
      <c r="B2017" s="5"/>
    </row>
    <row r="2018" spans="1:2" x14ac:dyDescent="0.25">
      <c r="A2018" s="5"/>
      <c r="B2018" s="5"/>
    </row>
    <row r="2019" spans="1:2" x14ac:dyDescent="0.25">
      <c r="A2019" s="5"/>
      <c r="B2019" s="5"/>
    </row>
    <row r="2020" spans="1:2" x14ac:dyDescent="0.25">
      <c r="A2020" s="5"/>
      <c r="B2020" s="5"/>
    </row>
    <row r="2021" spans="1:2" x14ac:dyDescent="0.25">
      <c r="A2021" s="5"/>
      <c r="B2021" s="5"/>
    </row>
    <row r="2022" spans="1:2" x14ac:dyDescent="0.25">
      <c r="A2022" s="5"/>
      <c r="B2022" s="5"/>
    </row>
    <row r="2023" spans="1:2" x14ac:dyDescent="0.25">
      <c r="A2023" s="5"/>
      <c r="B2023" s="5"/>
    </row>
    <row r="2024" spans="1:2" x14ac:dyDescent="0.25">
      <c r="A2024" s="5"/>
      <c r="B2024" s="5"/>
    </row>
    <row r="2025" spans="1:2" x14ac:dyDescent="0.25">
      <c r="A2025" s="5"/>
      <c r="B2025" s="5"/>
    </row>
    <row r="2026" spans="1:2" x14ac:dyDescent="0.25">
      <c r="A2026" s="5"/>
      <c r="B2026" s="5"/>
    </row>
    <row r="2027" spans="1:2" x14ac:dyDescent="0.25">
      <c r="A2027" s="5"/>
      <c r="B2027" s="5"/>
    </row>
    <row r="2028" spans="1:2" x14ac:dyDescent="0.25">
      <c r="A2028" s="5"/>
      <c r="B2028" s="5"/>
    </row>
    <row r="2029" spans="1:2" x14ac:dyDescent="0.25">
      <c r="A2029" s="5"/>
      <c r="B2029" s="5"/>
    </row>
    <row r="2030" spans="1:2" x14ac:dyDescent="0.25">
      <c r="A2030" s="5"/>
      <c r="B2030" s="5"/>
    </row>
    <row r="2031" spans="1:2" x14ac:dyDescent="0.25">
      <c r="A2031" s="5"/>
      <c r="B2031" s="5"/>
    </row>
    <row r="2032" spans="1:2" x14ac:dyDescent="0.25">
      <c r="A2032" s="5"/>
      <c r="B2032" s="5"/>
    </row>
    <row r="2033" spans="1:2" x14ac:dyDescent="0.25">
      <c r="A2033" s="5"/>
      <c r="B2033" s="5"/>
    </row>
    <row r="2034" spans="1:2" x14ac:dyDescent="0.25">
      <c r="A2034" s="5"/>
      <c r="B2034" s="5"/>
    </row>
    <row r="2035" spans="1:2" x14ac:dyDescent="0.25">
      <c r="A2035" s="5"/>
      <c r="B2035" s="5"/>
    </row>
    <row r="2036" spans="1:2" x14ac:dyDescent="0.25">
      <c r="A2036" s="5"/>
      <c r="B2036" s="5"/>
    </row>
    <row r="2037" spans="1:2" x14ac:dyDescent="0.25">
      <c r="A2037" s="5"/>
      <c r="B2037" s="5"/>
    </row>
    <row r="2038" spans="1:2" x14ac:dyDescent="0.25">
      <c r="A2038" s="5"/>
      <c r="B2038" s="5"/>
    </row>
    <row r="2039" spans="1:2" x14ac:dyDescent="0.25">
      <c r="A2039" s="5"/>
      <c r="B2039" s="5"/>
    </row>
    <row r="2040" spans="1:2" x14ac:dyDescent="0.25">
      <c r="A2040" s="5"/>
      <c r="B2040" s="5"/>
    </row>
    <row r="2041" spans="1:2" x14ac:dyDescent="0.25">
      <c r="A2041" s="5"/>
      <c r="B2041" s="5"/>
    </row>
    <row r="2042" spans="1:2" x14ac:dyDescent="0.25">
      <c r="A2042" s="5"/>
      <c r="B2042" s="5"/>
    </row>
    <row r="2043" spans="1:2" x14ac:dyDescent="0.25">
      <c r="A2043" s="5"/>
      <c r="B2043" s="5"/>
    </row>
    <row r="2044" spans="1:2" x14ac:dyDescent="0.25">
      <c r="A2044" s="5"/>
      <c r="B2044" s="5"/>
    </row>
    <row r="2045" spans="1:2" x14ac:dyDescent="0.25">
      <c r="A2045" s="5"/>
      <c r="B2045" s="5"/>
    </row>
    <row r="2046" spans="1:2" x14ac:dyDescent="0.25">
      <c r="A2046" s="5"/>
      <c r="B2046" s="5"/>
    </row>
    <row r="2047" spans="1:2" x14ac:dyDescent="0.25">
      <c r="A2047" s="5"/>
      <c r="B2047" s="5"/>
    </row>
    <row r="2048" spans="1:2" x14ac:dyDescent="0.25">
      <c r="A2048" s="5"/>
      <c r="B2048" s="5"/>
    </row>
    <row r="2049" spans="1:2" x14ac:dyDescent="0.25">
      <c r="A2049" s="5"/>
      <c r="B2049" s="5"/>
    </row>
    <row r="2050" spans="1:2" x14ac:dyDescent="0.25">
      <c r="A2050" s="5"/>
      <c r="B2050" s="5"/>
    </row>
    <row r="2051" spans="1:2" x14ac:dyDescent="0.25">
      <c r="A2051" s="5"/>
      <c r="B2051" s="5"/>
    </row>
    <row r="2052" spans="1:2" x14ac:dyDescent="0.25">
      <c r="A2052" s="5"/>
      <c r="B2052" s="5"/>
    </row>
    <row r="2053" spans="1:2" x14ac:dyDescent="0.25">
      <c r="A2053" s="5"/>
      <c r="B2053" s="5"/>
    </row>
    <row r="2054" spans="1:2" x14ac:dyDescent="0.25">
      <c r="A2054" s="5"/>
      <c r="B2054" s="5"/>
    </row>
    <row r="2055" spans="1:2" x14ac:dyDescent="0.25">
      <c r="A2055" s="5"/>
      <c r="B2055" s="5"/>
    </row>
    <row r="2056" spans="1:2" x14ac:dyDescent="0.25">
      <c r="A2056" s="5"/>
      <c r="B2056" s="5"/>
    </row>
    <row r="2057" spans="1:2" x14ac:dyDescent="0.25">
      <c r="A2057" s="5"/>
      <c r="B2057" s="5"/>
    </row>
    <row r="2058" spans="1:2" x14ac:dyDescent="0.25">
      <c r="A2058" s="5"/>
      <c r="B2058" s="5"/>
    </row>
    <row r="2059" spans="1:2" x14ac:dyDescent="0.25">
      <c r="A2059" s="5"/>
      <c r="B2059" s="5"/>
    </row>
    <row r="2060" spans="1:2" x14ac:dyDescent="0.25">
      <c r="A2060" s="5"/>
      <c r="B2060" s="5"/>
    </row>
    <row r="2061" spans="1:2" x14ac:dyDescent="0.25">
      <c r="A2061" s="5"/>
      <c r="B2061" s="5"/>
    </row>
    <row r="2062" spans="1:2" x14ac:dyDescent="0.25">
      <c r="A2062" s="5"/>
      <c r="B2062" s="5"/>
    </row>
    <row r="2063" spans="1:2" x14ac:dyDescent="0.25">
      <c r="A2063" s="5"/>
      <c r="B2063" s="5"/>
    </row>
    <row r="2064" spans="1:2" x14ac:dyDescent="0.25">
      <c r="A2064" s="5"/>
      <c r="B2064" s="5"/>
    </row>
    <row r="2065" spans="1:2" x14ac:dyDescent="0.25">
      <c r="A2065" s="5"/>
      <c r="B2065" s="5"/>
    </row>
    <row r="2066" spans="1:2" x14ac:dyDescent="0.25">
      <c r="A2066" s="5"/>
      <c r="B2066" s="5"/>
    </row>
    <row r="2067" spans="1:2" x14ac:dyDescent="0.25">
      <c r="A2067" s="5"/>
      <c r="B2067" s="5"/>
    </row>
    <row r="2068" spans="1:2" x14ac:dyDescent="0.25">
      <c r="A2068" s="5"/>
      <c r="B2068" s="5"/>
    </row>
    <row r="2069" spans="1:2" x14ac:dyDescent="0.25">
      <c r="A2069" s="5"/>
      <c r="B2069" s="5"/>
    </row>
    <row r="2070" spans="1:2" x14ac:dyDescent="0.25">
      <c r="A2070" s="5"/>
      <c r="B2070" s="5"/>
    </row>
    <row r="2071" spans="1:2" x14ac:dyDescent="0.25">
      <c r="A2071" s="5"/>
      <c r="B2071" s="5"/>
    </row>
    <row r="2072" spans="1:2" x14ac:dyDescent="0.25">
      <c r="A2072" s="5"/>
      <c r="B2072" s="5"/>
    </row>
    <row r="2073" spans="1:2" x14ac:dyDescent="0.25">
      <c r="A2073" s="5"/>
      <c r="B2073" s="5"/>
    </row>
    <row r="2074" spans="1:2" x14ac:dyDescent="0.25">
      <c r="A2074" s="5"/>
      <c r="B2074" s="5"/>
    </row>
    <row r="2075" spans="1:2" x14ac:dyDescent="0.25">
      <c r="A2075" s="5"/>
      <c r="B2075" s="5"/>
    </row>
    <row r="2076" spans="1:2" x14ac:dyDescent="0.25">
      <c r="A2076" s="5"/>
      <c r="B2076" s="5"/>
    </row>
    <row r="2077" spans="1:2" x14ac:dyDescent="0.25">
      <c r="A2077" s="5"/>
      <c r="B2077" s="5"/>
    </row>
    <row r="2078" spans="1:2" x14ac:dyDescent="0.25">
      <c r="A2078" s="5"/>
      <c r="B2078" s="5"/>
    </row>
    <row r="2079" spans="1:2" x14ac:dyDescent="0.25">
      <c r="A2079" s="5"/>
      <c r="B2079" s="5"/>
    </row>
    <row r="2080" spans="1:2" x14ac:dyDescent="0.25">
      <c r="A2080" s="5"/>
      <c r="B2080" s="5"/>
    </row>
    <row r="2081" spans="1:2" x14ac:dyDescent="0.25">
      <c r="A2081" s="5"/>
      <c r="B2081" s="5"/>
    </row>
    <row r="2082" spans="1:2" x14ac:dyDescent="0.25">
      <c r="A2082" s="5"/>
      <c r="B2082" s="5"/>
    </row>
    <row r="2083" spans="1:2" x14ac:dyDescent="0.25">
      <c r="A2083" s="5"/>
      <c r="B2083" s="5"/>
    </row>
    <row r="2084" spans="1:2" x14ac:dyDescent="0.25">
      <c r="A2084" s="5"/>
      <c r="B2084" s="5"/>
    </row>
    <row r="2085" spans="1:2" x14ac:dyDescent="0.25">
      <c r="A2085" s="5"/>
      <c r="B2085" s="5"/>
    </row>
    <row r="2086" spans="1:2" x14ac:dyDescent="0.25">
      <c r="A2086" s="5"/>
      <c r="B2086" s="5"/>
    </row>
    <row r="2087" spans="1:2" x14ac:dyDescent="0.25">
      <c r="A2087" s="5"/>
      <c r="B2087" s="5"/>
    </row>
    <row r="2088" spans="1:2" x14ac:dyDescent="0.25">
      <c r="A2088" s="5"/>
      <c r="B2088" s="5"/>
    </row>
    <row r="2089" spans="1:2" x14ac:dyDescent="0.25">
      <c r="A2089" s="5"/>
      <c r="B2089" s="5"/>
    </row>
    <row r="2090" spans="1:2" x14ac:dyDescent="0.25">
      <c r="A2090" s="5"/>
      <c r="B2090" s="5"/>
    </row>
    <row r="2091" spans="1:2" x14ac:dyDescent="0.25">
      <c r="A2091" s="5"/>
      <c r="B2091" s="5"/>
    </row>
    <row r="2092" spans="1:2" x14ac:dyDescent="0.25">
      <c r="A2092" s="5"/>
      <c r="B2092" s="5"/>
    </row>
    <row r="2093" spans="1:2" x14ac:dyDescent="0.25">
      <c r="A2093" s="5"/>
      <c r="B2093" s="5"/>
    </row>
    <row r="2094" spans="1:2" x14ac:dyDescent="0.25">
      <c r="A2094" s="5"/>
      <c r="B2094" s="5"/>
    </row>
    <row r="2095" spans="1:2" x14ac:dyDescent="0.25">
      <c r="A2095" s="5"/>
      <c r="B2095" s="5"/>
    </row>
    <row r="2096" spans="1:2" x14ac:dyDescent="0.25">
      <c r="A2096" s="5"/>
      <c r="B2096" s="5"/>
    </row>
    <row r="2097" spans="1:2" x14ac:dyDescent="0.25">
      <c r="A2097" s="5"/>
      <c r="B2097" s="5"/>
    </row>
    <row r="2098" spans="1:2" x14ac:dyDescent="0.25">
      <c r="A2098" s="5"/>
      <c r="B2098" s="5"/>
    </row>
    <row r="2099" spans="1:2" x14ac:dyDescent="0.25">
      <c r="A2099" s="5"/>
      <c r="B2099" s="5"/>
    </row>
    <row r="2100" spans="1:2" x14ac:dyDescent="0.25">
      <c r="A2100" s="5"/>
      <c r="B2100" s="5"/>
    </row>
    <row r="2101" spans="1:2" x14ac:dyDescent="0.25">
      <c r="A2101" s="5"/>
      <c r="B2101" s="5"/>
    </row>
    <row r="2102" spans="1:2" x14ac:dyDescent="0.25">
      <c r="A2102" s="5"/>
      <c r="B2102" s="5"/>
    </row>
    <row r="2103" spans="1:2" x14ac:dyDescent="0.25">
      <c r="A2103" s="5"/>
      <c r="B2103" s="5"/>
    </row>
    <row r="2104" spans="1:2" x14ac:dyDescent="0.25">
      <c r="A2104" s="5"/>
      <c r="B2104" s="5"/>
    </row>
    <row r="2105" spans="1:2" x14ac:dyDescent="0.25">
      <c r="A2105" s="5"/>
      <c r="B2105" s="5"/>
    </row>
    <row r="2106" spans="1:2" x14ac:dyDescent="0.25">
      <c r="A2106" s="5"/>
      <c r="B2106" s="5"/>
    </row>
    <row r="2107" spans="1:2" x14ac:dyDescent="0.25">
      <c r="A2107" s="5"/>
      <c r="B2107" s="5"/>
    </row>
    <row r="2108" spans="1:2" x14ac:dyDescent="0.25">
      <c r="A2108" s="5"/>
      <c r="B2108" s="5"/>
    </row>
    <row r="2109" spans="1:2" x14ac:dyDescent="0.25">
      <c r="A2109" s="5"/>
      <c r="B2109" s="5"/>
    </row>
    <row r="2110" spans="1:2" x14ac:dyDescent="0.25">
      <c r="A2110" s="5"/>
      <c r="B2110" s="5"/>
    </row>
    <row r="2111" spans="1:2" x14ac:dyDescent="0.25">
      <c r="A2111" s="5"/>
      <c r="B2111" s="5"/>
    </row>
    <row r="2112" spans="1:2" x14ac:dyDescent="0.25">
      <c r="A2112" s="5"/>
      <c r="B2112" s="5"/>
    </row>
    <row r="2113" spans="1:2" x14ac:dyDescent="0.25">
      <c r="A2113" s="5"/>
      <c r="B2113" s="5"/>
    </row>
    <row r="2114" spans="1:2" x14ac:dyDescent="0.25">
      <c r="A2114" s="5"/>
      <c r="B2114" s="5"/>
    </row>
    <row r="2115" spans="1:2" x14ac:dyDescent="0.25">
      <c r="A2115" s="5"/>
      <c r="B2115" s="5"/>
    </row>
    <row r="2116" spans="1:2" x14ac:dyDescent="0.25">
      <c r="A2116" s="5"/>
      <c r="B2116" s="5"/>
    </row>
    <row r="2117" spans="1:2" x14ac:dyDescent="0.25">
      <c r="A2117" s="5"/>
      <c r="B2117" s="5"/>
    </row>
    <row r="2118" spans="1:2" x14ac:dyDescent="0.25">
      <c r="A2118" s="5"/>
      <c r="B2118" s="5"/>
    </row>
    <row r="2119" spans="1:2" x14ac:dyDescent="0.25">
      <c r="A2119" s="5"/>
      <c r="B2119" s="5"/>
    </row>
    <row r="2120" spans="1:2" x14ac:dyDescent="0.25">
      <c r="A2120" s="5"/>
      <c r="B2120" s="5"/>
    </row>
    <row r="2121" spans="1:2" x14ac:dyDescent="0.25">
      <c r="A2121" s="5"/>
      <c r="B2121" s="5"/>
    </row>
    <row r="2122" spans="1:2" x14ac:dyDescent="0.25">
      <c r="A2122" s="5"/>
      <c r="B2122" s="5"/>
    </row>
    <row r="2123" spans="1:2" x14ac:dyDescent="0.25">
      <c r="A2123" s="5"/>
      <c r="B2123" s="5"/>
    </row>
    <row r="2124" spans="1:2" x14ac:dyDescent="0.25">
      <c r="A2124" s="5"/>
      <c r="B2124" s="5"/>
    </row>
    <row r="2125" spans="1:2" x14ac:dyDescent="0.25">
      <c r="A2125" s="5"/>
      <c r="B2125" s="5"/>
    </row>
    <row r="2126" spans="1:2" x14ac:dyDescent="0.25">
      <c r="A2126" s="5"/>
      <c r="B2126" s="5"/>
    </row>
    <row r="2127" spans="1:2" x14ac:dyDescent="0.25">
      <c r="A2127" s="5"/>
      <c r="B2127" s="5"/>
    </row>
    <row r="2128" spans="1:2" x14ac:dyDescent="0.25">
      <c r="A2128" s="5"/>
      <c r="B2128" s="5"/>
    </row>
    <row r="2129" spans="1:2" x14ac:dyDescent="0.25">
      <c r="A2129" s="5"/>
      <c r="B2129" s="5"/>
    </row>
    <row r="2130" spans="1:2" x14ac:dyDescent="0.25">
      <c r="A2130" s="5"/>
      <c r="B2130" s="5"/>
    </row>
    <row r="2131" spans="1:2" x14ac:dyDescent="0.25">
      <c r="A2131" s="5"/>
      <c r="B2131" s="5"/>
    </row>
    <row r="2132" spans="1:2" x14ac:dyDescent="0.25">
      <c r="A2132" s="5"/>
      <c r="B2132" s="5"/>
    </row>
    <row r="2133" spans="1:2" x14ac:dyDescent="0.25">
      <c r="A2133" s="5"/>
      <c r="B2133" s="5"/>
    </row>
    <row r="2134" spans="1:2" x14ac:dyDescent="0.25">
      <c r="A2134" s="5"/>
      <c r="B2134" s="5"/>
    </row>
    <row r="2135" spans="1:2" x14ac:dyDescent="0.25">
      <c r="A2135" s="5"/>
      <c r="B2135" s="5"/>
    </row>
    <row r="2136" spans="1:2" x14ac:dyDescent="0.25">
      <c r="A2136" s="5"/>
      <c r="B2136" s="5"/>
    </row>
    <row r="2137" spans="1:2" x14ac:dyDescent="0.25">
      <c r="A2137" s="5"/>
      <c r="B2137" s="5"/>
    </row>
    <row r="2138" spans="1:2" x14ac:dyDescent="0.25">
      <c r="A2138" s="5"/>
      <c r="B2138" s="5"/>
    </row>
    <row r="2139" spans="1:2" x14ac:dyDescent="0.25">
      <c r="A2139" s="5"/>
      <c r="B2139" s="5"/>
    </row>
    <row r="2140" spans="1:2" x14ac:dyDescent="0.25">
      <c r="A2140" s="5"/>
      <c r="B2140" s="5"/>
    </row>
    <row r="2141" spans="1:2" x14ac:dyDescent="0.25">
      <c r="A2141" s="5"/>
      <c r="B2141" s="5"/>
    </row>
    <row r="2142" spans="1:2" x14ac:dyDescent="0.25">
      <c r="A2142" s="5"/>
      <c r="B2142" s="5"/>
    </row>
    <row r="2143" spans="1:2" x14ac:dyDescent="0.25">
      <c r="A2143" s="5"/>
      <c r="B2143" s="5"/>
    </row>
    <row r="2144" spans="1:2" x14ac:dyDescent="0.25">
      <c r="A2144" s="5"/>
      <c r="B2144" s="5"/>
    </row>
    <row r="2145" spans="1:2" x14ac:dyDescent="0.25">
      <c r="A2145" s="5"/>
      <c r="B2145" s="5"/>
    </row>
    <row r="2146" spans="1:2" x14ac:dyDescent="0.25">
      <c r="A2146" s="5"/>
      <c r="B2146" s="5"/>
    </row>
    <row r="2147" spans="1:2" x14ac:dyDescent="0.25">
      <c r="A2147" s="5"/>
      <c r="B2147" s="5"/>
    </row>
    <row r="2148" spans="1:2" x14ac:dyDescent="0.25">
      <c r="A2148" s="5"/>
      <c r="B2148" s="5"/>
    </row>
    <row r="2149" spans="1:2" x14ac:dyDescent="0.25">
      <c r="A2149" s="5"/>
      <c r="B2149" s="5"/>
    </row>
    <row r="2150" spans="1:2" x14ac:dyDescent="0.25">
      <c r="A2150" s="5"/>
      <c r="B2150" s="5"/>
    </row>
    <row r="2151" spans="1:2" x14ac:dyDescent="0.25">
      <c r="A2151" s="5"/>
      <c r="B2151" s="5"/>
    </row>
    <row r="2152" spans="1:2" x14ac:dyDescent="0.25">
      <c r="A2152" s="5"/>
      <c r="B2152" s="5"/>
    </row>
    <row r="2153" spans="1:2" x14ac:dyDescent="0.25">
      <c r="A2153" s="5"/>
      <c r="B2153" s="5"/>
    </row>
    <row r="2154" spans="1:2" x14ac:dyDescent="0.25">
      <c r="A2154" s="5"/>
      <c r="B2154" s="5"/>
    </row>
    <row r="2155" spans="1:2" x14ac:dyDescent="0.25">
      <c r="A2155" s="5"/>
      <c r="B2155" s="5"/>
    </row>
    <row r="2156" spans="1:2" x14ac:dyDescent="0.25">
      <c r="A2156" s="5"/>
      <c r="B2156" s="5"/>
    </row>
    <row r="2157" spans="1:2" x14ac:dyDescent="0.25">
      <c r="A2157" s="5"/>
      <c r="B2157" s="5"/>
    </row>
    <row r="2158" spans="1:2" x14ac:dyDescent="0.25">
      <c r="A2158" s="5"/>
      <c r="B2158" s="5"/>
    </row>
    <row r="2159" spans="1:2" x14ac:dyDescent="0.25">
      <c r="A2159" s="5"/>
      <c r="B2159" s="5"/>
    </row>
    <row r="2160" spans="1:2" x14ac:dyDescent="0.25">
      <c r="A2160" s="5"/>
      <c r="B2160" s="5"/>
    </row>
    <row r="2161" spans="1:2" x14ac:dyDescent="0.25">
      <c r="A2161" s="5"/>
      <c r="B2161" s="5"/>
    </row>
    <row r="2162" spans="1:2" x14ac:dyDescent="0.25">
      <c r="A2162" s="5"/>
      <c r="B2162" s="5"/>
    </row>
    <row r="2163" spans="1:2" x14ac:dyDescent="0.25">
      <c r="A2163" s="5"/>
      <c r="B2163" s="5"/>
    </row>
    <row r="2164" spans="1:2" x14ac:dyDescent="0.25">
      <c r="A2164" s="5"/>
      <c r="B2164" s="5"/>
    </row>
    <row r="2165" spans="1:2" x14ac:dyDescent="0.25">
      <c r="A2165" s="5"/>
      <c r="B2165" s="5"/>
    </row>
    <row r="2166" spans="1:2" x14ac:dyDescent="0.25">
      <c r="A2166" s="5"/>
      <c r="B2166" s="5"/>
    </row>
    <row r="2167" spans="1:2" x14ac:dyDescent="0.25">
      <c r="A2167" s="5"/>
      <c r="B2167" s="5"/>
    </row>
    <row r="2168" spans="1:2" x14ac:dyDescent="0.25">
      <c r="A2168" s="5"/>
      <c r="B2168" s="5"/>
    </row>
    <row r="2169" spans="1:2" x14ac:dyDescent="0.25">
      <c r="A2169" s="5"/>
      <c r="B2169" s="5"/>
    </row>
    <row r="2170" spans="1:2" x14ac:dyDescent="0.25">
      <c r="A2170" s="5"/>
      <c r="B2170" s="5"/>
    </row>
    <row r="2171" spans="1:2" x14ac:dyDescent="0.25">
      <c r="A2171" s="5"/>
      <c r="B2171" s="5"/>
    </row>
    <row r="2172" spans="1:2" x14ac:dyDescent="0.25">
      <c r="A2172" s="5"/>
      <c r="B2172" s="5"/>
    </row>
    <row r="2173" spans="1:2" x14ac:dyDescent="0.25">
      <c r="A2173" s="5"/>
      <c r="B2173" s="5"/>
    </row>
    <row r="2174" spans="1:2" x14ac:dyDescent="0.25">
      <c r="A2174" s="5"/>
      <c r="B2174" s="5"/>
    </row>
    <row r="2175" spans="1:2" x14ac:dyDescent="0.25">
      <c r="A2175" s="5"/>
      <c r="B2175" s="5"/>
    </row>
    <row r="2176" spans="1:2" x14ac:dyDescent="0.25">
      <c r="A2176" s="5"/>
      <c r="B2176" s="5"/>
    </row>
    <row r="2177" spans="1:3" x14ac:dyDescent="0.25">
      <c r="A2177" s="5"/>
      <c r="B2177" s="5"/>
    </row>
    <row r="2178" spans="1:3" x14ac:dyDescent="0.25">
      <c r="A2178" s="5"/>
      <c r="B2178" s="5"/>
    </row>
    <row r="2179" spans="1:3" x14ac:dyDescent="0.25">
      <c r="A2179" s="5"/>
      <c r="B2179" s="5"/>
    </row>
    <row r="2180" spans="1:3" x14ac:dyDescent="0.25">
      <c r="A2180" s="5"/>
      <c r="B2180" s="5"/>
    </row>
    <row r="2181" spans="1:3" x14ac:dyDescent="0.25">
      <c r="A2181" s="5"/>
      <c r="B2181" s="5"/>
    </row>
    <row r="2182" spans="1:3" x14ac:dyDescent="0.25">
      <c r="A2182" s="23"/>
      <c r="B2182" s="23"/>
      <c r="C2182" s="24"/>
    </row>
    <row r="2183" spans="1:3" x14ac:dyDescent="0.25">
      <c r="A2183" s="5"/>
      <c r="B2183" s="5"/>
    </row>
    <row r="2184" spans="1:3" x14ac:dyDescent="0.25">
      <c r="A2184" s="5"/>
      <c r="B2184" s="5"/>
    </row>
    <row r="2185" spans="1:3" x14ac:dyDescent="0.25">
      <c r="A2185" s="5"/>
      <c r="B2185" s="5"/>
    </row>
    <row r="2186" spans="1:3" x14ac:dyDescent="0.25">
      <c r="A2186" s="5"/>
      <c r="B2186" s="5"/>
    </row>
    <row r="2187" spans="1:3" x14ac:dyDescent="0.25">
      <c r="A2187" s="5"/>
      <c r="B2187" s="5"/>
    </row>
    <row r="2188" spans="1:3" x14ac:dyDescent="0.25">
      <c r="A2188" s="5"/>
      <c r="B2188" s="5"/>
    </row>
    <row r="2189" spans="1:3" x14ac:dyDescent="0.25">
      <c r="A2189" s="5"/>
      <c r="B2189" s="5"/>
    </row>
    <row r="2190" spans="1:3" x14ac:dyDescent="0.25">
      <c r="A2190" s="5"/>
      <c r="B2190" s="5"/>
    </row>
    <row r="2191" spans="1:3" x14ac:dyDescent="0.25">
      <c r="A2191" s="5"/>
      <c r="B2191" s="5"/>
    </row>
    <row r="2192" spans="1:3" x14ac:dyDescent="0.25">
      <c r="A2192" s="5"/>
      <c r="B2192" s="5"/>
    </row>
    <row r="2193" spans="1:2" x14ac:dyDescent="0.25">
      <c r="A2193" s="5"/>
      <c r="B2193" s="5"/>
    </row>
    <row r="2194" spans="1:2" x14ac:dyDescent="0.25">
      <c r="A2194" s="5"/>
      <c r="B2194" s="5"/>
    </row>
    <row r="2195" spans="1:2" x14ac:dyDescent="0.25">
      <c r="A2195" s="5"/>
      <c r="B2195" s="5"/>
    </row>
    <row r="2196" spans="1:2" x14ac:dyDescent="0.25">
      <c r="A2196" s="5"/>
      <c r="B2196" s="5"/>
    </row>
    <row r="2197" spans="1:2" x14ac:dyDescent="0.25">
      <c r="A2197" s="5"/>
      <c r="B2197" s="5"/>
    </row>
    <row r="2198" spans="1:2" x14ac:dyDescent="0.25">
      <c r="A2198" s="5"/>
      <c r="B2198" s="5"/>
    </row>
    <row r="2199" spans="1:2" x14ac:dyDescent="0.25">
      <c r="A2199" s="5"/>
      <c r="B2199" s="5"/>
    </row>
    <row r="2200" spans="1:2" x14ac:dyDescent="0.25">
      <c r="A2200" s="5"/>
      <c r="B2200" s="5"/>
    </row>
    <row r="2201" spans="1:2" x14ac:dyDescent="0.25">
      <c r="A2201" s="5"/>
      <c r="B2201" s="5"/>
    </row>
    <row r="2202" spans="1:2" x14ac:dyDescent="0.25">
      <c r="A2202" s="5"/>
      <c r="B2202" s="5"/>
    </row>
    <row r="2203" spans="1:2" x14ac:dyDescent="0.25">
      <c r="A2203" s="5"/>
      <c r="B2203" s="5"/>
    </row>
    <row r="2204" spans="1:2" x14ac:dyDescent="0.25">
      <c r="A2204" s="5"/>
      <c r="B2204" s="5"/>
    </row>
    <row r="2205" spans="1:2" x14ac:dyDescent="0.25">
      <c r="A2205" s="5"/>
      <c r="B2205" s="5"/>
    </row>
    <row r="2206" spans="1:2" x14ac:dyDescent="0.25">
      <c r="A2206" s="5"/>
      <c r="B2206" s="5"/>
    </row>
    <row r="2207" spans="1:2" x14ac:dyDescent="0.25">
      <c r="A2207" s="5"/>
      <c r="B2207" s="5"/>
    </row>
    <row r="2208" spans="1:2" x14ac:dyDescent="0.25">
      <c r="A2208" s="5"/>
      <c r="B2208" s="5"/>
    </row>
    <row r="2209" spans="1:2" x14ac:dyDescent="0.25">
      <c r="A2209" s="5"/>
      <c r="B2209" s="5"/>
    </row>
    <row r="2210" spans="1:2" x14ac:dyDescent="0.25">
      <c r="A2210" s="5"/>
      <c r="B2210" s="5"/>
    </row>
    <row r="2211" spans="1:2" x14ac:dyDescent="0.25">
      <c r="A2211" s="5"/>
      <c r="B2211" s="5"/>
    </row>
    <row r="2212" spans="1:2" x14ac:dyDescent="0.25">
      <c r="A2212" s="5"/>
      <c r="B2212" s="5"/>
    </row>
    <row r="2213" spans="1:2" x14ac:dyDescent="0.25">
      <c r="A2213" s="5"/>
      <c r="B2213" s="5"/>
    </row>
    <row r="2214" spans="1:2" x14ac:dyDescent="0.25">
      <c r="A2214" s="5"/>
      <c r="B2214" s="5"/>
    </row>
    <row r="2215" spans="1:2" x14ac:dyDescent="0.25">
      <c r="A2215" s="5"/>
      <c r="B2215" s="5"/>
    </row>
    <row r="2216" spans="1:2" x14ac:dyDescent="0.25">
      <c r="A2216" s="5"/>
      <c r="B2216" s="5"/>
    </row>
    <row r="2217" spans="1:2" x14ac:dyDescent="0.25">
      <c r="A2217" s="5"/>
      <c r="B2217" s="5"/>
    </row>
    <row r="2218" spans="1:2" x14ac:dyDescent="0.25">
      <c r="A2218" s="5"/>
      <c r="B2218" s="5"/>
    </row>
    <row r="2219" spans="1:2" x14ac:dyDescent="0.25">
      <c r="A2219" s="5"/>
      <c r="B2219" s="5"/>
    </row>
    <row r="2220" spans="1:2" x14ac:dyDescent="0.25">
      <c r="A2220" s="5"/>
      <c r="B2220" s="5"/>
    </row>
    <row r="2221" spans="1:2" x14ac:dyDescent="0.25">
      <c r="A2221" s="5"/>
      <c r="B2221" s="5"/>
    </row>
    <row r="2222" spans="1:2" x14ac:dyDescent="0.25">
      <c r="A2222" s="5"/>
      <c r="B2222" s="5"/>
    </row>
    <row r="2223" spans="1:2" x14ac:dyDescent="0.25">
      <c r="A2223" s="5"/>
      <c r="B2223" s="5"/>
    </row>
    <row r="2224" spans="1:2" x14ac:dyDescent="0.25">
      <c r="A2224" s="5"/>
      <c r="B2224" s="5"/>
    </row>
    <row r="2225" spans="1:2" x14ac:dyDescent="0.25">
      <c r="A2225" s="5"/>
      <c r="B2225" s="5"/>
    </row>
    <row r="2226" spans="1:2" x14ac:dyDescent="0.25">
      <c r="A2226" s="5"/>
      <c r="B2226" s="5"/>
    </row>
    <row r="2227" spans="1:2" x14ac:dyDescent="0.25">
      <c r="A2227" s="5"/>
      <c r="B2227" s="5"/>
    </row>
    <row r="2228" spans="1:2" x14ac:dyDescent="0.25">
      <c r="A2228" s="5"/>
      <c r="B2228" s="5"/>
    </row>
    <row r="2229" spans="1:2" x14ac:dyDescent="0.25">
      <c r="A2229" s="5"/>
      <c r="B2229" s="5"/>
    </row>
    <row r="2230" spans="1:2" x14ac:dyDescent="0.25">
      <c r="A2230" s="5"/>
      <c r="B2230" s="5"/>
    </row>
    <row r="2231" spans="1:2" x14ac:dyDescent="0.25">
      <c r="A2231" s="5"/>
      <c r="B2231" s="5"/>
    </row>
    <row r="2232" spans="1:2" x14ac:dyDescent="0.25">
      <c r="A2232" s="5"/>
      <c r="B2232" s="5"/>
    </row>
    <row r="2233" spans="1:2" x14ac:dyDescent="0.25">
      <c r="A2233" s="5"/>
      <c r="B2233" s="5"/>
    </row>
    <row r="2234" spans="1:2" x14ac:dyDescent="0.25">
      <c r="A2234" s="5"/>
      <c r="B2234" s="5"/>
    </row>
    <row r="2235" spans="1:2" x14ac:dyDescent="0.25">
      <c r="A2235" s="5"/>
      <c r="B2235" s="5"/>
    </row>
    <row r="2236" spans="1:2" x14ac:dyDescent="0.25">
      <c r="A2236" s="5"/>
      <c r="B2236" s="5"/>
    </row>
    <row r="2237" spans="1:2" x14ac:dyDescent="0.25">
      <c r="A2237" s="5"/>
      <c r="B2237" s="5"/>
    </row>
    <row r="2238" spans="1:2" x14ac:dyDescent="0.25">
      <c r="A2238" s="5"/>
      <c r="B2238" s="5"/>
    </row>
    <row r="2239" spans="1:2" x14ac:dyDescent="0.25">
      <c r="A2239" s="5"/>
      <c r="B2239" s="5"/>
    </row>
    <row r="2240" spans="1:2" x14ac:dyDescent="0.25">
      <c r="A2240" s="5"/>
      <c r="B2240" s="5"/>
    </row>
    <row r="2241" spans="1:2" x14ac:dyDescent="0.25">
      <c r="A2241" s="5"/>
      <c r="B2241" s="5"/>
    </row>
    <row r="2242" spans="1:2" x14ac:dyDescent="0.25">
      <c r="A2242" s="5"/>
      <c r="B2242" s="5"/>
    </row>
    <row r="2243" spans="1:2" x14ac:dyDescent="0.25">
      <c r="A2243" s="5"/>
      <c r="B2243" s="5"/>
    </row>
    <row r="2244" spans="1:2" x14ac:dyDescent="0.25">
      <c r="A2244" s="5"/>
      <c r="B2244" s="5"/>
    </row>
    <row r="2245" spans="1:2" x14ac:dyDescent="0.25">
      <c r="A2245" s="5"/>
      <c r="B2245" s="5"/>
    </row>
    <row r="2246" spans="1:2" x14ac:dyDescent="0.25">
      <c r="A2246" s="5"/>
      <c r="B2246" s="5"/>
    </row>
    <row r="2247" spans="1:2" x14ac:dyDescent="0.25">
      <c r="A2247" s="5"/>
      <c r="B2247" s="5"/>
    </row>
    <row r="2248" spans="1:2" x14ac:dyDescent="0.25">
      <c r="A2248" s="5"/>
      <c r="B2248" s="5"/>
    </row>
    <row r="2249" spans="1:2" x14ac:dyDescent="0.25">
      <c r="A2249" s="5"/>
      <c r="B2249" s="5"/>
    </row>
    <row r="2250" spans="1:2" x14ac:dyDescent="0.25">
      <c r="A2250" s="5"/>
      <c r="B2250" s="5"/>
    </row>
    <row r="2251" spans="1:2" x14ac:dyDescent="0.25">
      <c r="A2251" s="5"/>
      <c r="B2251" s="5"/>
    </row>
    <row r="2252" spans="1:2" x14ac:dyDescent="0.25">
      <c r="A2252" s="5"/>
      <c r="B2252" s="5"/>
    </row>
    <row r="2253" spans="1:2" x14ac:dyDescent="0.25">
      <c r="A2253" s="5"/>
      <c r="B2253" s="5"/>
    </row>
    <row r="2254" spans="1:2" x14ac:dyDescent="0.25">
      <c r="A2254" s="5"/>
      <c r="B2254" s="5"/>
    </row>
    <row r="2255" spans="1:2" x14ac:dyDescent="0.25">
      <c r="A2255" s="5"/>
      <c r="B2255" s="5"/>
    </row>
    <row r="2256" spans="1:2" x14ac:dyDescent="0.25">
      <c r="A2256" s="5"/>
      <c r="B2256" s="5"/>
    </row>
    <row r="2257" spans="1:2" x14ac:dyDescent="0.25">
      <c r="A2257" s="5"/>
      <c r="B2257" s="5"/>
    </row>
    <row r="2258" spans="1:2" x14ac:dyDescent="0.25">
      <c r="A2258" s="5"/>
      <c r="B2258" s="5"/>
    </row>
    <row r="2259" spans="1:2" x14ac:dyDescent="0.25">
      <c r="A2259" s="5"/>
      <c r="B2259" s="5"/>
    </row>
    <row r="2260" spans="1:2" x14ac:dyDescent="0.25">
      <c r="A2260" s="5"/>
      <c r="B2260" s="5"/>
    </row>
    <row r="2261" spans="1:2" x14ac:dyDescent="0.25">
      <c r="A2261" s="5"/>
      <c r="B2261" s="5"/>
    </row>
    <row r="2262" spans="1:2" x14ac:dyDescent="0.25">
      <c r="A2262" s="5"/>
      <c r="B2262" s="5"/>
    </row>
    <row r="2263" spans="1:2" x14ac:dyDescent="0.25">
      <c r="A2263" s="5"/>
      <c r="B2263" s="5"/>
    </row>
    <row r="2264" spans="1:2" x14ac:dyDescent="0.25">
      <c r="A2264" s="5"/>
      <c r="B2264" s="5"/>
    </row>
    <row r="2265" spans="1:2" x14ac:dyDescent="0.25">
      <c r="A2265" s="5"/>
      <c r="B2265" s="5"/>
    </row>
    <row r="2266" spans="1:2" x14ac:dyDescent="0.25">
      <c r="A2266" s="5"/>
      <c r="B2266" s="5"/>
    </row>
    <row r="2267" spans="1:2" x14ac:dyDescent="0.25">
      <c r="A2267" s="5"/>
      <c r="B2267" s="5"/>
    </row>
    <row r="2268" spans="1:2" x14ac:dyDescent="0.25">
      <c r="A2268" s="5"/>
      <c r="B2268" s="5"/>
    </row>
    <row r="2269" spans="1:2" x14ac:dyDescent="0.25">
      <c r="A2269" s="5"/>
      <c r="B2269" s="5"/>
    </row>
    <row r="2270" spans="1:2" x14ac:dyDescent="0.25">
      <c r="A2270" s="5"/>
      <c r="B2270" s="5"/>
    </row>
    <row r="2271" spans="1:2" x14ac:dyDescent="0.25">
      <c r="A2271" s="5"/>
      <c r="B2271" s="5"/>
    </row>
    <row r="2272" spans="1:2" x14ac:dyDescent="0.25">
      <c r="A2272" s="5"/>
      <c r="B2272" s="5"/>
    </row>
    <row r="2273" spans="1:2" x14ac:dyDescent="0.25">
      <c r="A2273" s="5"/>
      <c r="B2273" s="5"/>
    </row>
    <row r="2274" spans="1:2" x14ac:dyDescent="0.25">
      <c r="A2274" s="5"/>
      <c r="B2274" s="5"/>
    </row>
    <row r="2275" spans="1:2" x14ac:dyDescent="0.25">
      <c r="A2275" s="5"/>
      <c r="B2275" s="5"/>
    </row>
    <row r="2276" spans="1:2" x14ac:dyDescent="0.25">
      <c r="A2276" s="5"/>
      <c r="B2276" s="5"/>
    </row>
    <row r="2277" spans="1:2" x14ac:dyDescent="0.25">
      <c r="A2277" s="5"/>
      <c r="B2277" s="5"/>
    </row>
    <row r="2278" spans="1:2" x14ac:dyDescent="0.25">
      <c r="A2278" s="5"/>
      <c r="B2278" s="5"/>
    </row>
    <row r="2279" spans="1:2" x14ac:dyDescent="0.25">
      <c r="A2279" s="5"/>
      <c r="B2279" s="5"/>
    </row>
    <row r="2280" spans="1:2" x14ac:dyDescent="0.25">
      <c r="A2280" s="5"/>
      <c r="B2280" s="5"/>
    </row>
    <row r="2281" spans="1:2" x14ac:dyDescent="0.25">
      <c r="A2281" s="5"/>
      <c r="B2281" s="5"/>
    </row>
    <row r="2282" spans="1:2" x14ac:dyDescent="0.25">
      <c r="A2282" s="5"/>
      <c r="B2282" s="5"/>
    </row>
    <row r="2283" spans="1:2" x14ac:dyDescent="0.25">
      <c r="A2283" s="5"/>
      <c r="B2283" s="5"/>
    </row>
    <row r="2284" spans="1:2" x14ac:dyDescent="0.25">
      <c r="A2284" s="5"/>
      <c r="B2284" s="5"/>
    </row>
    <row r="2285" spans="1:2" x14ac:dyDescent="0.25">
      <c r="A2285" s="5"/>
      <c r="B2285" s="5"/>
    </row>
    <row r="2286" spans="1:2" x14ac:dyDescent="0.25">
      <c r="A2286" s="5"/>
      <c r="B2286" s="5"/>
    </row>
    <row r="2287" spans="1:2" x14ac:dyDescent="0.25">
      <c r="A2287" s="5"/>
      <c r="B2287" s="5"/>
    </row>
    <row r="2288" spans="1:2" x14ac:dyDescent="0.25">
      <c r="A2288" s="5"/>
      <c r="B2288" s="5"/>
    </row>
    <row r="2289" spans="1:2" x14ac:dyDescent="0.25">
      <c r="A2289" s="5"/>
      <c r="B2289" s="5"/>
    </row>
    <row r="2290" spans="1:2" x14ac:dyDescent="0.25">
      <c r="A2290" s="5"/>
      <c r="B2290" s="5"/>
    </row>
    <row r="2291" spans="1:2" x14ac:dyDescent="0.25">
      <c r="A2291" s="5"/>
      <c r="B2291" s="5"/>
    </row>
    <row r="2292" spans="1:2" x14ac:dyDescent="0.25">
      <c r="A2292" s="5"/>
      <c r="B2292" s="5"/>
    </row>
    <row r="2293" spans="1:2" x14ac:dyDescent="0.25">
      <c r="A2293" s="5"/>
      <c r="B2293" s="5"/>
    </row>
    <row r="2294" spans="1:2" x14ac:dyDescent="0.25">
      <c r="A2294" s="5"/>
      <c r="B2294" s="5"/>
    </row>
    <row r="2295" spans="1:2" x14ac:dyDescent="0.25">
      <c r="A2295" s="5"/>
      <c r="B2295" s="5"/>
    </row>
    <row r="2296" spans="1:2" x14ac:dyDescent="0.25">
      <c r="A2296" s="5"/>
      <c r="B2296" s="5"/>
    </row>
    <row r="2297" spans="1:2" x14ac:dyDescent="0.25">
      <c r="A2297" s="5"/>
      <c r="B2297" s="5"/>
    </row>
    <row r="2298" spans="1:2" x14ac:dyDescent="0.25">
      <c r="A2298" s="5"/>
      <c r="B2298" s="5"/>
    </row>
    <row r="2299" spans="1:2" x14ac:dyDescent="0.25">
      <c r="A2299" s="5"/>
      <c r="B2299" s="5"/>
    </row>
    <row r="2300" spans="1:2" x14ac:dyDescent="0.25">
      <c r="A2300" s="5"/>
      <c r="B2300" s="5"/>
    </row>
    <row r="2301" spans="1:2" x14ac:dyDescent="0.25">
      <c r="A2301" s="5"/>
      <c r="B2301" s="5"/>
    </row>
    <row r="2302" spans="1:2" x14ac:dyDescent="0.25">
      <c r="A2302" s="5"/>
      <c r="B2302" s="5"/>
    </row>
    <row r="2303" spans="1:2" x14ac:dyDescent="0.25">
      <c r="A2303" s="5"/>
      <c r="B2303" s="5"/>
    </row>
    <row r="2304" spans="1:2" x14ac:dyDescent="0.25">
      <c r="A2304" s="5"/>
      <c r="B2304" s="5"/>
    </row>
    <row r="2305" spans="1:2" x14ac:dyDescent="0.25">
      <c r="A2305" s="5"/>
      <c r="B2305" s="5"/>
    </row>
    <row r="2306" spans="1:2" x14ac:dyDescent="0.25">
      <c r="A2306" s="5"/>
      <c r="B2306" s="5"/>
    </row>
    <row r="2307" spans="1:2" x14ac:dyDescent="0.25">
      <c r="A2307" s="5"/>
      <c r="B2307" s="5"/>
    </row>
    <row r="2308" spans="1:2" x14ac:dyDescent="0.25">
      <c r="A2308" s="5"/>
      <c r="B2308" s="5"/>
    </row>
    <row r="2309" spans="1:2" x14ac:dyDescent="0.25">
      <c r="A2309" s="5"/>
      <c r="B2309" s="5"/>
    </row>
    <row r="2310" spans="1:2" x14ac:dyDescent="0.25">
      <c r="A2310" s="5"/>
      <c r="B2310" s="5"/>
    </row>
    <row r="2311" spans="1:2" x14ac:dyDescent="0.25">
      <c r="A2311" s="5"/>
      <c r="B2311" s="5"/>
    </row>
    <row r="2312" spans="1:2" x14ac:dyDescent="0.25">
      <c r="A2312" s="5"/>
      <c r="B2312" s="5"/>
    </row>
    <row r="2313" spans="1:2" x14ac:dyDescent="0.25">
      <c r="A2313" s="5"/>
      <c r="B2313" s="5"/>
    </row>
    <row r="2314" spans="1:2" x14ac:dyDescent="0.25">
      <c r="A2314" s="5"/>
      <c r="B2314" s="5"/>
    </row>
    <row r="2315" spans="1:2" x14ac:dyDescent="0.25">
      <c r="A2315" s="5"/>
      <c r="B2315" s="5"/>
    </row>
    <row r="2316" spans="1:2" x14ac:dyDescent="0.25">
      <c r="A2316" s="5"/>
      <c r="B2316" s="5"/>
    </row>
    <row r="2317" spans="1:2" x14ac:dyDescent="0.25">
      <c r="A2317" s="5"/>
      <c r="B2317" s="5"/>
    </row>
    <row r="2318" spans="1:2" x14ac:dyDescent="0.25">
      <c r="A2318" s="5"/>
      <c r="B2318" s="5"/>
    </row>
    <row r="2319" spans="1:2" x14ac:dyDescent="0.25">
      <c r="A2319" s="5"/>
      <c r="B2319" s="5"/>
    </row>
    <row r="2320" spans="1:2" x14ac:dyDescent="0.25">
      <c r="A2320" s="5"/>
      <c r="B2320" s="5"/>
    </row>
    <row r="2321" spans="1:2" x14ac:dyDescent="0.25">
      <c r="A2321" s="5"/>
      <c r="B2321" s="5"/>
    </row>
    <row r="2322" spans="1:2" x14ac:dyDescent="0.25">
      <c r="A2322" s="5"/>
      <c r="B2322" s="5"/>
    </row>
    <row r="2323" spans="1:2" x14ac:dyDescent="0.25">
      <c r="A2323" s="5"/>
      <c r="B2323" s="5"/>
    </row>
    <row r="2324" spans="1:2" x14ac:dyDescent="0.25">
      <c r="A2324" s="5"/>
      <c r="B2324" s="5"/>
    </row>
    <row r="2325" spans="1:2" x14ac:dyDescent="0.25">
      <c r="A2325" s="5"/>
      <c r="B2325" s="5"/>
    </row>
    <row r="2326" spans="1:2" x14ac:dyDescent="0.25">
      <c r="A2326" s="5"/>
      <c r="B2326" s="5"/>
    </row>
    <row r="2327" spans="1:2" x14ac:dyDescent="0.25">
      <c r="A2327" s="5"/>
      <c r="B2327" s="5"/>
    </row>
    <row r="2328" spans="1:2" x14ac:dyDescent="0.25">
      <c r="A2328" s="5"/>
      <c r="B2328" s="5"/>
    </row>
    <row r="2329" spans="1:2" x14ac:dyDescent="0.25">
      <c r="A2329" s="5"/>
      <c r="B2329" s="5"/>
    </row>
    <row r="2330" spans="1:2" x14ac:dyDescent="0.25">
      <c r="A2330" s="5"/>
      <c r="B2330" s="5"/>
    </row>
    <row r="2331" spans="1:2" x14ac:dyDescent="0.25">
      <c r="A2331" s="5"/>
      <c r="B2331" s="5"/>
    </row>
    <row r="2332" spans="1:2" x14ac:dyDescent="0.25">
      <c r="A2332" s="5"/>
      <c r="B2332" s="5"/>
    </row>
    <row r="2333" spans="1:2" x14ac:dyDescent="0.25">
      <c r="A2333" s="5"/>
      <c r="B2333" s="5"/>
    </row>
    <row r="2334" spans="1:2" x14ac:dyDescent="0.25">
      <c r="A2334" s="5"/>
      <c r="B2334" s="5"/>
    </row>
    <row r="2335" spans="1:2" x14ac:dyDescent="0.25">
      <c r="A2335" s="5"/>
      <c r="B2335" s="5"/>
    </row>
    <row r="2336" spans="1:2" x14ac:dyDescent="0.25">
      <c r="A2336" s="5"/>
      <c r="B2336" s="5"/>
    </row>
    <row r="2337" spans="1:2" x14ac:dyDescent="0.25">
      <c r="A2337" s="5"/>
      <c r="B2337" s="5"/>
    </row>
    <row r="2338" spans="1:2" x14ac:dyDescent="0.25">
      <c r="A2338" s="5"/>
      <c r="B2338" s="5"/>
    </row>
    <row r="2339" spans="1:2" x14ac:dyDescent="0.25">
      <c r="A2339" s="5"/>
      <c r="B2339" s="5"/>
    </row>
    <row r="2340" spans="1:2" x14ac:dyDescent="0.25">
      <c r="A2340" s="5"/>
      <c r="B2340" s="5"/>
    </row>
    <row r="2341" spans="1:2" x14ac:dyDescent="0.25">
      <c r="A2341" s="5"/>
      <c r="B2341" s="5"/>
    </row>
    <row r="2342" spans="1:2" x14ac:dyDescent="0.25">
      <c r="A2342" s="5"/>
      <c r="B2342" s="5"/>
    </row>
    <row r="2343" spans="1:2" x14ac:dyDescent="0.25">
      <c r="A2343" s="5"/>
      <c r="B2343" s="5"/>
    </row>
    <row r="2344" spans="1:2" x14ac:dyDescent="0.25">
      <c r="A2344" s="5"/>
      <c r="B2344" s="5"/>
    </row>
    <row r="2345" spans="1:2" x14ac:dyDescent="0.25">
      <c r="A2345" s="5"/>
      <c r="B2345" s="5"/>
    </row>
    <row r="2346" spans="1:2" x14ac:dyDescent="0.25">
      <c r="A2346" s="5"/>
      <c r="B2346" s="5"/>
    </row>
    <row r="2347" spans="1:2" x14ac:dyDescent="0.25">
      <c r="A2347" s="5"/>
      <c r="B2347" s="5"/>
    </row>
    <row r="2348" spans="1:2" x14ac:dyDescent="0.25">
      <c r="A2348" s="5"/>
      <c r="B2348" s="5"/>
    </row>
    <row r="2349" spans="1:2" x14ac:dyDescent="0.25">
      <c r="A2349" s="5"/>
      <c r="B2349" s="5"/>
    </row>
    <row r="2350" spans="1:2" x14ac:dyDescent="0.25">
      <c r="A2350" s="5"/>
      <c r="B2350" s="5"/>
    </row>
    <row r="2351" spans="1:2" x14ac:dyDescent="0.25">
      <c r="A2351" s="5"/>
      <c r="B2351" s="5"/>
    </row>
    <row r="2352" spans="1:2" x14ac:dyDescent="0.25">
      <c r="A2352" s="5"/>
      <c r="B2352" s="5"/>
    </row>
    <row r="2353" spans="1:2" x14ac:dyDescent="0.25">
      <c r="A2353" s="5"/>
      <c r="B2353" s="5"/>
    </row>
    <row r="2354" spans="1:2" x14ac:dyDescent="0.25">
      <c r="A2354" s="5"/>
      <c r="B2354" s="5"/>
    </row>
    <row r="2355" spans="1:2" x14ac:dyDescent="0.25">
      <c r="A2355" s="5"/>
      <c r="B2355" s="5"/>
    </row>
    <row r="2356" spans="1:2" x14ac:dyDescent="0.25">
      <c r="A2356" s="5"/>
      <c r="B2356" s="5"/>
    </row>
    <row r="2357" spans="1:2" x14ac:dyDescent="0.25">
      <c r="A2357" s="5"/>
      <c r="B2357" s="5"/>
    </row>
    <row r="2358" spans="1:2" x14ac:dyDescent="0.25">
      <c r="A2358" s="5"/>
      <c r="B2358" s="5"/>
    </row>
    <row r="2359" spans="1:2" x14ac:dyDescent="0.25">
      <c r="A2359" s="5"/>
      <c r="B2359" s="5"/>
    </row>
    <row r="2360" spans="1:2" x14ac:dyDescent="0.25">
      <c r="A2360" s="5"/>
      <c r="B2360" s="5"/>
    </row>
    <row r="2361" spans="1:2" x14ac:dyDescent="0.25">
      <c r="A2361" s="5"/>
      <c r="B2361" s="5"/>
    </row>
    <row r="2362" spans="1:2" x14ac:dyDescent="0.25">
      <c r="A2362" s="5"/>
      <c r="B2362" s="5"/>
    </row>
    <row r="2363" spans="1:2" x14ac:dyDescent="0.25">
      <c r="A2363" s="5"/>
      <c r="B2363" s="5"/>
    </row>
    <row r="2364" spans="1:2" x14ac:dyDescent="0.25">
      <c r="A2364" s="5"/>
      <c r="B2364" s="5"/>
    </row>
    <row r="2365" spans="1:2" x14ac:dyDescent="0.25">
      <c r="A2365" s="5"/>
      <c r="B2365" s="5"/>
    </row>
    <row r="2366" spans="1:2" x14ac:dyDescent="0.25">
      <c r="A2366" s="5"/>
      <c r="B2366" s="5"/>
    </row>
    <row r="2367" spans="1:2" x14ac:dyDescent="0.25">
      <c r="A2367" s="5"/>
      <c r="B2367" s="5"/>
    </row>
    <row r="2368" spans="1:2" x14ac:dyDescent="0.25">
      <c r="A2368" s="5"/>
      <c r="B2368" s="5"/>
    </row>
    <row r="2369" spans="1:2" x14ac:dyDescent="0.25">
      <c r="A2369" s="5"/>
      <c r="B2369" s="5"/>
    </row>
    <row r="2370" spans="1:2" x14ac:dyDescent="0.25">
      <c r="A2370" s="5"/>
      <c r="B2370" s="5"/>
    </row>
    <row r="2371" spans="1:2" x14ac:dyDescent="0.25">
      <c r="A2371" s="5"/>
      <c r="B2371" s="5"/>
    </row>
    <row r="2372" spans="1:2" x14ac:dyDescent="0.25">
      <c r="A2372" s="5"/>
      <c r="B2372" s="5"/>
    </row>
    <row r="2373" spans="1:2" x14ac:dyDescent="0.25">
      <c r="A2373" s="5"/>
      <c r="B2373" s="5"/>
    </row>
    <row r="2374" spans="1:2" x14ac:dyDescent="0.25">
      <c r="A2374" s="5"/>
      <c r="B2374" s="5"/>
    </row>
    <row r="2375" spans="1:2" x14ac:dyDescent="0.25">
      <c r="A2375" s="5"/>
      <c r="B2375" s="5"/>
    </row>
    <row r="2376" spans="1:2" x14ac:dyDescent="0.25">
      <c r="A2376" s="5"/>
      <c r="B2376" s="5"/>
    </row>
    <row r="2377" spans="1:2" x14ac:dyDescent="0.25">
      <c r="A2377" s="5"/>
      <c r="B2377" s="5"/>
    </row>
    <row r="2378" spans="1:2" x14ac:dyDescent="0.25">
      <c r="A2378" s="5"/>
      <c r="B2378" s="5"/>
    </row>
    <row r="2379" spans="1:2" x14ac:dyDescent="0.25">
      <c r="A2379" s="5"/>
      <c r="B2379" s="5"/>
    </row>
    <row r="2380" spans="1:2" x14ac:dyDescent="0.25">
      <c r="A2380" s="5"/>
      <c r="B2380" s="5"/>
    </row>
    <row r="2381" spans="1:2" x14ac:dyDescent="0.25">
      <c r="A2381" s="5"/>
      <c r="B2381" s="5"/>
    </row>
    <row r="2382" spans="1:2" x14ac:dyDescent="0.25">
      <c r="A2382" s="5"/>
      <c r="B2382" s="5"/>
    </row>
    <row r="2383" spans="1:2" x14ac:dyDescent="0.25">
      <c r="A2383" s="5"/>
      <c r="B2383" s="5"/>
    </row>
    <row r="2384" spans="1:2" x14ac:dyDescent="0.25">
      <c r="A2384" s="5"/>
      <c r="B2384" s="5"/>
    </row>
    <row r="2385" spans="1:2" x14ac:dyDescent="0.25">
      <c r="A2385" s="5"/>
      <c r="B2385" s="5"/>
    </row>
    <row r="2386" spans="1:2" x14ac:dyDescent="0.25">
      <c r="A2386" s="5"/>
      <c r="B2386" s="5"/>
    </row>
    <row r="2387" spans="1:2" x14ac:dyDescent="0.25">
      <c r="A2387" s="5"/>
      <c r="B2387" s="5"/>
    </row>
    <row r="2388" spans="1:2" x14ac:dyDescent="0.25">
      <c r="A2388" s="5"/>
      <c r="B2388" s="5"/>
    </row>
    <row r="2389" spans="1:2" x14ac:dyDescent="0.25">
      <c r="A2389" s="5"/>
      <c r="B2389" s="5"/>
    </row>
    <row r="2390" spans="1:2" x14ac:dyDescent="0.25">
      <c r="A2390" s="5"/>
      <c r="B2390" s="5"/>
    </row>
    <row r="2391" spans="1:2" x14ac:dyDescent="0.25">
      <c r="A2391" s="5"/>
      <c r="B2391" s="5"/>
    </row>
    <row r="2392" spans="1:2" x14ac:dyDescent="0.25">
      <c r="A2392" s="5"/>
      <c r="B2392" s="5"/>
    </row>
    <row r="2393" spans="1:2" x14ac:dyDescent="0.25">
      <c r="A2393" s="5"/>
      <c r="B2393" s="5"/>
    </row>
    <row r="2394" spans="1:2" x14ac:dyDescent="0.25">
      <c r="A2394" s="5"/>
      <c r="B2394" s="5"/>
    </row>
    <row r="2395" spans="1:2" x14ac:dyDescent="0.25">
      <c r="A2395" s="5"/>
      <c r="B2395" s="5"/>
    </row>
    <row r="2396" spans="1:2" x14ac:dyDescent="0.25">
      <c r="A2396" s="5"/>
      <c r="B2396" s="5"/>
    </row>
    <row r="2397" spans="1:2" x14ac:dyDescent="0.25">
      <c r="A2397" s="5"/>
      <c r="B2397" s="5"/>
    </row>
    <row r="2398" spans="1:2" x14ac:dyDescent="0.25">
      <c r="A2398" s="5"/>
      <c r="B2398" s="5"/>
    </row>
    <row r="2399" spans="1:2" x14ac:dyDescent="0.25">
      <c r="A2399" s="5"/>
      <c r="B2399" s="5"/>
    </row>
    <row r="2400" spans="1:2" x14ac:dyDescent="0.25">
      <c r="A2400" s="5"/>
      <c r="B2400" s="5"/>
    </row>
    <row r="2401" spans="1:2" x14ac:dyDescent="0.25">
      <c r="A2401" s="5"/>
      <c r="B2401" s="5"/>
    </row>
    <row r="2402" spans="1:2" x14ac:dyDescent="0.25">
      <c r="A2402" s="5"/>
      <c r="B2402" s="5"/>
    </row>
    <row r="2403" spans="1:2" x14ac:dyDescent="0.25">
      <c r="A2403" s="5"/>
      <c r="B2403" s="5"/>
    </row>
    <row r="2404" spans="1:2" x14ac:dyDescent="0.25">
      <c r="A2404" s="5"/>
      <c r="B2404" s="5"/>
    </row>
    <row r="2405" spans="1:2" x14ac:dyDescent="0.25">
      <c r="A2405" s="5"/>
      <c r="B2405" s="5"/>
    </row>
    <row r="2406" spans="1:2" x14ac:dyDescent="0.25">
      <c r="A2406" s="5"/>
      <c r="B2406" s="5"/>
    </row>
    <row r="2407" spans="1:2" x14ac:dyDescent="0.25">
      <c r="A2407" s="5"/>
      <c r="B2407" s="5"/>
    </row>
    <row r="2408" spans="1:2" x14ac:dyDescent="0.25">
      <c r="A2408" s="5"/>
      <c r="B2408" s="5"/>
    </row>
    <row r="2409" spans="1:2" x14ac:dyDescent="0.25">
      <c r="A2409" s="5"/>
      <c r="B2409" s="5"/>
    </row>
    <row r="2410" spans="1:2" x14ac:dyDescent="0.25">
      <c r="A2410" s="5"/>
      <c r="B2410" s="5"/>
    </row>
    <row r="2411" spans="1:2" x14ac:dyDescent="0.25">
      <c r="A2411" s="5"/>
      <c r="B2411" s="5"/>
    </row>
    <row r="2412" spans="1:2" x14ac:dyDescent="0.25">
      <c r="A2412" s="5"/>
      <c r="B2412" s="5"/>
    </row>
    <row r="2413" spans="1:2" x14ac:dyDescent="0.25">
      <c r="A2413" s="5"/>
      <c r="B2413" s="5"/>
    </row>
    <row r="2414" spans="1:2" x14ac:dyDescent="0.25">
      <c r="A2414" s="5"/>
      <c r="B2414" s="5"/>
    </row>
    <row r="2415" spans="1:2" x14ac:dyDescent="0.25">
      <c r="A2415" s="5"/>
      <c r="B2415" s="5"/>
    </row>
    <row r="2416" spans="1:2" x14ac:dyDescent="0.25">
      <c r="A2416" s="5"/>
      <c r="B2416" s="5"/>
    </row>
    <row r="2417" spans="1:2" x14ac:dyDescent="0.25">
      <c r="A2417" s="5"/>
      <c r="B2417" s="5"/>
    </row>
    <row r="2418" spans="1:2" x14ac:dyDescent="0.25">
      <c r="A2418" s="5"/>
      <c r="B2418" s="5"/>
    </row>
    <row r="2419" spans="1:2" x14ac:dyDescent="0.25">
      <c r="A2419" s="5"/>
      <c r="B2419" s="5"/>
    </row>
    <row r="2420" spans="1:2" x14ac:dyDescent="0.25">
      <c r="A2420" s="5"/>
      <c r="B2420" s="5"/>
    </row>
    <row r="2421" spans="1:2" x14ac:dyDescent="0.25">
      <c r="A2421" s="5"/>
      <c r="B2421" s="5"/>
    </row>
    <row r="2422" spans="1:2" x14ac:dyDescent="0.25">
      <c r="A2422" s="5"/>
      <c r="B2422" s="5"/>
    </row>
    <row r="2423" spans="1:2" x14ac:dyDescent="0.25">
      <c r="A2423" s="5"/>
      <c r="B2423" s="5"/>
    </row>
    <row r="2424" spans="1:2" x14ac:dyDescent="0.25">
      <c r="A2424" s="5"/>
      <c r="B2424" s="5"/>
    </row>
    <row r="2425" spans="1:2" x14ac:dyDescent="0.25">
      <c r="A2425" s="5"/>
      <c r="B2425" s="5"/>
    </row>
    <row r="2426" spans="1:2" x14ac:dyDescent="0.25">
      <c r="A2426" s="5"/>
      <c r="B2426" s="5"/>
    </row>
    <row r="2427" spans="1:2" x14ac:dyDescent="0.25">
      <c r="A2427" s="5"/>
      <c r="B2427" s="5"/>
    </row>
    <row r="2428" spans="1:2" x14ac:dyDescent="0.25">
      <c r="A2428" s="5"/>
      <c r="B2428" s="5"/>
    </row>
    <row r="2429" spans="1:2" x14ac:dyDescent="0.25">
      <c r="A2429" s="5"/>
      <c r="B2429" s="5"/>
    </row>
    <row r="2430" spans="1:2" x14ac:dyDescent="0.25">
      <c r="A2430" s="5"/>
      <c r="B2430" s="5"/>
    </row>
    <row r="2431" spans="1:2" x14ac:dyDescent="0.25">
      <c r="A2431" s="5"/>
      <c r="B2431" s="5"/>
    </row>
    <row r="2432" spans="1:2" x14ac:dyDescent="0.25">
      <c r="A2432" s="5"/>
      <c r="B2432" s="5"/>
    </row>
    <row r="2433" spans="1:2" x14ac:dyDescent="0.25">
      <c r="A2433" s="5"/>
      <c r="B2433" s="5"/>
    </row>
    <row r="2434" spans="1:2" x14ac:dyDescent="0.25">
      <c r="A2434" s="5"/>
      <c r="B2434" s="5"/>
    </row>
    <row r="2435" spans="1:2" x14ac:dyDescent="0.25">
      <c r="A2435" s="5"/>
      <c r="B2435" s="5"/>
    </row>
    <row r="2436" spans="1:2" x14ac:dyDescent="0.25">
      <c r="A2436" s="5"/>
      <c r="B2436" s="5"/>
    </row>
    <row r="2437" spans="1:2" x14ac:dyDescent="0.25">
      <c r="A2437" s="5"/>
      <c r="B2437" s="5"/>
    </row>
    <row r="2438" spans="1:2" x14ac:dyDescent="0.25">
      <c r="A2438" s="5"/>
      <c r="B2438" s="5"/>
    </row>
    <row r="2439" spans="1:2" x14ac:dyDescent="0.25">
      <c r="A2439" s="5"/>
      <c r="B2439" s="5"/>
    </row>
    <row r="2440" spans="1:2" x14ac:dyDescent="0.25">
      <c r="A2440" s="5"/>
      <c r="B2440" s="5"/>
    </row>
    <row r="2441" spans="1:2" x14ac:dyDescent="0.25">
      <c r="A2441" s="5"/>
      <c r="B2441" s="5"/>
    </row>
    <row r="2442" spans="1:2" x14ac:dyDescent="0.25">
      <c r="A2442" s="5"/>
      <c r="B2442" s="5"/>
    </row>
    <row r="2443" spans="1:2" x14ac:dyDescent="0.25">
      <c r="A2443" s="5"/>
      <c r="B2443" s="5"/>
    </row>
    <row r="2444" spans="1:2" x14ac:dyDescent="0.25">
      <c r="A2444" s="5"/>
      <c r="B2444" s="5"/>
    </row>
    <row r="2445" spans="1:2" x14ac:dyDescent="0.25">
      <c r="A2445" s="5"/>
      <c r="B2445" s="5"/>
    </row>
    <row r="2446" spans="1:2" x14ac:dyDescent="0.25">
      <c r="A2446" s="5"/>
      <c r="B2446" s="5"/>
    </row>
    <row r="2447" spans="1:2" x14ac:dyDescent="0.25">
      <c r="A2447" s="5"/>
      <c r="B2447" s="5"/>
    </row>
    <row r="2448" spans="1:2" x14ac:dyDescent="0.25">
      <c r="A2448" s="5"/>
      <c r="B2448" s="5"/>
    </row>
    <row r="2449" spans="1:2" x14ac:dyDescent="0.25">
      <c r="A2449" s="5"/>
      <c r="B2449" s="5"/>
    </row>
    <row r="2450" spans="1:2" x14ac:dyDescent="0.25">
      <c r="A2450" s="5"/>
      <c r="B2450" s="5"/>
    </row>
    <row r="2451" spans="1:2" x14ac:dyDescent="0.25">
      <c r="A2451" s="5"/>
      <c r="B2451" s="5"/>
    </row>
    <row r="2452" spans="1:2" x14ac:dyDescent="0.25">
      <c r="A2452" s="5"/>
      <c r="B2452" s="5"/>
    </row>
    <row r="2453" spans="1:2" x14ac:dyDescent="0.25">
      <c r="A2453" s="5"/>
      <c r="B2453" s="5"/>
    </row>
    <row r="2454" spans="1:2" x14ac:dyDescent="0.25">
      <c r="A2454" s="5"/>
      <c r="B2454" s="5"/>
    </row>
    <row r="2455" spans="1:2" x14ac:dyDescent="0.25">
      <c r="A2455" s="5"/>
      <c r="B2455" s="5"/>
    </row>
    <row r="2456" spans="1:2" x14ac:dyDescent="0.25">
      <c r="A2456" s="5"/>
      <c r="B2456" s="5"/>
    </row>
    <row r="2457" spans="1:2" x14ac:dyDescent="0.25">
      <c r="A2457" s="5"/>
      <c r="B2457" s="5"/>
    </row>
    <row r="2458" spans="1:2" x14ac:dyDescent="0.25">
      <c r="A2458" s="5"/>
      <c r="B2458" s="5"/>
    </row>
    <row r="2459" spans="1:2" x14ac:dyDescent="0.25">
      <c r="A2459" s="5"/>
      <c r="B2459" s="5"/>
    </row>
    <row r="2460" spans="1:2" x14ac:dyDescent="0.25">
      <c r="A2460" s="5"/>
      <c r="B2460" s="5"/>
    </row>
    <row r="2461" spans="1:2" x14ac:dyDescent="0.25">
      <c r="A2461" s="5"/>
      <c r="B2461" s="5"/>
    </row>
    <row r="2462" spans="1:2" x14ac:dyDescent="0.25">
      <c r="A2462" s="5"/>
      <c r="B2462" s="5"/>
    </row>
    <row r="2463" spans="1:2" x14ac:dyDescent="0.25">
      <c r="A2463" s="5"/>
      <c r="B2463" s="5"/>
    </row>
    <row r="2464" spans="1:2" x14ac:dyDescent="0.25">
      <c r="A2464" s="5"/>
      <c r="B2464" s="5"/>
    </row>
    <row r="2465" spans="1:2" x14ac:dyDescent="0.25">
      <c r="A2465" s="5"/>
      <c r="B2465" s="5"/>
    </row>
    <row r="2466" spans="1:2" x14ac:dyDescent="0.25">
      <c r="A2466" s="5"/>
      <c r="B2466" s="5"/>
    </row>
    <row r="2467" spans="1:2" x14ac:dyDescent="0.25">
      <c r="A2467" s="5"/>
      <c r="B2467" s="5"/>
    </row>
    <row r="2468" spans="1:2" x14ac:dyDescent="0.25">
      <c r="A2468" s="5"/>
      <c r="B2468" s="5"/>
    </row>
    <row r="2469" spans="1:2" x14ac:dyDescent="0.25">
      <c r="A2469" s="5"/>
      <c r="B2469" s="5"/>
    </row>
    <row r="2470" spans="1:2" x14ac:dyDescent="0.25">
      <c r="A2470" s="5"/>
      <c r="B2470" s="5"/>
    </row>
    <row r="2471" spans="1:2" x14ac:dyDescent="0.25">
      <c r="A2471" s="5"/>
      <c r="B2471" s="5"/>
    </row>
    <row r="2472" spans="1:2" x14ac:dyDescent="0.25">
      <c r="A2472" s="5"/>
      <c r="B2472" s="5"/>
    </row>
    <row r="2473" spans="1:2" x14ac:dyDescent="0.25">
      <c r="A2473" s="5"/>
      <c r="B2473" s="5"/>
    </row>
    <row r="2474" spans="1:2" x14ac:dyDescent="0.25">
      <c r="A2474" s="5"/>
      <c r="B2474" s="5"/>
    </row>
    <row r="2475" spans="1:2" x14ac:dyDescent="0.25">
      <c r="A2475" s="5"/>
      <c r="B2475" s="5"/>
    </row>
    <row r="2476" spans="1:2" x14ac:dyDescent="0.25">
      <c r="A2476" s="5"/>
      <c r="B2476" s="5"/>
    </row>
    <row r="2477" spans="1:2" x14ac:dyDescent="0.25">
      <c r="A2477" s="5"/>
      <c r="B2477" s="5"/>
    </row>
    <row r="2478" spans="1:2" x14ac:dyDescent="0.25">
      <c r="A2478" s="5"/>
      <c r="B2478" s="5"/>
    </row>
    <row r="2479" spans="1:2" x14ac:dyDescent="0.25">
      <c r="A2479" s="5"/>
      <c r="B2479" s="5"/>
    </row>
    <row r="2480" spans="1:2" x14ac:dyDescent="0.25">
      <c r="A2480" s="5"/>
      <c r="B2480" s="5"/>
    </row>
    <row r="2481" spans="1:2" x14ac:dyDescent="0.25">
      <c r="A2481" s="5"/>
      <c r="B2481" s="5"/>
    </row>
    <row r="2482" spans="1:2" x14ac:dyDescent="0.25">
      <c r="A2482" s="5"/>
      <c r="B2482" s="5"/>
    </row>
    <row r="2483" spans="1:2" x14ac:dyDescent="0.25">
      <c r="A2483" s="5"/>
      <c r="B2483" s="5"/>
    </row>
    <row r="2484" spans="1:2" x14ac:dyDescent="0.25">
      <c r="A2484" s="5"/>
      <c r="B2484" s="5"/>
    </row>
    <row r="2485" spans="1:2" x14ac:dyDescent="0.25">
      <c r="A2485" s="5"/>
      <c r="B2485" s="5"/>
    </row>
    <row r="2486" spans="1:2" x14ac:dyDescent="0.25">
      <c r="A2486" s="5"/>
      <c r="B2486" s="5"/>
    </row>
    <row r="2487" spans="1:2" x14ac:dyDescent="0.25">
      <c r="A2487" s="5"/>
      <c r="B2487" s="5"/>
    </row>
    <row r="2488" spans="1:2" x14ac:dyDescent="0.25">
      <c r="A2488" s="5"/>
      <c r="B2488" s="5"/>
    </row>
    <row r="2489" spans="1:2" x14ac:dyDescent="0.25">
      <c r="A2489" s="5"/>
      <c r="B2489" s="5"/>
    </row>
    <row r="2490" spans="1:2" x14ac:dyDescent="0.25">
      <c r="A2490" s="5"/>
      <c r="B2490" s="5"/>
    </row>
    <row r="2491" spans="1:2" x14ac:dyDescent="0.25">
      <c r="A2491" s="5"/>
      <c r="B2491" s="5"/>
    </row>
    <row r="2492" spans="1:2" x14ac:dyDescent="0.25">
      <c r="A2492" s="5"/>
      <c r="B2492" s="5"/>
    </row>
    <row r="2493" spans="1:2" x14ac:dyDescent="0.25">
      <c r="A2493" s="5"/>
      <c r="B2493" s="5"/>
    </row>
    <row r="2494" spans="1:2" x14ac:dyDescent="0.25">
      <c r="A2494" s="5"/>
      <c r="B2494" s="5"/>
    </row>
    <row r="2495" spans="1:2" x14ac:dyDescent="0.25">
      <c r="A2495" s="5"/>
      <c r="B2495" s="5"/>
    </row>
    <row r="2496" spans="1:2" x14ac:dyDescent="0.25">
      <c r="A2496" s="5"/>
      <c r="B2496" s="5"/>
    </row>
    <row r="2497" spans="1:2" x14ac:dyDescent="0.25">
      <c r="A2497" s="5"/>
      <c r="B2497" s="5"/>
    </row>
    <row r="2498" spans="1:2" x14ac:dyDescent="0.25">
      <c r="A2498" s="5"/>
      <c r="B2498" s="5"/>
    </row>
    <row r="2499" spans="1:2" x14ac:dyDescent="0.25">
      <c r="A2499" s="5"/>
      <c r="B2499" s="5"/>
    </row>
    <row r="2500" spans="1:2" x14ac:dyDescent="0.25">
      <c r="A2500" s="5"/>
      <c r="B2500" s="5"/>
    </row>
    <row r="2501" spans="1:2" x14ac:dyDescent="0.25">
      <c r="A2501" s="5"/>
      <c r="B2501" s="5"/>
    </row>
    <row r="2502" spans="1:2" x14ac:dyDescent="0.25">
      <c r="A2502" s="5"/>
      <c r="B2502" s="5"/>
    </row>
    <row r="2503" spans="1:2" x14ac:dyDescent="0.25">
      <c r="A2503" s="5"/>
      <c r="B2503" s="5"/>
    </row>
    <row r="2504" spans="1:2" x14ac:dyDescent="0.25">
      <c r="A2504" s="5"/>
      <c r="B2504" s="5"/>
    </row>
    <row r="2505" spans="1:2" x14ac:dyDescent="0.25">
      <c r="A2505" s="5"/>
      <c r="B2505" s="5"/>
    </row>
    <row r="2506" spans="1:2" x14ac:dyDescent="0.25">
      <c r="A2506" s="5"/>
      <c r="B2506" s="5"/>
    </row>
    <row r="2507" spans="1:2" x14ac:dyDescent="0.25">
      <c r="A2507" s="5"/>
      <c r="B2507" s="5"/>
    </row>
    <row r="2508" spans="1:2" x14ac:dyDescent="0.25">
      <c r="A2508" s="5"/>
      <c r="B2508" s="5"/>
    </row>
    <row r="2509" spans="1:2" x14ac:dyDescent="0.25">
      <c r="A2509" s="5"/>
      <c r="B2509" s="5"/>
    </row>
    <row r="2510" spans="1:2" x14ac:dyDescent="0.25">
      <c r="A2510" s="5"/>
      <c r="B2510" s="5"/>
    </row>
    <row r="2511" spans="1:2" x14ac:dyDescent="0.25">
      <c r="A2511" s="5"/>
      <c r="B2511" s="5"/>
    </row>
    <row r="2512" spans="1:2" x14ac:dyDescent="0.25">
      <c r="A2512" s="5"/>
      <c r="B2512" s="5"/>
    </row>
    <row r="2513" spans="1:2" x14ac:dyDescent="0.25">
      <c r="A2513" s="5"/>
      <c r="B2513" s="5"/>
    </row>
    <row r="2514" spans="1:2" x14ac:dyDescent="0.25">
      <c r="A2514" s="5"/>
      <c r="B2514" s="5"/>
    </row>
    <row r="2515" spans="1:2" x14ac:dyDescent="0.25">
      <c r="A2515" s="5"/>
      <c r="B2515" s="5"/>
    </row>
    <row r="2516" spans="1:2" x14ac:dyDescent="0.25">
      <c r="A2516" s="5"/>
      <c r="B2516" s="5"/>
    </row>
    <row r="2517" spans="1:2" x14ac:dyDescent="0.25">
      <c r="A2517" s="5"/>
      <c r="B2517" s="5"/>
    </row>
    <row r="2518" spans="1:2" x14ac:dyDescent="0.25">
      <c r="A2518" s="5"/>
      <c r="B2518" s="5"/>
    </row>
    <row r="2519" spans="1:2" x14ac:dyDescent="0.25">
      <c r="A2519" s="5"/>
      <c r="B2519" s="5"/>
    </row>
    <row r="2520" spans="1:2" x14ac:dyDescent="0.25">
      <c r="A2520" s="5"/>
      <c r="B2520" s="5"/>
    </row>
    <row r="2521" spans="1:2" x14ac:dyDescent="0.25">
      <c r="A2521" s="5"/>
      <c r="B2521" s="5"/>
    </row>
    <row r="2522" spans="1:2" x14ac:dyDescent="0.25">
      <c r="A2522" s="5"/>
      <c r="B2522" s="5"/>
    </row>
    <row r="2523" spans="1:2" x14ac:dyDescent="0.25">
      <c r="A2523" s="5"/>
      <c r="B2523" s="5"/>
    </row>
    <row r="2524" spans="1:2" x14ac:dyDescent="0.25">
      <c r="A2524" s="5"/>
      <c r="B2524" s="5"/>
    </row>
    <row r="2525" spans="1:2" x14ac:dyDescent="0.25">
      <c r="A2525" s="5"/>
      <c r="B2525" s="5"/>
    </row>
    <row r="2526" spans="1:2" x14ac:dyDescent="0.25">
      <c r="A2526" s="5"/>
      <c r="B2526" s="5"/>
    </row>
    <row r="2527" spans="1:2" x14ac:dyDescent="0.25">
      <c r="A2527" s="5"/>
      <c r="B2527" s="5"/>
    </row>
    <row r="2528" spans="1:2" x14ac:dyDescent="0.25">
      <c r="A2528" s="5"/>
      <c r="B2528" s="5"/>
    </row>
    <row r="2529" spans="1:2" x14ac:dyDescent="0.25">
      <c r="A2529" s="5"/>
      <c r="B2529" s="5"/>
    </row>
    <row r="2530" spans="1:2" x14ac:dyDescent="0.25">
      <c r="A2530" s="5"/>
      <c r="B2530" s="5"/>
    </row>
    <row r="2531" spans="1:2" x14ac:dyDescent="0.25">
      <c r="A2531" s="5"/>
      <c r="B2531" s="5"/>
    </row>
    <row r="2532" spans="1:2" x14ac:dyDescent="0.25">
      <c r="A2532" s="5"/>
      <c r="B2532" s="5"/>
    </row>
    <row r="2533" spans="1:2" x14ac:dyDescent="0.25">
      <c r="A2533" s="5"/>
      <c r="B2533" s="5"/>
    </row>
    <row r="2534" spans="1:2" x14ac:dyDescent="0.25">
      <c r="A2534" s="5"/>
      <c r="B2534" s="5"/>
    </row>
    <row r="2535" spans="1:2" x14ac:dyDescent="0.25">
      <c r="A2535" s="5"/>
      <c r="B2535" s="5"/>
    </row>
    <row r="2536" spans="1:2" x14ac:dyDescent="0.25">
      <c r="A2536" s="5"/>
      <c r="B2536" s="5"/>
    </row>
    <row r="2537" spans="1:2" x14ac:dyDescent="0.25">
      <c r="A2537" s="5"/>
      <c r="B2537" s="5"/>
    </row>
    <row r="2538" spans="1:2" x14ac:dyDescent="0.25">
      <c r="A2538" s="5"/>
      <c r="B2538" s="5"/>
    </row>
    <row r="2539" spans="1:2" x14ac:dyDescent="0.25">
      <c r="A2539" s="5"/>
      <c r="B2539" s="5"/>
    </row>
    <row r="2540" spans="1:2" x14ac:dyDescent="0.25">
      <c r="A2540" s="5"/>
      <c r="B2540" s="5"/>
    </row>
    <row r="2541" spans="1:2" x14ac:dyDescent="0.25">
      <c r="A2541" s="5"/>
      <c r="B2541" s="5"/>
    </row>
    <row r="2542" spans="1:2" x14ac:dyDescent="0.25">
      <c r="A2542" s="5"/>
      <c r="B2542" s="5"/>
    </row>
    <row r="2543" spans="1:2" x14ac:dyDescent="0.25">
      <c r="A2543" s="5"/>
      <c r="B2543" s="5"/>
    </row>
    <row r="2544" spans="1:2" x14ac:dyDescent="0.25">
      <c r="A2544" s="5"/>
      <c r="B2544" s="5"/>
    </row>
    <row r="2545" spans="1:2" x14ac:dyDescent="0.25">
      <c r="A2545" s="5"/>
      <c r="B2545" s="5"/>
    </row>
    <row r="2546" spans="1:2" x14ac:dyDescent="0.25">
      <c r="A2546" s="5"/>
      <c r="B2546" s="5"/>
    </row>
    <row r="2547" spans="1:2" x14ac:dyDescent="0.25">
      <c r="A2547" s="5"/>
      <c r="B2547" s="5"/>
    </row>
    <row r="2548" spans="1:2" x14ac:dyDescent="0.25">
      <c r="A2548" s="5"/>
      <c r="B2548" s="5"/>
    </row>
    <row r="2549" spans="1:2" x14ac:dyDescent="0.25">
      <c r="A2549" s="5"/>
      <c r="B2549" s="5"/>
    </row>
    <row r="2550" spans="1:2" x14ac:dyDescent="0.25">
      <c r="A2550" s="5"/>
      <c r="B2550" s="5"/>
    </row>
    <row r="2551" spans="1:2" x14ac:dyDescent="0.25">
      <c r="A2551" s="5"/>
      <c r="B2551" s="5"/>
    </row>
    <row r="2552" spans="1:2" x14ac:dyDescent="0.25">
      <c r="A2552" s="5"/>
      <c r="B2552" s="5"/>
    </row>
    <row r="2553" spans="1:2" x14ac:dyDescent="0.25">
      <c r="A2553" s="5"/>
      <c r="B2553" s="5"/>
    </row>
    <row r="2554" spans="1:2" x14ac:dyDescent="0.25">
      <c r="A2554" s="5"/>
      <c r="B2554" s="5"/>
    </row>
    <row r="2555" spans="1:2" x14ac:dyDescent="0.25">
      <c r="A2555" s="5"/>
      <c r="B2555" s="5"/>
    </row>
    <row r="2556" spans="1:2" x14ac:dyDescent="0.25">
      <c r="A2556" s="5"/>
      <c r="B2556" s="5"/>
    </row>
    <row r="2557" spans="1:2" x14ac:dyDescent="0.25">
      <c r="A2557" s="5"/>
      <c r="B2557" s="5"/>
    </row>
    <row r="2558" spans="1:2" x14ac:dyDescent="0.25">
      <c r="A2558" s="5"/>
      <c r="B2558" s="5"/>
    </row>
    <row r="2559" spans="1:2" x14ac:dyDescent="0.25">
      <c r="A2559" s="5"/>
      <c r="B2559" s="5"/>
    </row>
    <row r="2560" spans="1:2" x14ac:dyDescent="0.25">
      <c r="A2560" s="5"/>
      <c r="B2560" s="5"/>
    </row>
    <row r="2561" spans="1:2" x14ac:dyDescent="0.25">
      <c r="A2561" s="5"/>
      <c r="B2561" s="5"/>
    </row>
    <row r="2562" spans="1:2" x14ac:dyDescent="0.25">
      <c r="A2562" s="5"/>
      <c r="B2562" s="5"/>
    </row>
    <row r="2563" spans="1:2" x14ac:dyDescent="0.25">
      <c r="A2563" s="5"/>
      <c r="B2563" s="5"/>
    </row>
    <row r="2564" spans="1:2" x14ac:dyDescent="0.25">
      <c r="A2564" s="5"/>
      <c r="B2564" s="5"/>
    </row>
    <row r="2565" spans="1:2" x14ac:dyDescent="0.25">
      <c r="A2565" s="5"/>
      <c r="B2565" s="5"/>
    </row>
    <row r="2566" spans="1:2" x14ac:dyDescent="0.25">
      <c r="A2566" s="5"/>
      <c r="B2566" s="5"/>
    </row>
    <row r="2567" spans="1:2" x14ac:dyDescent="0.25">
      <c r="A2567" s="5"/>
      <c r="B2567" s="5"/>
    </row>
    <row r="2568" spans="1:2" x14ac:dyDescent="0.25">
      <c r="A2568" s="5"/>
      <c r="B2568" s="5"/>
    </row>
    <row r="2569" spans="1:2" x14ac:dyDescent="0.25">
      <c r="A2569" s="5"/>
      <c r="B2569" s="5"/>
    </row>
    <row r="2570" spans="1:2" x14ac:dyDescent="0.25">
      <c r="A2570" s="5"/>
      <c r="B2570" s="5"/>
    </row>
    <row r="2571" spans="1:2" x14ac:dyDescent="0.25">
      <c r="A2571" s="5"/>
      <c r="B2571" s="5"/>
    </row>
    <row r="2572" spans="1:2" x14ac:dyDescent="0.25">
      <c r="A2572" s="5"/>
      <c r="B2572" s="5"/>
    </row>
    <row r="2573" spans="1:2" x14ac:dyDescent="0.25">
      <c r="A2573" s="5"/>
      <c r="B2573" s="5"/>
    </row>
    <row r="2574" spans="1:2" x14ac:dyDescent="0.25">
      <c r="A2574" s="5"/>
      <c r="B2574" s="5"/>
    </row>
    <row r="2575" spans="1:2" x14ac:dyDescent="0.25">
      <c r="A2575" s="5"/>
      <c r="B2575" s="5"/>
    </row>
    <row r="2576" spans="1:2" x14ac:dyDescent="0.25">
      <c r="A2576" s="5"/>
      <c r="B2576" s="5"/>
    </row>
    <row r="2577" spans="1:2" x14ac:dyDescent="0.25">
      <c r="A2577" s="5"/>
      <c r="B2577" s="5"/>
    </row>
    <row r="2578" spans="1:2" x14ac:dyDescent="0.25">
      <c r="A2578" s="5"/>
      <c r="B2578" s="5"/>
    </row>
    <row r="2579" spans="1:2" x14ac:dyDescent="0.25">
      <c r="A2579" s="5"/>
      <c r="B2579" s="5"/>
    </row>
    <row r="2580" spans="1:2" x14ac:dyDescent="0.25">
      <c r="A2580" s="5"/>
      <c r="B2580" s="5"/>
    </row>
    <row r="2581" spans="1:2" x14ac:dyDescent="0.25">
      <c r="A2581" s="5"/>
      <c r="B2581" s="5"/>
    </row>
    <row r="2582" spans="1:2" x14ac:dyDescent="0.25">
      <c r="A2582" s="5"/>
      <c r="B2582" s="5"/>
    </row>
    <row r="2583" spans="1:2" x14ac:dyDescent="0.25">
      <c r="A2583" s="5"/>
      <c r="B2583" s="5"/>
    </row>
    <row r="2584" spans="1:2" x14ac:dyDescent="0.25">
      <c r="A2584" s="5"/>
      <c r="B2584" s="5"/>
    </row>
    <row r="2585" spans="1:2" x14ac:dyDescent="0.25">
      <c r="A2585" s="5"/>
      <c r="B2585" s="5"/>
    </row>
    <row r="2586" spans="1:2" x14ac:dyDescent="0.25">
      <c r="A2586" s="5"/>
      <c r="B2586" s="5"/>
    </row>
    <row r="2587" spans="1:2" x14ac:dyDescent="0.25">
      <c r="A2587" s="5"/>
      <c r="B2587" s="5"/>
    </row>
    <row r="2588" spans="1:2" x14ac:dyDescent="0.25">
      <c r="A2588" s="5"/>
      <c r="B2588" s="5"/>
    </row>
    <row r="2589" spans="1:2" x14ac:dyDescent="0.25">
      <c r="A2589" s="5"/>
      <c r="B2589" s="5"/>
    </row>
    <row r="2590" spans="1:2" x14ac:dyDescent="0.25">
      <c r="A2590" s="5"/>
      <c r="B2590" s="5"/>
    </row>
    <row r="2591" spans="1:2" x14ac:dyDescent="0.25">
      <c r="A2591" s="5"/>
      <c r="B2591" s="5"/>
    </row>
    <row r="2592" spans="1:2" x14ac:dyDescent="0.25">
      <c r="A2592" s="5"/>
      <c r="B2592" s="5"/>
    </row>
    <row r="2593" spans="1:2" x14ac:dyDescent="0.25">
      <c r="A2593" s="5"/>
      <c r="B2593" s="5"/>
    </row>
    <row r="2594" spans="1:2" x14ac:dyDescent="0.25">
      <c r="A2594" s="5"/>
      <c r="B2594" s="5"/>
    </row>
    <row r="2595" spans="1:2" x14ac:dyDescent="0.25">
      <c r="A2595" s="5"/>
      <c r="B2595" s="5"/>
    </row>
    <row r="2596" spans="1:2" x14ac:dyDescent="0.25">
      <c r="A2596" s="5"/>
      <c r="B2596" s="5"/>
    </row>
    <row r="2597" spans="1:2" x14ac:dyDescent="0.25">
      <c r="A2597" s="5"/>
      <c r="B2597" s="5"/>
    </row>
    <row r="2598" spans="1:2" x14ac:dyDescent="0.25">
      <c r="A2598" s="5"/>
      <c r="B2598" s="5"/>
    </row>
    <row r="2599" spans="1:2" x14ac:dyDescent="0.25">
      <c r="A2599" s="5"/>
      <c r="B2599" s="5"/>
    </row>
    <row r="2600" spans="1:2" x14ac:dyDescent="0.25">
      <c r="A2600" s="5"/>
      <c r="B2600" s="5"/>
    </row>
    <row r="2601" spans="1:2" x14ac:dyDescent="0.25">
      <c r="A2601" s="5"/>
      <c r="B2601" s="5"/>
    </row>
    <row r="2602" spans="1:2" x14ac:dyDescent="0.25">
      <c r="A2602" s="5"/>
      <c r="B2602" s="5"/>
    </row>
    <row r="2603" spans="1:2" x14ac:dyDescent="0.25">
      <c r="A2603" s="5"/>
      <c r="B2603" s="5"/>
    </row>
    <row r="2604" spans="1:2" x14ac:dyDescent="0.25">
      <c r="A2604" s="5"/>
      <c r="B2604" s="5"/>
    </row>
    <row r="2605" spans="1:2" x14ac:dyDescent="0.25">
      <c r="A2605" s="5"/>
      <c r="B2605" s="5"/>
    </row>
    <row r="2606" spans="1:2" x14ac:dyDescent="0.25">
      <c r="A2606" s="5"/>
      <c r="B2606" s="5"/>
    </row>
    <row r="2607" spans="1:2" x14ac:dyDescent="0.25">
      <c r="A2607" s="5"/>
      <c r="B2607" s="5"/>
    </row>
    <row r="2608" spans="1:2" x14ac:dyDescent="0.25">
      <c r="A2608" s="5"/>
      <c r="B2608" s="5"/>
    </row>
    <row r="2609" spans="1:2" x14ac:dyDescent="0.25">
      <c r="A2609" s="5"/>
      <c r="B2609" s="5"/>
    </row>
    <row r="2610" spans="1:2" x14ac:dyDescent="0.25">
      <c r="A2610" s="5"/>
      <c r="B2610" s="5"/>
    </row>
    <row r="2611" spans="1:2" x14ac:dyDescent="0.25">
      <c r="A2611" s="5"/>
      <c r="B2611" s="5"/>
    </row>
    <row r="2612" spans="1:2" x14ac:dyDescent="0.25">
      <c r="A2612" s="5"/>
      <c r="B2612" s="5"/>
    </row>
    <row r="2613" spans="1:2" x14ac:dyDescent="0.25">
      <c r="A2613" s="5"/>
      <c r="B2613" s="5"/>
    </row>
    <row r="2614" spans="1:2" x14ac:dyDescent="0.25">
      <c r="A2614" s="5"/>
      <c r="B2614" s="5"/>
    </row>
    <row r="2615" spans="1:2" x14ac:dyDescent="0.25">
      <c r="A2615" s="5"/>
      <c r="B2615" s="5"/>
    </row>
    <row r="2616" spans="1:2" x14ac:dyDescent="0.25">
      <c r="A2616" s="5"/>
      <c r="B2616" s="5"/>
    </row>
    <row r="2617" spans="1:2" x14ac:dyDescent="0.25">
      <c r="A2617" s="5"/>
      <c r="B2617" s="5"/>
    </row>
    <row r="2618" spans="1:2" x14ac:dyDescent="0.25">
      <c r="A2618" s="5"/>
      <c r="B2618" s="5"/>
    </row>
    <row r="2619" spans="1:2" x14ac:dyDescent="0.25">
      <c r="A2619" s="5"/>
      <c r="B2619" s="5"/>
    </row>
    <row r="2620" spans="1:2" x14ac:dyDescent="0.25">
      <c r="A2620" s="5"/>
      <c r="B2620" s="5"/>
    </row>
    <row r="2621" spans="1:2" x14ac:dyDescent="0.25">
      <c r="A2621" s="5"/>
      <c r="B2621" s="5"/>
    </row>
    <row r="2622" spans="1:2" x14ac:dyDescent="0.25">
      <c r="A2622" s="5"/>
      <c r="B2622" s="5"/>
    </row>
    <row r="2623" spans="1:2" x14ac:dyDescent="0.25">
      <c r="A2623" s="5"/>
      <c r="B2623" s="5"/>
    </row>
    <row r="2624" spans="1:2" x14ac:dyDescent="0.25">
      <c r="A2624" s="5"/>
      <c r="B2624" s="5"/>
    </row>
    <row r="2625" spans="1:2" x14ac:dyDescent="0.25">
      <c r="A2625" s="5"/>
      <c r="B2625" s="5"/>
    </row>
    <row r="2626" spans="1:2" x14ac:dyDescent="0.25">
      <c r="A2626" s="5"/>
      <c r="B2626" s="5"/>
    </row>
    <row r="2627" spans="1:2" x14ac:dyDescent="0.25">
      <c r="A2627" s="5"/>
      <c r="B2627" s="5"/>
    </row>
    <row r="2628" spans="1:2" x14ac:dyDescent="0.25">
      <c r="A2628" s="5"/>
      <c r="B2628" s="5"/>
    </row>
    <row r="2629" spans="1:2" x14ac:dyDescent="0.25">
      <c r="A2629" s="5"/>
      <c r="B2629" s="5"/>
    </row>
    <row r="2630" spans="1:2" x14ac:dyDescent="0.25">
      <c r="A2630" s="5"/>
      <c r="B2630" s="5"/>
    </row>
    <row r="2631" spans="1:2" x14ac:dyDescent="0.25">
      <c r="A2631" s="5"/>
      <c r="B2631" s="5"/>
    </row>
    <row r="2632" spans="1:2" x14ac:dyDescent="0.25">
      <c r="A2632" s="5"/>
      <c r="B2632" s="5"/>
    </row>
    <row r="2633" spans="1:2" x14ac:dyDescent="0.25">
      <c r="A2633" s="5"/>
      <c r="B2633" s="5"/>
    </row>
    <row r="2634" spans="1:2" x14ac:dyDescent="0.25">
      <c r="A2634" s="5"/>
      <c r="B2634" s="5"/>
    </row>
    <row r="2635" spans="1:2" x14ac:dyDescent="0.25">
      <c r="A2635" s="5"/>
      <c r="B2635" s="5"/>
    </row>
    <row r="2636" spans="1:2" x14ac:dyDescent="0.25">
      <c r="A2636" s="5"/>
      <c r="B2636" s="5"/>
    </row>
    <row r="2637" spans="1:2" x14ac:dyDescent="0.25">
      <c r="A2637" s="5"/>
      <c r="B2637" s="5"/>
    </row>
    <row r="2638" spans="1:2" x14ac:dyDescent="0.25">
      <c r="A2638" s="5"/>
      <c r="B2638" s="5"/>
    </row>
    <row r="2639" spans="1:2" x14ac:dyDescent="0.25">
      <c r="A2639" s="5"/>
      <c r="B2639" s="5"/>
    </row>
    <row r="2640" spans="1:2" x14ac:dyDescent="0.25">
      <c r="A2640" s="5"/>
      <c r="B2640" s="5"/>
    </row>
    <row r="2641" spans="1:2" x14ac:dyDescent="0.25">
      <c r="A2641" s="5"/>
      <c r="B2641" s="5"/>
    </row>
    <row r="2642" spans="1:2" x14ac:dyDescent="0.25">
      <c r="A2642" s="5"/>
      <c r="B2642" s="5"/>
    </row>
    <row r="2643" spans="1:2" x14ac:dyDescent="0.25">
      <c r="A2643" s="5"/>
      <c r="B2643" s="5"/>
    </row>
    <row r="2644" spans="1:2" x14ac:dyDescent="0.25">
      <c r="A2644" s="5"/>
      <c r="B2644" s="5"/>
    </row>
    <row r="2645" spans="1:2" x14ac:dyDescent="0.25">
      <c r="A2645" s="5"/>
      <c r="B2645" s="5"/>
    </row>
    <row r="2646" spans="1:2" x14ac:dyDescent="0.25">
      <c r="A2646" s="5"/>
      <c r="B2646" s="5"/>
    </row>
    <row r="2647" spans="1:2" x14ac:dyDescent="0.25">
      <c r="A2647" s="5"/>
      <c r="B2647" s="5"/>
    </row>
    <row r="2648" spans="1:2" x14ac:dyDescent="0.25">
      <c r="A2648" s="5"/>
      <c r="B2648" s="5"/>
    </row>
    <row r="2649" spans="1:2" x14ac:dyDescent="0.25">
      <c r="A2649" s="5"/>
      <c r="B2649" s="5"/>
    </row>
    <row r="2650" spans="1:2" x14ac:dyDescent="0.25">
      <c r="A2650" s="5"/>
      <c r="B2650" s="5"/>
    </row>
    <row r="2651" spans="1:2" x14ac:dyDescent="0.25">
      <c r="A2651" s="5"/>
      <c r="B2651" s="5"/>
    </row>
    <row r="2652" spans="1:2" x14ac:dyDescent="0.25">
      <c r="A2652" s="5"/>
      <c r="B2652" s="5"/>
    </row>
    <row r="2653" spans="1:2" x14ac:dyDescent="0.25">
      <c r="A2653" s="5"/>
      <c r="B2653" s="5"/>
    </row>
    <row r="2654" spans="1:2" x14ac:dyDescent="0.25">
      <c r="A2654" s="5"/>
      <c r="B2654" s="5"/>
    </row>
    <row r="2655" spans="1:2" x14ac:dyDescent="0.25">
      <c r="A2655" s="5"/>
      <c r="B2655" s="5"/>
    </row>
    <row r="2656" spans="1:2" x14ac:dyDescent="0.25">
      <c r="A2656" s="5"/>
      <c r="B2656" s="5"/>
    </row>
    <row r="2657" spans="1:2" x14ac:dyDescent="0.25">
      <c r="A2657" s="5"/>
      <c r="B2657" s="5"/>
    </row>
    <row r="2658" spans="1:2" x14ac:dyDescent="0.25">
      <c r="A2658" s="5"/>
      <c r="B2658" s="5"/>
    </row>
    <row r="2659" spans="1:2" x14ac:dyDescent="0.25">
      <c r="A2659" s="5"/>
      <c r="B2659" s="5"/>
    </row>
    <row r="2660" spans="1:2" x14ac:dyDescent="0.25">
      <c r="A2660" s="5"/>
      <c r="B2660" s="5"/>
    </row>
    <row r="2661" spans="1:2" x14ac:dyDescent="0.25">
      <c r="A2661" s="5"/>
      <c r="B2661" s="5"/>
    </row>
    <row r="2662" spans="1:2" x14ac:dyDescent="0.25">
      <c r="A2662" s="5"/>
      <c r="B2662" s="5"/>
    </row>
    <row r="2663" spans="1:2" x14ac:dyDescent="0.25">
      <c r="A2663" s="5"/>
      <c r="B2663" s="5"/>
    </row>
    <row r="2664" spans="1:2" x14ac:dyDescent="0.25">
      <c r="A2664" s="5"/>
      <c r="B2664" s="5"/>
    </row>
    <row r="2665" spans="1:2" x14ac:dyDescent="0.25">
      <c r="A2665" s="5"/>
      <c r="B2665" s="5"/>
    </row>
    <row r="2666" spans="1:2" x14ac:dyDescent="0.25">
      <c r="A2666" s="5"/>
      <c r="B2666" s="5"/>
    </row>
    <row r="2667" spans="1:2" x14ac:dyDescent="0.25">
      <c r="A2667" s="5"/>
      <c r="B2667" s="5"/>
    </row>
    <row r="2668" spans="1:2" x14ac:dyDescent="0.25">
      <c r="A2668" s="5"/>
      <c r="B2668" s="5"/>
    </row>
    <row r="2669" spans="1:2" x14ac:dyDescent="0.25">
      <c r="A2669" s="5"/>
      <c r="B2669" s="5"/>
    </row>
    <row r="2670" spans="1:2" x14ac:dyDescent="0.25">
      <c r="A2670" s="5"/>
      <c r="B2670" s="5"/>
    </row>
    <row r="2671" spans="1:2" x14ac:dyDescent="0.25">
      <c r="A2671" s="5"/>
      <c r="B2671" s="5"/>
    </row>
    <row r="2672" spans="1:2" x14ac:dyDescent="0.25">
      <c r="A2672" s="5"/>
      <c r="B2672" s="5"/>
    </row>
    <row r="2673" spans="1:2" x14ac:dyDescent="0.25">
      <c r="A2673" s="5"/>
      <c r="B2673" s="5"/>
    </row>
    <row r="2674" spans="1:2" x14ac:dyDescent="0.25">
      <c r="A2674" s="5"/>
      <c r="B2674" s="5"/>
    </row>
    <row r="2675" spans="1:2" x14ac:dyDescent="0.25">
      <c r="A2675" s="5"/>
      <c r="B2675" s="5"/>
    </row>
    <row r="2676" spans="1:2" x14ac:dyDescent="0.25">
      <c r="A2676" s="5"/>
      <c r="B2676" s="5"/>
    </row>
    <row r="2677" spans="1:2" x14ac:dyDescent="0.25">
      <c r="A2677" s="5"/>
      <c r="B2677" s="5"/>
    </row>
    <row r="2678" spans="1:2" x14ac:dyDescent="0.25">
      <c r="A2678" s="5"/>
      <c r="B2678" s="5"/>
    </row>
    <row r="2679" spans="1:2" x14ac:dyDescent="0.25">
      <c r="A2679" s="5"/>
      <c r="B2679" s="5"/>
    </row>
    <row r="2680" spans="1:2" x14ac:dyDescent="0.25">
      <c r="A2680" s="5"/>
      <c r="B2680" s="5"/>
    </row>
    <row r="2681" spans="1:2" x14ac:dyDescent="0.25">
      <c r="A2681" s="5"/>
      <c r="B2681" s="5"/>
    </row>
    <row r="2682" spans="1:2" x14ac:dyDescent="0.25">
      <c r="A2682" s="5"/>
      <c r="B2682" s="5"/>
    </row>
    <row r="2683" spans="1:2" x14ac:dyDescent="0.25">
      <c r="A2683" s="5"/>
      <c r="B2683" s="5"/>
    </row>
    <row r="2684" spans="1:2" x14ac:dyDescent="0.25">
      <c r="A2684" s="5"/>
      <c r="B2684" s="5"/>
    </row>
    <row r="2685" spans="1:2" x14ac:dyDescent="0.25">
      <c r="A2685" s="5"/>
      <c r="B2685" s="5"/>
    </row>
    <row r="2686" spans="1:2" x14ac:dyDescent="0.25">
      <c r="A2686" s="5"/>
      <c r="B2686" s="5"/>
    </row>
    <row r="2687" spans="1:2" x14ac:dyDescent="0.25">
      <c r="A2687" s="5"/>
      <c r="B2687" s="5"/>
    </row>
    <row r="2688" spans="1:2" x14ac:dyDescent="0.25">
      <c r="A2688" s="5"/>
      <c r="B2688" s="5"/>
    </row>
    <row r="2689" spans="1:2" x14ac:dyDescent="0.25">
      <c r="A2689" s="5"/>
      <c r="B2689" s="5"/>
    </row>
    <row r="2690" spans="1:2" x14ac:dyDescent="0.25">
      <c r="A2690" s="5"/>
      <c r="B2690" s="5"/>
    </row>
    <row r="2691" spans="1:2" x14ac:dyDescent="0.25">
      <c r="A2691" s="5"/>
      <c r="B2691" s="5"/>
    </row>
    <row r="2692" spans="1:2" x14ac:dyDescent="0.25">
      <c r="A2692" s="5"/>
      <c r="B2692" s="5"/>
    </row>
    <row r="2693" spans="1:2" x14ac:dyDescent="0.25">
      <c r="A2693" s="5"/>
      <c r="B2693" s="5"/>
    </row>
    <row r="2694" spans="1:2" x14ac:dyDescent="0.25">
      <c r="A2694" s="5"/>
      <c r="B2694" s="5"/>
    </row>
    <row r="2695" spans="1:2" x14ac:dyDescent="0.25">
      <c r="A2695" s="5"/>
      <c r="B2695" s="5"/>
    </row>
    <row r="2696" spans="1:2" x14ac:dyDescent="0.25">
      <c r="A2696" s="5"/>
      <c r="B2696" s="5"/>
    </row>
    <row r="2697" spans="1:2" x14ac:dyDescent="0.25">
      <c r="A2697" s="5"/>
      <c r="B2697" s="5"/>
    </row>
    <row r="2698" spans="1:2" x14ac:dyDescent="0.25">
      <c r="A2698" s="5"/>
      <c r="B2698" s="5"/>
    </row>
    <row r="2699" spans="1:2" x14ac:dyDescent="0.25">
      <c r="A2699" s="5"/>
      <c r="B2699" s="5"/>
    </row>
    <row r="2700" spans="1:2" x14ac:dyDescent="0.25">
      <c r="A2700" s="5"/>
      <c r="B2700" s="5"/>
    </row>
    <row r="2701" spans="1:2" x14ac:dyDescent="0.25">
      <c r="A2701" s="5"/>
      <c r="B2701" s="5"/>
    </row>
    <row r="2702" spans="1:2" x14ac:dyDescent="0.25">
      <c r="A2702" s="5"/>
      <c r="B2702" s="5"/>
    </row>
    <row r="2703" spans="1:2" x14ac:dyDescent="0.25">
      <c r="A2703" s="5"/>
      <c r="B2703" s="5"/>
    </row>
    <row r="2704" spans="1:2" x14ac:dyDescent="0.25">
      <c r="A2704" s="5"/>
      <c r="B2704" s="5"/>
    </row>
    <row r="2705" spans="1:2" x14ac:dyDescent="0.25">
      <c r="A2705" s="5"/>
      <c r="B2705" s="5"/>
    </row>
    <row r="2706" spans="1:2" x14ac:dyDescent="0.25">
      <c r="A2706" s="5"/>
      <c r="B2706" s="5"/>
    </row>
    <row r="2707" spans="1:2" x14ac:dyDescent="0.25">
      <c r="A2707" s="5"/>
      <c r="B2707" s="5"/>
    </row>
    <row r="2708" spans="1:2" x14ac:dyDescent="0.25">
      <c r="A2708" s="5"/>
      <c r="B2708" s="5"/>
    </row>
    <row r="2709" spans="1:2" x14ac:dyDescent="0.25">
      <c r="A2709" s="5"/>
      <c r="B2709" s="5"/>
    </row>
    <row r="2710" spans="1:2" x14ac:dyDescent="0.25">
      <c r="A2710" s="5"/>
      <c r="B2710" s="5"/>
    </row>
    <row r="2711" spans="1:2" x14ac:dyDescent="0.25">
      <c r="A2711" s="5"/>
      <c r="B2711" s="5"/>
    </row>
    <row r="2712" spans="1:2" x14ac:dyDescent="0.25">
      <c r="A2712" s="5"/>
      <c r="B2712" s="5"/>
    </row>
    <row r="2713" spans="1:2" x14ac:dyDescent="0.25">
      <c r="A2713" s="5"/>
      <c r="B2713" s="5"/>
    </row>
    <row r="2714" spans="1:2" x14ac:dyDescent="0.25">
      <c r="A2714" s="5"/>
      <c r="B2714" s="5"/>
    </row>
    <row r="2715" spans="1:2" x14ac:dyDescent="0.25">
      <c r="A2715" s="5"/>
      <c r="B2715" s="5"/>
    </row>
    <row r="2716" spans="1:2" x14ac:dyDescent="0.25">
      <c r="A2716" s="5"/>
      <c r="B2716" s="5"/>
    </row>
    <row r="2717" spans="1:2" x14ac:dyDescent="0.25">
      <c r="A2717" s="5"/>
      <c r="B2717" s="5"/>
    </row>
    <row r="2718" spans="1:2" x14ac:dyDescent="0.25">
      <c r="A2718" s="5"/>
      <c r="B2718" s="5"/>
    </row>
    <row r="2719" spans="1:2" x14ac:dyDescent="0.25">
      <c r="A2719" s="5"/>
      <c r="B2719" s="5"/>
    </row>
    <row r="2720" spans="1:2" x14ac:dyDescent="0.25">
      <c r="A2720" s="5"/>
      <c r="B2720" s="5"/>
    </row>
    <row r="2721" spans="1:2" x14ac:dyDescent="0.25">
      <c r="A2721" s="5"/>
      <c r="B2721" s="5"/>
    </row>
    <row r="2722" spans="1:2" x14ac:dyDescent="0.25">
      <c r="A2722" s="5"/>
      <c r="B2722" s="5"/>
    </row>
    <row r="2723" spans="1:2" x14ac:dyDescent="0.25">
      <c r="A2723" s="5"/>
      <c r="B2723" s="5"/>
    </row>
    <row r="2724" spans="1:2" x14ac:dyDescent="0.25">
      <c r="A2724" s="5"/>
      <c r="B2724" s="5"/>
    </row>
    <row r="2725" spans="1:2" x14ac:dyDescent="0.25">
      <c r="A2725" s="5"/>
      <c r="B2725" s="5"/>
    </row>
    <row r="2726" spans="1:2" x14ac:dyDescent="0.25">
      <c r="A2726" s="5"/>
      <c r="B2726" s="5"/>
    </row>
    <row r="2727" spans="1:2" x14ac:dyDescent="0.25">
      <c r="A2727" s="5"/>
      <c r="B2727" s="5"/>
    </row>
    <row r="2728" spans="1:2" x14ac:dyDescent="0.25">
      <c r="A2728" s="5"/>
      <c r="B2728" s="5"/>
    </row>
    <row r="2729" spans="1:2" x14ac:dyDescent="0.25">
      <c r="A2729" s="5"/>
      <c r="B2729" s="5"/>
    </row>
    <row r="2730" spans="1:2" x14ac:dyDescent="0.25">
      <c r="A2730" s="5"/>
      <c r="B2730" s="5"/>
    </row>
    <row r="2731" spans="1:2" x14ac:dyDescent="0.25">
      <c r="A2731" s="5"/>
      <c r="B2731" s="5"/>
    </row>
    <row r="2732" spans="1:2" x14ac:dyDescent="0.25">
      <c r="A2732" s="5"/>
      <c r="B2732" s="5"/>
    </row>
    <row r="2733" spans="1:2" x14ac:dyDescent="0.25">
      <c r="A2733" s="5"/>
      <c r="B2733" s="5"/>
    </row>
    <row r="2734" spans="1:2" x14ac:dyDescent="0.25">
      <c r="A2734" s="5"/>
      <c r="B2734" s="5"/>
    </row>
    <row r="2735" spans="1:2" x14ac:dyDescent="0.25">
      <c r="A2735" s="5"/>
      <c r="B2735" s="5"/>
    </row>
    <row r="2736" spans="1:2" x14ac:dyDescent="0.25">
      <c r="A2736" s="5"/>
      <c r="B2736" s="5"/>
    </row>
    <row r="2737" spans="1:2" x14ac:dyDescent="0.25">
      <c r="A2737" s="5"/>
      <c r="B2737" s="5"/>
    </row>
    <row r="2738" spans="1:2" x14ac:dyDescent="0.25">
      <c r="A2738" s="5"/>
      <c r="B2738" s="5"/>
    </row>
    <row r="2739" spans="1:2" x14ac:dyDescent="0.25">
      <c r="A2739" s="5"/>
      <c r="B2739" s="5"/>
    </row>
    <row r="2740" spans="1:2" x14ac:dyDescent="0.25">
      <c r="A2740" s="5"/>
      <c r="B2740" s="5"/>
    </row>
    <row r="2741" spans="1:2" x14ac:dyDescent="0.25">
      <c r="A2741" s="5"/>
      <c r="B2741" s="5"/>
    </row>
    <row r="2742" spans="1:2" x14ac:dyDescent="0.25">
      <c r="A2742" s="5"/>
      <c r="B2742" s="5"/>
    </row>
    <row r="2743" spans="1:2" x14ac:dyDescent="0.25">
      <c r="A2743" s="5"/>
      <c r="B2743" s="5"/>
    </row>
    <row r="2744" spans="1:2" x14ac:dyDescent="0.25">
      <c r="A2744" s="5"/>
      <c r="B2744" s="5"/>
    </row>
    <row r="2745" spans="1:2" x14ac:dyDescent="0.25">
      <c r="A2745" s="5"/>
      <c r="B2745" s="5"/>
    </row>
    <row r="2746" spans="1:2" x14ac:dyDescent="0.25">
      <c r="A2746" s="5"/>
      <c r="B2746" s="5"/>
    </row>
    <row r="2747" spans="1:2" x14ac:dyDescent="0.25">
      <c r="A2747" s="5"/>
      <c r="B2747" s="5"/>
    </row>
    <row r="2748" spans="1:2" x14ac:dyDescent="0.25">
      <c r="A2748" s="5"/>
      <c r="B2748" s="5"/>
    </row>
    <row r="2749" spans="1:2" x14ac:dyDescent="0.25">
      <c r="A2749" s="5"/>
      <c r="B2749" s="5"/>
    </row>
    <row r="2750" spans="1:2" x14ac:dyDescent="0.25">
      <c r="A2750" s="5"/>
      <c r="B2750" s="5"/>
    </row>
    <row r="2751" spans="1:2" x14ac:dyDescent="0.25">
      <c r="A2751" s="5"/>
      <c r="B2751" s="5"/>
    </row>
    <row r="2752" spans="1:2" x14ac:dyDescent="0.25">
      <c r="A2752" s="5"/>
      <c r="B2752" s="5"/>
    </row>
    <row r="2753" spans="1:2" x14ac:dyDescent="0.25">
      <c r="A2753" s="5"/>
      <c r="B2753" s="5"/>
    </row>
    <row r="2754" spans="1:2" x14ac:dyDescent="0.25">
      <c r="A2754" s="5"/>
      <c r="B2754" s="5"/>
    </row>
    <row r="2755" spans="1:2" x14ac:dyDescent="0.25">
      <c r="A2755" s="5"/>
      <c r="B2755" s="5"/>
    </row>
    <row r="2756" spans="1:2" x14ac:dyDescent="0.25">
      <c r="A2756" s="5"/>
      <c r="B2756" s="5"/>
    </row>
    <row r="2757" spans="1:2" x14ac:dyDescent="0.25">
      <c r="A2757" s="5"/>
      <c r="B2757" s="5"/>
    </row>
    <row r="2758" spans="1:2" x14ac:dyDescent="0.25">
      <c r="A2758" s="5"/>
      <c r="B2758" s="5"/>
    </row>
    <row r="2759" spans="1:2" x14ac:dyDescent="0.25">
      <c r="A2759" s="5"/>
      <c r="B2759" s="5"/>
    </row>
    <row r="2760" spans="1:2" x14ac:dyDescent="0.25">
      <c r="A2760" s="5"/>
      <c r="B2760" s="5"/>
    </row>
    <row r="2761" spans="1:2" x14ac:dyDescent="0.25">
      <c r="A2761" s="5"/>
      <c r="B2761" s="5"/>
    </row>
    <row r="2762" spans="1:2" x14ac:dyDescent="0.25">
      <c r="A2762" s="5"/>
      <c r="B2762" s="5"/>
    </row>
    <row r="2763" spans="1:2" x14ac:dyDescent="0.25">
      <c r="A2763" s="5"/>
      <c r="B2763" s="5"/>
    </row>
    <row r="2764" spans="1:2" x14ac:dyDescent="0.25">
      <c r="A2764" s="5"/>
      <c r="B2764" s="5"/>
    </row>
    <row r="2765" spans="1:2" x14ac:dyDescent="0.25">
      <c r="A2765" s="5"/>
      <c r="B2765" s="5"/>
    </row>
    <row r="2766" spans="1:2" x14ac:dyDescent="0.25">
      <c r="A2766" s="5"/>
      <c r="B2766" s="5"/>
    </row>
    <row r="2767" spans="1:2" x14ac:dyDescent="0.25">
      <c r="A2767" s="5"/>
      <c r="B2767" s="5"/>
    </row>
    <row r="2768" spans="1:2" x14ac:dyDescent="0.25">
      <c r="A2768" s="5"/>
      <c r="B2768" s="5"/>
    </row>
    <row r="2769" spans="1:2" x14ac:dyDescent="0.25">
      <c r="A2769" s="5"/>
      <c r="B2769" s="5"/>
    </row>
    <row r="2770" spans="1:2" x14ac:dyDescent="0.25">
      <c r="A2770" s="5"/>
      <c r="B2770" s="5"/>
    </row>
    <row r="2771" spans="1:2" x14ac:dyDescent="0.25">
      <c r="A2771" s="5"/>
      <c r="B2771" s="5"/>
    </row>
    <row r="2772" spans="1:2" x14ac:dyDescent="0.25">
      <c r="A2772" s="5"/>
      <c r="B2772" s="5"/>
    </row>
    <row r="2773" spans="1:2" x14ac:dyDescent="0.25">
      <c r="A2773" s="5"/>
      <c r="B2773" s="5"/>
    </row>
    <row r="2774" spans="1:2" x14ac:dyDescent="0.25">
      <c r="A2774" s="5"/>
      <c r="B2774" s="5"/>
    </row>
    <row r="2775" spans="1:2" x14ac:dyDescent="0.25">
      <c r="A2775" s="5"/>
      <c r="B2775" s="5"/>
    </row>
    <row r="2776" spans="1:2" x14ac:dyDescent="0.25">
      <c r="A2776" s="5"/>
      <c r="B2776" s="5"/>
    </row>
    <row r="2777" spans="1:2" x14ac:dyDescent="0.25">
      <c r="A2777" s="5"/>
      <c r="B2777" s="5"/>
    </row>
    <row r="2778" spans="1:2" x14ac:dyDescent="0.25">
      <c r="A2778" s="5"/>
      <c r="B2778" s="5"/>
    </row>
    <row r="2779" spans="1:2" x14ac:dyDescent="0.25">
      <c r="A2779" s="5"/>
      <c r="B2779" s="5"/>
    </row>
    <row r="2780" spans="1:2" x14ac:dyDescent="0.25">
      <c r="A2780" s="5"/>
      <c r="B2780" s="5"/>
    </row>
    <row r="2781" spans="1:2" x14ac:dyDescent="0.25">
      <c r="A2781" s="5"/>
      <c r="B2781" s="5"/>
    </row>
    <row r="2782" spans="1:2" x14ac:dyDescent="0.25">
      <c r="A2782" s="5"/>
      <c r="B2782" s="5"/>
    </row>
    <row r="2783" spans="1:2" x14ac:dyDescent="0.25">
      <c r="A2783" s="5"/>
      <c r="B2783" s="5"/>
    </row>
    <row r="2784" spans="1:2" x14ac:dyDescent="0.25">
      <c r="A2784" s="5"/>
      <c r="B2784" s="5"/>
    </row>
    <row r="2785" spans="1:2" x14ac:dyDescent="0.25">
      <c r="A2785" s="5"/>
      <c r="B2785" s="5"/>
    </row>
    <row r="2786" spans="1:2" x14ac:dyDescent="0.25">
      <c r="A2786" s="5"/>
      <c r="B2786" s="5"/>
    </row>
    <row r="2787" spans="1:2" x14ac:dyDescent="0.25">
      <c r="A2787" s="5"/>
      <c r="B2787" s="5"/>
    </row>
    <row r="2788" spans="1:2" x14ac:dyDescent="0.25">
      <c r="A2788" s="5"/>
      <c r="B2788" s="5"/>
    </row>
    <row r="2789" spans="1:2" x14ac:dyDescent="0.25">
      <c r="A2789" s="5"/>
      <c r="B2789" s="5"/>
    </row>
    <row r="2790" spans="1:2" x14ac:dyDescent="0.25">
      <c r="A2790" s="5"/>
      <c r="B2790" s="5"/>
    </row>
    <row r="2791" spans="1:2" x14ac:dyDescent="0.25">
      <c r="A2791" s="5"/>
      <c r="B2791" s="5"/>
    </row>
    <row r="2792" spans="1:2" x14ac:dyDescent="0.25">
      <c r="A2792" s="5"/>
      <c r="B2792" s="5"/>
    </row>
    <row r="2793" spans="1:2" x14ac:dyDescent="0.25">
      <c r="A2793" s="5"/>
      <c r="B2793" s="5"/>
    </row>
    <row r="2794" spans="1:2" x14ac:dyDescent="0.25">
      <c r="A2794" s="5"/>
      <c r="B2794" s="5"/>
    </row>
    <row r="2795" spans="1:2" x14ac:dyDescent="0.25">
      <c r="A2795" s="5"/>
      <c r="B2795" s="5"/>
    </row>
    <row r="2796" spans="1:2" x14ac:dyDescent="0.25">
      <c r="A2796" s="5"/>
      <c r="B2796" s="5"/>
    </row>
    <row r="2797" spans="1:2" x14ac:dyDescent="0.25">
      <c r="A2797" s="5"/>
      <c r="B2797" s="5"/>
    </row>
    <row r="2798" spans="1:2" x14ac:dyDescent="0.25">
      <c r="A2798" s="5"/>
      <c r="B2798" s="5"/>
    </row>
    <row r="2799" spans="1:2" x14ac:dyDescent="0.25">
      <c r="A2799" s="5"/>
      <c r="B2799" s="5"/>
    </row>
    <row r="2800" spans="1:2" x14ac:dyDescent="0.25">
      <c r="A2800" s="5"/>
      <c r="B2800" s="5"/>
    </row>
    <row r="2801" spans="1:2" x14ac:dyDescent="0.25">
      <c r="A2801" s="5"/>
      <c r="B2801" s="5"/>
    </row>
    <row r="2802" spans="1:2" x14ac:dyDescent="0.25">
      <c r="A2802" s="5"/>
      <c r="B2802" s="5"/>
    </row>
    <row r="2803" spans="1:2" x14ac:dyDescent="0.25">
      <c r="A2803" s="5"/>
      <c r="B2803" s="5"/>
    </row>
    <row r="2804" spans="1:2" x14ac:dyDescent="0.25">
      <c r="A2804" s="5"/>
      <c r="B2804" s="5"/>
    </row>
    <row r="2805" spans="1:2" x14ac:dyDescent="0.25">
      <c r="A2805" s="5"/>
      <c r="B2805" s="5"/>
    </row>
    <row r="2806" spans="1:2" x14ac:dyDescent="0.25">
      <c r="A2806" s="5"/>
      <c r="B2806" s="5"/>
    </row>
    <row r="2807" spans="1:2" x14ac:dyDescent="0.25">
      <c r="A2807" s="5"/>
      <c r="B2807" s="5"/>
    </row>
    <row r="2808" spans="1:2" x14ac:dyDescent="0.25">
      <c r="A2808" s="5"/>
      <c r="B2808" s="5"/>
    </row>
    <row r="2809" spans="1:2" x14ac:dyDescent="0.25">
      <c r="A2809" s="5"/>
      <c r="B2809" s="5"/>
    </row>
    <row r="2810" spans="1:2" x14ac:dyDescent="0.25">
      <c r="A2810" s="5"/>
      <c r="B2810" s="5"/>
    </row>
    <row r="2811" spans="1:2" x14ac:dyDescent="0.25">
      <c r="A2811" s="5"/>
      <c r="B2811" s="5"/>
    </row>
    <row r="2812" spans="1:2" x14ac:dyDescent="0.25">
      <c r="A2812" s="5"/>
      <c r="B2812" s="5"/>
    </row>
    <row r="2813" spans="1:2" x14ac:dyDescent="0.25">
      <c r="A2813" s="5"/>
      <c r="B2813" s="5"/>
    </row>
    <row r="2814" spans="1:2" x14ac:dyDescent="0.25">
      <c r="A2814" s="5"/>
      <c r="B2814" s="5"/>
    </row>
    <row r="2815" spans="1:2" x14ac:dyDescent="0.25">
      <c r="A2815" s="5"/>
      <c r="B2815" s="5"/>
    </row>
    <row r="2816" spans="1:2" x14ac:dyDescent="0.25">
      <c r="A2816" s="5"/>
      <c r="B2816" s="5"/>
    </row>
    <row r="2817" spans="1:2" x14ac:dyDescent="0.25">
      <c r="A2817" s="5"/>
      <c r="B2817" s="5"/>
    </row>
    <row r="2818" spans="1:2" x14ac:dyDescent="0.25">
      <c r="A2818" s="5"/>
      <c r="B2818" s="5"/>
    </row>
    <row r="2819" spans="1:2" x14ac:dyDescent="0.25">
      <c r="A2819" s="5"/>
      <c r="B2819" s="5"/>
    </row>
    <row r="2820" spans="1:2" x14ac:dyDescent="0.25">
      <c r="A2820" s="5"/>
      <c r="B2820" s="5"/>
    </row>
    <row r="2821" spans="1:2" x14ac:dyDescent="0.25">
      <c r="A2821" s="5"/>
      <c r="B2821" s="5"/>
    </row>
    <row r="2822" spans="1:2" x14ac:dyDescent="0.25">
      <c r="A2822" s="5"/>
      <c r="B2822" s="5"/>
    </row>
    <row r="2823" spans="1:2" x14ac:dyDescent="0.25">
      <c r="A2823" s="5"/>
      <c r="B2823" s="5"/>
    </row>
    <row r="2824" spans="1:2" x14ac:dyDescent="0.25">
      <c r="A2824" s="5"/>
      <c r="B2824" s="5"/>
    </row>
    <row r="2825" spans="1:2" x14ac:dyDescent="0.25">
      <c r="A2825" s="5"/>
      <c r="B2825" s="5"/>
    </row>
    <row r="2826" spans="1:2" x14ac:dyDescent="0.25">
      <c r="A2826" s="5"/>
      <c r="B2826" s="5"/>
    </row>
    <row r="2827" spans="1:2" x14ac:dyDescent="0.25">
      <c r="A2827" s="5"/>
      <c r="B2827" s="5"/>
    </row>
    <row r="2828" spans="1:2" x14ac:dyDescent="0.25">
      <c r="A2828" s="5"/>
      <c r="B2828" s="5"/>
    </row>
    <row r="2829" spans="1:2" x14ac:dyDescent="0.25">
      <c r="A2829" s="5"/>
      <c r="B2829" s="5"/>
    </row>
    <row r="2830" spans="1:2" x14ac:dyDescent="0.25">
      <c r="A2830" s="5"/>
      <c r="B2830" s="5"/>
    </row>
    <row r="2831" spans="1:2" x14ac:dyDescent="0.25">
      <c r="A2831" s="5"/>
      <c r="B2831" s="5"/>
    </row>
    <row r="2832" spans="1:2" x14ac:dyDescent="0.25">
      <c r="A2832" s="5"/>
      <c r="B2832" s="5"/>
    </row>
    <row r="2833" spans="1:2" x14ac:dyDescent="0.25">
      <c r="A2833" s="5"/>
      <c r="B2833" s="5"/>
    </row>
    <row r="2834" spans="1:2" x14ac:dyDescent="0.25">
      <c r="A2834" s="5"/>
      <c r="B2834" s="5"/>
    </row>
    <row r="2835" spans="1:2" x14ac:dyDescent="0.25">
      <c r="A2835" s="5"/>
      <c r="B2835" s="5"/>
    </row>
    <row r="2836" spans="1:2" x14ac:dyDescent="0.25">
      <c r="A2836" s="5"/>
      <c r="B2836" s="5"/>
    </row>
    <row r="2837" spans="1:2" x14ac:dyDescent="0.25">
      <c r="A2837" s="5"/>
      <c r="B2837" s="5"/>
    </row>
    <row r="2838" spans="1:2" x14ac:dyDescent="0.25">
      <c r="A2838" s="5"/>
      <c r="B2838" s="5"/>
    </row>
    <row r="2839" spans="1:2" x14ac:dyDescent="0.25">
      <c r="A2839" s="5"/>
      <c r="B2839" s="5"/>
    </row>
    <row r="2840" spans="1:2" x14ac:dyDescent="0.25">
      <c r="A2840" s="5"/>
      <c r="B2840" s="5"/>
    </row>
    <row r="2841" spans="1:2" x14ac:dyDescent="0.25">
      <c r="A2841" s="5"/>
      <c r="B2841" s="5"/>
    </row>
    <row r="2842" spans="1:2" x14ac:dyDescent="0.25">
      <c r="A2842" s="5"/>
      <c r="B2842" s="5"/>
    </row>
    <row r="2843" spans="1:2" x14ac:dyDescent="0.25">
      <c r="A2843" s="5"/>
      <c r="B2843" s="5"/>
    </row>
    <row r="2844" spans="1:2" x14ac:dyDescent="0.25">
      <c r="A2844" s="5"/>
      <c r="B2844" s="5"/>
    </row>
    <row r="2845" spans="1:2" x14ac:dyDescent="0.25">
      <c r="A2845" s="5"/>
      <c r="B2845" s="5"/>
    </row>
    <row r="2846" spans="1:2" x14ac:dyDescent="0.25">
      <c r="A2846" s="5"/>
      <c r="B2846" s="5"/>
    </row>
    <row r="2847" spans="1:2" x14ac:dyDescent="0.25">
      <c r="A2847" s="5"/>
      <c r="B2847" s="5"/>
    </row>
    <row r="2848" spans="1:2" x14ac:dyDescent="0.25">
      <c r="A2848" s="5"/>
      <c r="B2848" s="5"/>
    </row>
    <row r="2849" spans="1:2" x14ac:dyDescent="0.25">
      <c r="A2849" s="5"/>
      <c r="B2849" s="5"/>
    </row>
    <row r="2850" spans="1:2" x14ac:dyDescent="0.25">
      <c r="A2850" s="5"/>
      <c r="B2850" s="5"/>
    </row>
    <row r="2851" spans="1:2" x14ac:dyDescent="0.25">
      <c r="A2851" s="5"/>
      <c r="B2851" s="5"/>
    </row>
    <row r="2852" spans="1:2" x14ac:dyDescent="0.25">
      <c r="A2852" s="5"/>
      <c r="B2852" s="5"/>
    </row>
    <row r="2853" spans="1:2" x14ac:dyDescent="0.25">
      <c r="A2853" s="5"/>
      <c r="B2853" s="5"/>
    </row>
    <row r="2854" spans="1:2" x14ac:dyDescent="0.25">
      <c r="A2854" s="5"/>
      <c r="B2854" s="5"/>
    </row>
    <row r="2855" spans="1:2" x14ac:dyDescent="0.25">
      <c r="A2855" s="5"/>
      <c r="B2855" s="5"/>
    </row>
    <row r="2856" spans="1:2" x14ac:dyDescent="0.25">
      <c r="A2856" s="5"/>
      <c r="B2856" s="5"/>
    </row>
    <row r="2857" spans="1:2" x14ac:dyDescent="0.25">
      <c r="A2857" s="5"/>
      <c r="B2857" s="5"/>
    </row>
    <row r="2858" spans="1:2" x14ac:dyDescent="0.25">
      <c r="A2858" s="5"/>
      <c r="B2858" s="5"/>
    </row>
    <row r="2859" spans="1:2" x14ac:dyDescent="0.25">
      <c r="A2859" s="5"/>
      <c r="B2859" s="5"/>
    </row>
    <row r="2860" spans="1:2" x14ac:dyDescent="0.25">
      <c r="A2860" s="5"/>
      <c r="B2860" s="5"/>
    </row>
    <row r="2861" spans="1:2" x14ac:dyDescent="0.25">
      <c r="A2861" s="5"/>
      <c r="B2861" s="5"/>
    </row>
    <row r="2862" spans="1:2" x14ac:dyDescent="0.25">
      <c r="A2862" s="5"/>
      <c r="B2862" s="5"/>
    </row>
    <row r="2863" spans="1:2" x14ac:dyDescent="0.25">
      <c r="A2863" s="5"/>
      <c r="B2863" s="5"/>
    </row>
    <row r="2864" spans="1:2" x14ac:dyDescent="0.25">
      <c r="A2864" s="5"/>
      <c r="B2864" s="5"/>
    </row>
    <row r="2865" spans="1:2" x14ac:dyDescent="0.25">
      <c r="A2865" s="5"/>
      <c r="B2865" s="5"/>
    </row>
    <row r="2866" spans="1:2" x14ac:dyDescent="0.25">
      <c r="A2866" s="5"/>
      <c r="B2866" s="5"/>
    </row>
    <row r="2867" spans="1:2" x14ac:dyDescent="0.25">
      <c r="A2867" s="5"/>
      <c r="B2867" s="5"/>
    </row>
    <row r="2868" spans="1:2" x14ac:dyDescent="0.25">
      <c r="A2868" s="5"/>
      <c r="B2868" s="5"/>
    </row>
    <row r="2869" spans="1:2" x14ac:dyDescent="0.25">
      <c r="A2869" s="5"/>
      <c r="B2869" s="5"/>
    </row>
    <row r="2870" spans="1:2" x14ac:dyDescent="0.25">
      <c r="A2870" s="5"/>
      <c r="B2870" s="5"/>
    </row>
    <row r="2871" spans="1:2" x14ac:dyDescent="0.25">
      <c r="A2871" s="5"/>
      <c r="B2871" s="5"/>
    </row>
    <row r="2872" spans="1:2" x14ac:dyDescent="0.25">
      <c r="A2872" s="5"/>
      <c r="B2872" s="5"/>
    </row>
    <row r="2873" spans="1:2" x14ac:dyDescent="0.25">
      <c r="A2873" s="5"/>
      <c r="B2873" s="5"/>
    </row>
    <row r="2874" spans="1:2" x14ac:dyDescent="0.25">
      <c r="A2874" s="5"/>
      <c r="B2874" s="5"/>
    </row>
    <row r="2875" spans="1:2" x14ac:dyDescent="0.25">
      <c r="A2875" s="5"/>
      <c r="B2875" s="5"/>
    </row>
    <row r="2876" spans="1:2" x14ac:dyDescent="0.25">
      <c r="A2876" s="5"/>
      <c r="B2876" s="5"/>
    </row>
    <row r="2877" spans="1:2" x14ac:dyDescent="0.25">
      <c r="A2877" s="5"/>
      <c r="B2877" s="5"/>
    </row>
    <row r="2878" spans="1:2" x14ac:dyDescent="0.25">
      <c r="A2878" s="5"/>
      <c r="B2878" s="5"/>
    </row>
    <row r="2879" spans="1:2" x14ac:dyDescent="0.25">
      <c r="A2879" s="5"/>
      <c r="B2879" s="5"/>
    </row>
    <row r="2880" spans="1:2" x14ac:dyDescent="0.25">
      <c r="A2880" s="5"/>
      <c r="B2880" s="5"/>
    </row>
    <row r="2881" spans="1:2" x14ac:dyDescent="0.25">
      <c r="A2881" s="5"/>
      <c r="B2881" s="5"/>
    </row>
    <row r="2882" spans="1:2" x14ac:dyDescent="0.25">
      <c r="A2882" s="5"/>
      <c r="B2882" s="5"/>
    </row>
    <row r="2883" spans="1:2" x14ac:dyDescent="0.25">
      <c r="A2883" s="5"/>
      <c r="B2883" s="5"/>
    </row>
    <row r="2884" spans="1:2" x14ac:dyDescent="0.25">
      <c r="A2884" s="5"/>
      <c r="B2884" s="5"/>
    </row>
    <row r="2885" spans="1:2" x14ac:dyDescent="0.25">
      <c r="A2885" s="5"/>
      <c r="B2885" s="5"/>
    </row>
    <row r="2886" spans="1:2" x14ac:dyDescent="0.25">
      <c r="A2886" s="5"/>
      <c r="B2886" s="5"/>
    </row>
    <row r="2887" spans="1:2" x14ac:dyDescent="0.25">
      <c r="A2887" s="5"/>
      <c r="B2887" s="5"/>
    </row>
    <row r="2888" spans="1:2" x14ac:dyDescent="0.25">
      <c r="A2888" s="5"/>
      <c r="B2888" s="5"/>
    </row>
    <row r="2889" spans="1:2" x14ac:dyDescent="0.25">
      <c r="A2889" s="5"/>
      <c r="B2889" s="5"/>
    </row>
    <row r="2890" spans="1:2" x14ac:dyDescent="0.25">
      <c r="A2890" s="5"/>
      <c r="B2890" s="5"/>
    </row>
    <row r="2891" spans="1:2" x14ac:dyDescent="0.25">
      <c r="A2891" s="5"/>
      <c r="B2891" s="5"/>
    </row>
    <row r="2892" spans="1:2" x14ac:dyDescent="0.25">
      <c r="A2892" s="5"/>
      <c r="B2892" s="5"/>
    </row>
    <row r="2893" spans="1:2" x14ac:dyDescent="0.25">
      <c r="A2893" s="5"/>
      <c r="B2893" s="5"/>
    </row>
    <row r="2894" spans="1:2" x14ac:dyDescent="0.25">
      <c r="A2894" s="5"/>
      <c r="B2894" s="5"/>
    </row>
    <row r="2895" spans="1:2" x14ac:dyDescent="0.25">
      <c r="A2895" s="5"/>
      <c r="B2895" s="5"/>
    </row>
    <row r="2896" spans="1:2" x14ac:dyDescent="0.25">
      <c r="A2896" s="5"/>
      <c r="B2896" s="5"/>
    </row>
    <row r="2897" spans="1:2" x14ac:dyDescent="0.25">
      <c r="A2897" s="5"/>
      <c r="B2897" s="5"/>
    </row>
    <row r="2898" spans="1:2" x14ac:dyDescent="0.25">
      <c r="A2898" s="5"/>
      <c r="B2898" s="5"/>
    </row>
    <row r="2899" spans="1:2" x14ac:dyDescent="0.25">
      <c r="A2899" s="5"/>
      <c r="B2899" s="5"/>
    </row>
    <row r="2900" spans="1:2" x14ac:dyDescent="0.25">
      <c r="A2900" s="5"/>
      <c r="B2900" s="5"/>
    </row>
    <row r="2901" spans="1:2" x14ac:dyDescent="0.25">
      <c r="A2901" s="5"/>
      <c r="B2901" s="5"/>
    </row>
    <row r="2902" spans="1:2" x14ac:dyDescent="0.25">
      <c r="A2902" s="5"/>
      <c r="B2902" s="5"/>
    </row>
    <row r="2903" spans="1:2" x14ac:dyDescent="0.25">
      <c r="A2903" s="5"/>
      <c r="B2903" s="5"/>
    </row>
    <row r="2904" spans="1:2" x14ac:dyDescent="0.25">
      <c r="A2904" s="5"/>
      <c r="B2904" s="5"/>
    </row>
    <row r="2905" spans="1:2" x14ac:dyDescent="0.25">
      <c r="A2905" s="5"/>
      <c r="B2905" s="5"/>
    </row>
    <row r="2906" spans="1:2" x14ac:dyDescent="0.25">
      <c r="A2906" s="5"/>
      <c r="B2906" s="5"/>
    </row>
    <row r="2907" spans="1:2" x14ac:dyDescent="0.25">
      <c r="A2907" s="5"/>
      <c r="B2907" s="5"/>
    </row>
    <row r="2908" spans="1:2" x14ac:dyDescent="0.25">
      <c r="A2908" s="5"/>
      <c r="B2908" s="5"/>
    </row>
    <row r="2909" spans="1:2" x14ac:dyDescent="0.25">
      <c r="A2909" s="5"/>
      <c r="B2909" s="5"/>
    </row>
    <row r="2910" spans="1:2" x14ac:dyDescent="0.25">
      <c r="A2910" s="5"/>
      <c r="B2910" s="5"/>
    </row>
    <row r="2911" spans="1:2" x14ac:dyDescent="0.25">
      <c r="A2911" s="5"/>
      <c r="B2911" s="5"/>
    </row>
    <row r="2912" spans="1:2" x14ac:dyDescent="0.25">
      <c r="A2912" s="5"/>
      <c r="B2912" s="5"/>
    </row>
    <row r="2913" spans="1:2" x14ac:dyDescent="0.25">
      <c r="A2913" s="5"/>
      <c r="B2913" s="5"/>
    </row>
    <row r="2914" spans="1:2" x14ac:dyDescent="0.25">
      <c r="A2914" s="5"/>
      <c r="B2914" s="5"/>
    </row>
    <row r="2915" spans="1:2" x14ac:dyDescent="0.25">
      <c r="A2915" s="5"/>
      <c r="B2915" s="5"/>
    </row>
    <row r="2916" spans="1:2" x14ac:dyDescent="0.25">
      <c r="A2916" s="5"/>
      <c r="B2916" s="5"/>
    </row>
    <row r="2917" spans="1:2" x14ac:dyDescent="0.25">
      <c r="A2917" s="5"/>
      <c r="B2917" s="5"/>
    </row>
    <row r="2918" spans="1:2" x14ac:dyDescent="0.25">
      <c r="A2918" s="5"/>
      <c r="B2918" s="5"/>
    </row>
    <row r="2919" spans="1:2" x14ac:dyDescent="0.25">
      <c r="A2919" s="5"/>
      <c r="B2919" s="5"/>
    </row>
    <row r="2920" spans="1:2" x14ac:dyDescent="0.25">
      <c r="A2920" s="5"/>
      <c r="B2920" s="5"/>
    </row>
    <row r="2921" spans="1:2" x14ac:dyDescent="0.25">
      <c r="A2921" s="5"/>
      <c r="B2921" s="5"/>
    </row>
    <row r="2922" spans="1:2" x14ac:dyDescent="0.25">
      <c r="A2922" s="5"/>
      <c r="B2922" s="5"/>
    </row>
    <row r="2923" spans="1:2" x14ac:dyDescent="0.25">
      <c r="A2923" s="5"/>
      <c r="B2923" s="5"/>
    </row>
    <row r="2924" spans="1:2" x14ac:dyDescent="0.25">
      <c r="A2924" s="5"/>
      <c r="B2924" s="5"/>
    </row>
    <row r="2925" spans="1:2" x14ac:dyDescent="0.25">
      <c r="A2925" s="5"/>
      <c r="B2925" s="5"/>
    </row>
    <row r="2926" spans="1:2" x14ac:dyDescent="0.25">
      <c r="A2926" s="5"/>
      <c r="B2926" s="5"/>
    </row>
    <row r="2927" spans="1:2" x14ac:dyDescent="0.25">
      <c r="A2927" s="5"/>
      <c r="B2927" s="5"/>
    </row>
    <row r="2928" spans="1:2" x14ac:dyDescent="0.25">
      <c r="A2928" s="5"/>
      <c r="B2928" s="5"/>
    </row>
    <row r="2929" spans="1:2" x14ac:dyDescent="0.25">
      <c r="A2929" s="5"/>
      <c r="B2929" s="5"/>
    </row>
    <row r="2930" spans="1:2" x14ac:dyDescent="0.25">
      <c r="A2930" s="5"/>
      <c r="B2930" s="5"/>
    </row>
    <row r="2931" spans="1:2" x14ac:dyDescent="0.25">
      <c r="A2931" s="5"/>
      <c r="B2931" s="5"/>
    </row>
    <row r="2932" spans="1:2" x14ac:dyDescent="0.25">
      <c r="A2932" s="5"/>
      <c r="B2932" s="5"/>
    </row>
    <row r="2933" spans="1:2" x14ac:dyDescent="0.25">
      <c r="A2933" s="5"/>
      <c r="B2933" s="5"/>
    </row>
    <row r="2934" spans="1:2" x14ac:dyDescent="0.25">
      <c r="A2934" s="5"/>
      <c r="B2934" s="5"/>
    </row>
    <row r="2935" spans="1:2" x14ac:dyDescent="0.25">
      <c r="A2935" s="5"/>
      <c r="B2935" s="5"/>
    </row>
    <row r="2936" spans="1:2" x14ac:dyDescent="0.25">
      <c r="A2936" s="5"/>
      <c r="B2936" s="5"/>
    </row>
    <row r="2937" spans="1:2" x14ac:dyDescent="0.25">
      <c r="A2937" s="5"/>
      <c r="B2937" s="5"/>
    </row>
    <row r="2938" spans="1:2" x14ac:dyDescent="0.25">
      <c r="A2938" s="5"/>
      <c r="B2938" s="5"/>
    </row>
    <row r="2939" spans="1:2" x14ac:dyDescent="0.25">
      <c r="A2939" s="5"/>
      <c r="B2939" s="5"/>
    </row>
    <row r="2940" spans="1:2" x14ac:dyDescent="0.25">
      <c r="A2940" s="5"/>
      <c r="B2940" s="5"/>
    </row>
    <row r="2941" spans="1:2" x14ac:dyDescent="0.25">
      <c r="A2941" s="5"/>
      <c r="B2941" s="5"/>
    </row>
    <row r="2942" spans="1:2" x14ac:dyDescent="0.25">
      <c r="A2942" s="5"/>
      <c r="B2942" s="5"/>
    </row>
    <row r="2943" spans="1:2" x14ac:dyDescent="0.25">
      <c r="A2943" s="5"/>
      <c r="B2943" s="5"/>
    </row>
    <row r="2944" spans="1:2" x14ac:dyDescent="0.25">
      <c r="A2944" s="5"/>
      <c r="B2944" s="5"/>
    </row>
    <row r="2945" spans="1:2" x14ac:dyDescent="0.25">
      <c r="A2945" s="5"/>
      <c r="B2945" s="5"/>
    </row>
    <row r="2946" spans="1:2" x14ac:dyDescent="0.25">
      <c r="A2946" s="5"/>
      <c r="B2946" s="5"/>
    </row>
    <row r="2947" spans="1:2" x14ac:dyDescent="0.25">
      <c r="A2947" s="5"/>
      <c r="B2947" s="5"/>
    </row>
    <row r="2948" spans="1:2" x14ac:dyDescent="0.25">
      <c r="A2948" s="5"/>
      <c r="B2948" s="5"/>
    </row>
    <row r="2949" spans="1:2" x14ac:dyDescent="0.25">
      <c r="A2949" s="5"/>
      <c r="B2949" s="5"/>
    </row>
    <row r="2950" spans="1:2" x14ac:dyDescent="0.25">
      <c r="A2950" s="5"/>
      <c r="B2950" s="5"/>
    </row>
    <row r="2951" spans="1:2" x14ac:dyDescent="0.25">
      <c r="A2951" s="5"/>
      <c r="B2951" s="5"/>
    </row>
    <row r="2952" spans="1:2" x14ac:dyDescent="0.25">
      <c r="A2952" s="5"/>
      <c r="B2952" s="5"/>
    </row>
    <row r="2953" spans="1:2" x14ac:dyDescent="0.25">
      <c r="A2953" s="5"/>
      <c r="B2953" s="5"/>
    </row>
    <row r="2954" spans="1:2" x14ac:dyDescent="0.25">
      <c r="A2954" s="5"/>
      <c r="B2954" s="5"/>
    </row>
    <row r="2955" spans="1:2" x14ac:dyDescent="0.25">
      <c r="A2955" s="5"/>
      <c r="B2955" s="5"/>
    </row>
    <row r="2956" spans="1:2" x14ac:dyDescent="0.25">
      <c r="A2956" s="5"/>
      <c r="B2956" s="5"/>
    </row>
    <row r="2957" spans="1:2" x14ac:dyDescent="0.25">
      <c r="A2957" s="5"/>
      <c r="B2957" s="5"/>
    </row>
    <row r="2958" spans="1:2" x14ac:dyDescent="0.25">
      <c r="A2958" s="5"/>
      <c r="B2958" s="5"/>
    </row>
    <row r="2959" spans="1:2" x14ac:dyDescent="0.25">
      <c r="A2959" s="5"/>
      <c r="B2959" s="5"/>
    </row>
    <row r="2960" spans="1:2" x14ac:dyDescent="0.25">
      <c r="A2960" s="5"/>
      <c r="B2960" s="5"/>
    </row>
    <row r="2961" spans="1:2" x14ac:dyDescent="0.25">
      <c r="A2961" s="5"/>
      <c r="B2961" s="5"/>
    </row>
    <row r="2962" spans="1:2" x14ac:dyDescent="0.25">
      <c r="A2962" s="5"/>
      <c r="B2962" s="5"/>
    </row>
    <row r="2963" spans="1:2" x14ac:dyDescent="0.25">
      <c r="A2963" s="5"/>
      <c r="B2963" s="5"/>
    </row>
    <row r="2964" spans="1:2" x14ac:dyDescent="0.25">
      <c r="A2964" s="5"/>
      <c r="B2964" s="5"/>
    </row>
    <row r="2965" spans="1:2" x14ac:dyDescent="0.25">
      <c r="A2965" s="5"/>
      <c r="B2965" s="5"/>
    </row>
    <row r="2966" spans="1:2" x14ac:dyDescent="0.25">
      <c r="A2966" s="5"/>
      <c r="B2966" s="5"/>
    </row>
    <row r="2967" spans="1:2" x14ac:dyDescent="0.25">
      <c r="A2967" s="5"/>
      <c r="B2967" s="5"/>
    </row>
    <row r="2968" spans="1:2" x14ac:dyDescent="0.25">
      <c r="A2968" s="5"/>
      <c r="B2968" s="5"/>
    </row>
    <row r="2969" spans="1:2" x14ac:dyDescent="0.25">
      <c r="A2969" s="5"/>
      <c r="B2969" s="5"/>
    </row>
    <row r="2970" spans="1:2" x14ac:dyDescent="0.25">
      <c r="A2970" s="5"/>
      <c r="B2970" s="5"/>
    </row>
    <row r="2971" spans="1:2" x14ac:dyDescent="0.25">
      <c r="A2971" s="5"/>
      <c r="B2971" s="5"/>
    </row>
    <row r="2972" spans="1:2" x14ac:dyDescent="0.25">
      <c r="A2972" s="5"/>
      <c r="B2972" s="5"/>
    </row>
    <row r="2973" spans="1:2" x14ac:dyDescent="0.25">
      <c r="A2973" s="5"/>
      <c r="B2973" s="5"/>
    </row>
    <row r="2974" spans="1:2" x14ac:dyDescent="0.25">
      <c r="A2974" s="5"/>
      <c r="B2974" s="5"/>
    </row>
    <row r="2975" spans="1:2" x14ac:dyDescent="0.25">
      <c r="A2975" s="5"/>
      <c r="B2975" s="5"/>
    </row>
    <row r="2976" spans="1:2" x14ac:dyDescent="0.25">
      <c r="A2976" s="5"/>
      <c r="B2976" s="5"/>
    </row>
    <row r="2977" spans="1:2" x14ac:dyDescent="0.25">
      <c r="A2977" s="5"/>
      <c r="B2977" s="5"/>
    </row>
    <row r="2978" spans="1:2" x14ac:dyDescent="0.25">
      <c r="A2978" s="5"/>
      <c r="B2978" s="5"/>
    </row>
    <row r="2979" spans="1:2" x14ac:dyDescent="0.25">
      <c r="A2979" s="5"/>
      <c r="B2979" s="5"/>
    </row>
    <row r="2980" spans="1:2" x14ac:dyDescent="0.25">
      <c r="A2980" s="5"/>
      <c r="B2980" s="5"/>
    </row>
    <row r="2981" spans="1:2" x14ac:dyDescent="0.25">
      <c r="A2981" s="5"/>
      <c r="B2981" s="5"/>
    </row>
    <row r="2982" spans="1:2" x14ac:dyDescent="0.25">
      <c r="A2982" s="5"/>
      <c r="B2982" s="5"/>
    </row>
    <row r="2983" spans="1:2" x14ac:dyDescent="0.25">
      <c r="A2983" s="5"/>
      <c r="B2983" s="5"/>
    </row>
    <row r="2984" spans="1:2" x14ac:dyDescent="0.25">
      <c r="A2984" s="5"/>
      <c r="B2984" s="5"/>
    </row>
    <row r="2985" spans="1:2" x14ac:dyDescent="0.25">
      <c r="A2985" s="5"/>
      <c r="B2985" s="5"/>
    </row>
    <row r="2986" spans="1:2" x14ac:dyDescent="0.25">
      <c r="A2986" s="5"/>
      <c r="B2986" s="5"/>
    </row>
    <row r="2987" spans="1:2" x14ac:dyDescent="0.25">
      <c r="A2987" s="5"/>
      <c r="B2987" s="5"/>
    </row>
    <row r="2988" spans="1:2" x14ac:dyDescent="0.25">
      <c r="A2988" s="5"/>
      <c r="B2988" s="5"/>
    </row>
    <row r="2989" spans="1:2" x14ac:dyDescent="0.25">
      <c r="A2989" s="5"/>
      <c r="B2989" s="5"/>
    </row>
    <row r="2990" spans="1:2" x14ac:dyDescent="0.25">
      <c r="A2990" s="5"/>
      <c r="B2990" s="5"/>
    </row>
    <row r="2991" spans="1:2" x14ac:dyDescent="0.25">
      <c r="A2991" s="5"/>
      <c r="B2991" s="5"/>
    </row>
    <row r="2992" spans="1:2" x14ac:dyDescent="0.25">
      <c r="A2992" s="5"/>
      <c r="B2992" s="5"/>
    </row>
    <row r="2993" spans="1:2" x14ac:dyDescent="0.25">
      <c r="A2993" s="5"/>
      <c r="B2993" s="5"/>
    </row>
    <row r="2994" spans="1:2" x14ac:dyDescent="0.25">
      <c r="A2994" s="5"/>
      <c r="B2994" s="5"/>
    </row>
    <row r="2995" spans="1:2" x14ac:dyDescent="0.25">
      <c r="A2995" s="5"/>
      <c r="B2995" s="5"/>
    </row>
    <row r="2996" spans="1:2" x14ac:dyDescent="0.25">
      <c r="A2996" s="5"/>
      <c r="B2996" s="5"/>
    </row>
    <row r="2997" spans="1:2" x14ac:dyDescent="0.25">
      <c r="A2997" s="5"/>
      <c r="B2997" s="5"/>
    </row>
    <row r="2998" spans="1:2" x14ac:dyDescent="0.25">
      <c r="A2998" s="5"/>
      <c r="B2998" s="5"/>
    </row>
    <row r="2999" spans="1:2" x14ac:dyDescent="0.25">
      <c r="A2999" s="5"/>
      <c r="B2999" s="5"/>
    </row>
    <row r="3000" spans="1:2" x14ac:dyDescent="0.25">
      <c r="A3000" s="5"/>
      <c r="B3000" s="5"/>
    </row>
    <row r="3001" spans="1:2" x14ac:dyDescent="0.25">
      <c r="A3001" s="5"/>
      <c r="B3001" s="5"/>
    </row>
    <row r="3002" spans="1:2" x14ac:dyDescent="0.25">
      <c r="A3002" s="5"/>
      <c r="B3002" s="5"/>
    </row>
    <row r="3003" spans="1:2" x14ac:dyDescent="0.25">
      <c r="A3003" s="5"/>
      <c r="B3003" s="5"/>
    </row>
    <row r="3004" spans="1:2" x14ac:dyDescent="0.25">
      <c r="A3004" s="5"/>
      <c r="B3004" s="5"/>
    </row>
    <row r="3005" spans="1:2" x14ac:dyDescent="0.25">
      <c r="A3005" s="5"/>
      <c r="B3005" s="5"/>
    </row>
    <row r="3006" spans="1:2" x14ac:dyDescent="0.25">
      <c r="A3006" s="5"/>
      <c r="B3006" s="5"/>
    </row>
    <row r="3007" spans="1:2" x14ac:dyDescent="0.25">
      <c r="A3007" s="5"/>
      <c r="B3007" s="5"/>
    </row>
    <row r="3008" spans="1:2" x14ac:dyDescent="0.25">
      <c r="A3008" s="5"/>
      <c r="B3008" s="5"/>
    </row>
    <row r="3009" spans="1:2" x14ac:dyDescent="0.25">
      <c r="A3009" s="5"/>
      <c r="B3009" s="5"/>
    </row>
    <row r="3010" spans="1:2" x14ac:dyDescent="0.25">
      <c r="A3010" s="5"/>
      <c r="B3010" s="5"/>
    </row>
    <row r="3011" spans="1:2" x14ac:dyDescent="0.25">
      <c r="A3011" s="5"/>
      <c r="B3011" s="5"/>
    </row>
    <row r="3012" spans="1:2" x14ac:dyDescent="0.25">
      <c r="A3012" s="5"/>
      <c r="B3012" s="5"/>
    </row>
    <row r="3013" spans="1:2" x14ac:dyDescent="0.25">
      <c r="A3013" s="5"/>
      <c r="B3013" s="5"/>
    </row>
    <row r="3014" spans="1:2" x14ac:dyDescent="0.25">
      <c r="A3014" s="5"/>
      <c r="B3014" s="5"/>
    </row>
    <row r="3015" spans="1:2" x14ac:dyDescent="0.25">
      <c r="A3015" s="5"/>
      <c r="B3015" s="5"/>
    </row>
    <row r="3016" spans="1:2" x14ac:dyDescent="0.25">
      <c r="A3016" s="5"/>
      <c r="B3016" s="5"/>
    </row>
    <row r="3017" spans="1:2" x14ac:dyDescent="0.25">
      <c r="A3017" s="5"/>
      <c r="B3017" s="5"/>
    </row>
    <row r="3018" spans="1:2" x14ac:dyDescent="0.25">
      <c r="A3018" s="5"/>
      <c r="B3018" s="5"/>
    </row>
    <row r="3019" spans="1:2" x14ac:dyDescent="0.25">
      <c r="A3019" s="5"/>
      <c r="B3019" s="5"/>
    </row>
    <row r="3020" spans="1:2" x14ac:dyDescent="0.25">
      <c r="A3020" s="5"/>
      <c r="B3020" s="5"/>
    </row>
    <row r="3021" spans="1:2" x14ac:dyDescent="0.25">
      <c r="A3021" s="5"/>
      <c r="B3021" s="5"/>
    </row>
    <row r="3022" spans="1:2" x14ac:dyDescent="0.25">
      <c r="A3022" s="5"/>
      <c r="B3022" s="5"/>
    </row>
    <row r="3023" spans="1:2" x14ac:dyDescent="0.25">
      <c r="A3023" s="5"/>
      <c r="B3023" s="5"/>
    </row>
    <row r="3024" spans="1:2" x14ac:dyDescent="0.25">
      <c r="A3024" s="5"/>
      <c r="B3024" s="5"/>
    </row>
    <row r="3025" spans="1:2" x14ac:dyDescent="0.25">
      <c r="A3025" s="5"/>
      <c r="B3025" s="5"/>
    </row>
    <row r="3026" spans="1:2" x14ac:dyDescent="0.25">
      <c r="A3026" s="5"/>
      <c r="B3026" s="5"/>
    </row>
    <row r="3027" spans="1:2" x14ac:dyDescent="0.25">
      <c r="A3027" s="5"/>
      <c r="B3027" s="5"/>
    </row>
    <row r="3028" spans="1:2" x14ac:dyDescent="0.25">
      <c r="A3028" s="5"/>
      <c r="B3028" s="5"/>
    </row>
    <row r="3029" spans="1:2" x14ac:dyDescent="0.25">
      <c r="A3029" s="5"/>
      <c r="B3029" s="5"/>
    </row>
    <row r="3030" spans="1:2" x14ac:dyDescent="0.25">
      <c r="A3030" s="5"/>
      <c r="B3030" s="5"/>
    </row>
    <row r="3031" spans="1:2" x14ac:dyDescent="0.25">
      <c r="A3031" s="5"/>
      <c r="B3031" s="5"/>
    </row>
    <row r="3032" spans="1:2" x14ac:dyDescent="0.25">
      <c r="A3032" s="5"/>
      <c r="B3032" s="5"/>
    </row>
    <row r="3033" spans="1:2" x14ac:dyDescent="0.25">
      <c r="A3033" s="5"/>
      <c r="B3033" s="5"/>
    </row>
    <row r="3034" spans="1:2" x14ac:dyDescent="0.25">
      <c r="A3034" s="5"/>
      <c r="B3034" s="5"/>
    </row>
    <row r="3035" spans="1:2" x14ac:dyDescent="0.25">
      <c r="A3035" s="5"/>
      <c r="B3035" s="5"/>
    </row>
    <row r="3036" spans="1:2" x14ac:dyDescent="0.25">
      <c r="A3036" s="5"/>
      <c r="B3036" s="5"/>
    </row>
    <row r="3037" spans="1:2" x14ac:dyDescent="0.25">
      <c r="A3037" s="5"/>
      <c r="B3037" s="5"/>
    </row>
    <row r="3038" spans="1:2" x14ac:dyDescent="0.25">
      <c r="A3038" s="5"/>
      <c r="B3038" s="5"/>
    </row>
    <row r="3039" spans="1:2" x14ac:dyDescent="0.25">
      <c r="A3039" s="5"/>
      <c r="B3039" s="5"/>
    </row>
    <row r="3040" spans="1:2" x14ac:dyDescent="0.25">
      <c r="A3040" s="5"/>
      <c r="B3040" s="5"/>
    </row>
    <row r="3041" spans="1:2" x14ac:dyDescent="0.25">
      <c r="A3041" s="5"/>
      <c r="B3041" s="5"/>
    </row>
    <row r="3042" spans="1:2" x14ac:dyDescent="0.25">
      <c r="A3042" s="5"/>
      <c r="B3042" s="5"/>
    </row>
    <row r="3043" spans="1:2" x14ac:dyDescent="0.25">
      <c r="A3043" s="5"/>
      <c r="B3043" s="5"/>
    </row>
    <row r="3044" spans="1:2" x14ac:dyDescent="0.25">
      <c r="A3044" s="5"/>
      <c r="B3044" s="5"/>
    </row>
    <row r="3045" spans="1:2" x14ac:dyDescent="0.25">
      <c r="A3045" s="5"/>
      <c r="B3045" s="5"/>
    </row>
    <row r="3046" spans="1:2" x14ac:dyDescent="0.25">
      <c r="A3046" s="5"/>
      <c r="B3046" s="5"/>
    </row>
    <row r="3047" spans="1:2" x14ac:dyDescent="0.25">
      <c r="A3047" s="5"/>
      <c r="B3047" s="5"/>
    </row>
    <row r="3048" spans="1:2" x14ac:dyDescent="0.25">
      <c r="A3048" s="5"/>
      <c r="B3048" s="5"/>
    </row>
    <row r="3049" spans="1:2" x14ac:dyDescent="0.25">
      <c r="A3049" s="5"/>
      <c r="B3049" s="5"/>
    </row>
    <row r="3050" spans="1:2" x14ac:dyDescent="0.25">
      <c r="A3050" s="5"/>
      <c r="B3050" s="5"/>
    </row>
    <row r="3051" spans="1:2" x14ac:dyDescent="0.25">
      <c r="A3051" s="5"/>
      <c r="B3051" s="5"/>
    </row>
    <row r="3052" spans="1:2" x14ac:dyDescent="0.25">
      <c r="A3052" s="5"/>
      <c r="B3052" s="5"/>
    </row>
    <row r="3053" spans="1:2" x14ac:dyDescent="0.25">
      <c r="A3053" s="5"/>
      <c r="B3053" s="5"/>
    </row>
    <row r="3054" spans="1:2" x14ac:dyDescent="0.25">
      <c r="A3054" s="5"/>
      <c r="B3054" s="5"/>
    </row>
    <row r="3055" spans="1:2" x14ac:dyDescent="0.25">
      <c r="A3055" s="5"/>
      <c r="B3055" s="5"/>
    </row>
    <row r="3056" spans="1:2" x14ac:dyDescent="0.25">
      <c r="A3056" s="5"/>
      <c r="B3056" s="5"/>
    </row>
    <row r="3057" spans="1:2" x14ac:dyDescent="0.25">
      <c r="A3057" s="5"/>
      <c r="B3057" s="5"/>
    </row>
    <row r="3058" spans="1:2" x14ac:dyDescent="0.25">
      <c r="A3058" s="5"/>
      <c r="B3058" s="5"/>
    </row>
    <row r="3059" spans="1:2" x14ac:dyDescent="0.25">
      <c r="A3059" s="5"/>
      <c r="B3059" s="5"/>
    </row>
    <row r="3060" spans="1:2" x14ac:dyDescent="0.25">
      <c r="A3060" s="5"/>
      <c r="B3060" s="5"/>
    </row>
    <row r="3061" spans="1:2" x14ac:dyDescent="0.25">
      <c r="A3061" s="5"/>
      <c r="B3061" s="5"/>
    </row>
    <row r="3062" spans="1:2" x14ac:dyDescent="0.25">
      <c r="A3062" s="5"/>
      <c r="B3062" s="5"/>
    </row>
    <row r="3063" spans="1:2" x14ac:dyDescent="0.25">
      <c r="A3063" s="5"/>
      <c r="B3063" s="5"/>
    </row>
    <row r="3064" spans="1:2" x14ac:dyDescent="0.25">
      <c r="A3064" s="5"/>
      <c r="B3064" s="5"/>
    </row>
    <row r="3065" spans="1:2" x14ac:dyDescent="0.25">
      <c r="A3065" s="5"/>
      <c r="B3065" s="5"/>
    </row>
    <row r="3066" spans="1:2" x14ac:dyDescent="0.25">
      <c r="A3066" s="5"/>
      <c r="B3066" s="5"/>
    </row>
    <row r="3067" spans="1:2" x14ac:dyDescent="0.25">
      <c r="A3067" s="5"/>
      <c r="B3067" s="5"/>
    </row>
    <row r="3068" spans="1:2" x14ac:dyDescent="0.25">
      <c r="A3068" s="5"/>
      <c r="B3068" s="5"/>
    </row>
    <row r="3069" spans="1:2" x14ac:dyDescent="0.25">
      <c r="A3069" s="5"/>
      <c r="B3069" s="5"/>
    </row>
    <row r="3070" spans="1:2" x14ac:dyDescent="0.25">
      <c r="A3070" s="5"/>
      <c r="B3070" s="5"/>
    </row>
    <row r="3071" spans="1:2" x14ac:dyDescent="0.25">
      <c r="A3071" s="5"/>
      <c r="B3071" s="5"/>
    </row>
    <row r="3072" spans="1:2" x14ac:dyDescent="0.25">
      <c r="A3072" s="5"/>
      <c r="B3072" s="5"/>
    </row>
    <row r="3073" spans="1:2" x14ac:dyDescent="0.25">
      <c r="A3073" s="5"/>
      <c r="B3073" s="5"/>
    </row>
    <row r="3074" spans="1:2" x14ac:dyDescent="0.25">
      <c r="A3074" s="5"/>
      <c r="B3074" s="5"/>
    </row>
    <row r="3075" spans="1:2" x14ac:dyDescent="0.25">
      <c r="A3075" s="5"/>
      <c r="B3075" s="5"/>
    </row>
    <row r="3076" spans="1:2" x14ac:dyDescent="0.25">
      <c r="A3076" s="5"/>
      <c r="B3076" s="5"/>
    </row>
    <row r="3077" spans="1:2" x14ac:dyDescent="0.25">
      <c r="A3077" s="5"/>
      <c r="B3077" s="5"/>
    </row>
    <row r="3078" spans="1:2" x14ac:dyDescent="0.25">
      <c r="A3078" s="5"/>
      <c r="B3078" s="5"/>
    </row>
    <row r="3079" spans="1:2" x14ac:dyDescent="0.25">
      <c r="A3079" s="5"/>
      <c r="B3079" s="5"/>
    </row>
    <row r="3080" spans="1:2" x14ac:dyDescent="0.25">
      <c r="A3080" s="5"/>
      <c r="B3080" s="5"/>
    </row>
    <row r="3081" spans="1:2" x14ac:dyDescent="0.25">
      <c r="A3081" s="5"/>
      <c r="B3081" s="5"/>
    </row>
    <row r="3082" spans="1:2" x14ac:dyDescent="0.25">
      <c r="A3082" s="5"/>
      <c r="B3082" s="5"/>
    </row>
    <row r="3083" spans="1:2" x14ac:dyDescent="0.25">
      <c r="A3083" s="5"/>
      <c r="B3083" s="5"/>
    </row>
    <row r="3084" spans="1:2" x14ac:dyDescent="0.25">
      <c r="A3084" s="5"/>
      <c r="B3084" s="5"/>
    </row>
    <row r="3085" spans="1:2" x14ac:dyDescent="0.25">
      <c r="A3085" s="5"/>
      <c r="B3085" s="5"/>
    </row>
    <row r="3086" spans="1:2" x14ac:dyDescent="0.25">
      <c r="A3086" s="5"/>
      <c r="B3086" s="5"/>
    </row>
    <row r="3087" spans="1:2" x14ac:dyDescent="0.25">
      <c r="A3087" s="5"/>
      <c r="B3087" s="5"/>
    </row>
    <row r="3088" spans="1:2" x14ac:dyDescent="0.25">
      <c r="A3088" s="5"/>
      <c r="B3088" s="5"/>
    </row>
    <row r="3089" spans="1:2" x14ac:dyDescent="0.25">
      <c r="A3089" s="5"/>
      <c r="B3089" s="5"/>
    </row>
    <row r="3090" spans="1:2" x14ac:dyDescent="0.25">
      <c r="A3090" s="5"/>
      <c r="B3090" s="5"/>
    </row>
    <row r="3091" spans="1:2" x14ac:dyDescent="0.25">
      <c r="A3091" s="5"/>
      <c r="B3091" s="5"/>
    </row>
    <row r="3092" spans="1:2" x14ac:dyDescent="0.25">
      <c r="A3092" s="5"/>
      <c r="B3092" s="5"/>
    </row>
    <row r="3093" spans="1:2" x14ac:dyDescent="0.25">
      <c r="A3093" s="5"/>
      <c r="B3093" s="5"/>
    </row>
    <row r="3094" spans="1:2" x14ac:dyDescent="0.25">
      <c r="A3094" s="5"/>
      <c r="B3094" s="5"/>
    </row>
    <row r="3095" spans="1:2" x14ac:dyDescent="0.25">
      <c r="A3095" s="5"/>
      <c r="B3095" s="5"/>
    </row>
    <row r="3096" spans="1:2" x14ac:dyDescent="0.25">
      <c r="A3096" s="5"/>
      <c r="B3096" s="5"/>
    </row>
    <row r="3097" spans="1:2" x14ac:dyDescent="0.25">
      <c r="A3097" s="5"/>
      <c r="B3097" s="5"/>
    </row>
    <row r="3098" spans="1:2" x14ac:dyDescent="0.25">
      <c r="A3098" s="5"/>
      <c r="B3098" s="5"/>
    </row>
    <row r="3099" spans="1:2" x14ac:dyDescent="0.25">
      <c r="A3099" s="5"/>
      <c r="B3099" s="5"/>
    </row>
    <row r="3100" spans="1:2" x14ac:dyDescent="0.25">
      <c r="A3100" s="5"/>
      <c r="B3100" s="5"/>
    </row>
    <row r="3101" spans="1:2" x14ac:dyDescent="0.25">
      <c r="A3101" s="5"/>
      <c r="B3101" s="5"/>
    </row>
    <row r="3102" spans="1:2" x14ac:dyDescent="0.25">
      <c r="A3102" s="5"/>
      <c r="B3102" s="5"/>
    </row>
    <row r="3103" spans="1:2" x14ac:dyDescent="0.25">
      <c r="A3103" s="5"/>
      <c r="B3103" s="5"/>
    </row>
    <row r="3104" spans="1:2" x14ac:dyDescent="0.25">
      <c r="A3104" s="5"/>
      <c r="B3104" s="5"/>
    </row>
    <row r="3105" spans="1:2" x14ac:dyDescent="0.25">
      <c r="A3105" s="5"/>
      <c r="B3105" s="5"/>
    </row>
    <row r="3106" spans="1:2" x14ac:dyDescent="0.25">
      <c r="A3106" s="5"/>
      <c r="B3106" s="5"/>
    </row>
    <row r="3107" spans="1:2" x14ac:dyDescent="0.25">
      <c r="A3107" s="5"/>
      <c r="B3107" s="5"/>
    </row>
    <row r="3108" spans="1:2" x14ac:dyDescent="0.25">
      <c r="A3108" s="5"/>
      <c r="B3108" s="5"/>
    </row>
    <row r="3109" spans="1:2" x14ac:dyDescent="0.25">
      <c r="A3109" s="5"/>
      <c r="B3109" s="5"/>
    </row>
    <row r="3110" spans="1:2" x14ac:dyDescent="0.25">
      <c r="A3110" s="5"/>
      <c r="B3110" s="5"/>
    </row>
    <row r="3111" spans="1:2" x14ac:dyDescent="0.25">
      <c r="A3111" s="5"/>
      <c r="B3111" s="5"/>
    </row>
    <row r="3112" spans="1:2" x14ac:dyDescent="0.25">
      <c r="A3112" s="5"/>
      <c r="B3112" s="5"/>
    </row>
    <row r="3113" spans="1:2" x14ac:dyDescent="0.25">
      <c r="A3113" s="5"/>
      <c r="B3113" s="5"/>
    </row>
    <row r="3114" spans="1:2" x14ac:dyDescent="0.25">
      <c r="A3114" s="5"/>
      <c r="B3114" s="5"/>
    </row>
    <row r="3115" spans="1:2" x14ac:dyDescent="0.25">
      <c r="A3115" s="5"/>
      <c r="B3115" s="5"/>
    </row>
    <row r="3116" spans="1:2" x14ac:dyDescent="0.25">
      <c r="A3116" s="5"/>
      <c r="B3116" s="5"/>
    </row>
    <row r="3117" spans="1:2" x14ac:dyDescent="0.25">
      <c r="A3117" s="5"/>
      <c r="B3117" s="5"/>
    </row>
    <row r="3118" spans="1:2" x14ac:dyDescent="0.25">
      <c r="A3118" s="5"/>
      <c r="B3118" s="5"/>
    </row>
    <row r="3119" spans="1:2" x14ac:dyDescent="0.25">
      <c r="A3119" s="5"/>
      <c r="B3119" s="5"/>
    </row>
    <row r="3120" spans="1:2" x14ac:dyDescent="0.25">
      <c r="A3120" s="5"/>
      <c r="B3120" s="5"/>
    </row>
    <row r="3121" spans="1:2" x14ac:dyDescent="0.25">
      <c r="A3121" s="5"/>
      <c r="B3121" s="5"/>
    </row>
    <row r="3122" spans="1:2" x14ac:dyDescent="0.25">
      <c r="A3122" s="5"/>
      <c r="B3122" s="5"/>
    </row>
    <row r="3123" spans="1:2" x14ac:dyDescent="0.25">
      <c r="A3123" s="5"/>
      <c r="B3123" s="5"/>
    </row>
    <row r="3124" spans="1:2" x14ac:dyDescent="0.25">
      <c r="A3124" s="5"/>
      <c r="B3124" s="5"/>
    </row>
    <row r="3125" spans="1:2" x14ac:dyDescent="0.25">
      <c r="A3125" s="5"/>
      <c r="B3125" s="5"/>
    </row>
    <row r="3126" spans="1:2" x14ac:dyDescent="0.25">
      <c r="A3126" s="5"/>
      <c r="B3126" s="5"/>
    </row>
    <row r="3127" spans="1:2" x14ac:dyDescent="0.25">
      <c r="A3127" s="5"/>
      <c r="B3127" s="5"/>
    </row>
    <row r="3128" spans="1:2" x14ac:dyDescent="0.25">
      <c r="A3128" s="5"/>
      <c r="B3128" s="5"/>
    </row>
    <row r="3129" spans="1:2" x14ac:dyDescent="0.25">
      <c r="A3129" s="5"/>
      <c r="B3129" s="5"/>
    </row>
    <row r="3130" spans="1:2" x14ac:dyDescent="0.25">
      <c r="A3130" s="5"/>
      <c r="B3130" s="5"/>
    </row>
    <row r="3131" spans="1:2" x14ac:dyDescent="0.25">
      <c r="A3131" s="5"/>
      <c r="B3131" s="5"/>
    </row>
    <row r="3132" spans="1:2" x14ac:dyDescent="0.25">
      <c r="A3132" s="5"/>
      <c r="B3132" s="5"/>
    </row>
    <row r="3133" spans="1:2" x14ac:dyDescent="0.25">
      <c r="A3133" s="5"/>
      <c r="B3133" s="5"/>
    </row>
    <row r="3134" spans="1:2" x14ac:dyDescent="0.25">
      <c r="A3134" s="5"/>
      <c r="B3134" s="5"/>
    </row>
    <row r="3135" spans="1:2" x14ac:dyDescent="0.25">
      <c r="A3135" s="5"/>
      <c r="B3135" s="5"/>
    </row>
    <row r="3136" spans="1:2" x14ac:dyDescent="0.25">
      <c r="A3136" s="5"/>
      <c r="B3136" s="5"/>
    </row>
    <row r="3137" spans="1:2" x14ac:dyDescent="0.25">
      <c r="A3137" s="5"/>
      <c r="B3137" s="5"/>
    </row>
    <row r="3138" spans="1:2" x14ac:dyDescent="0.25">
      <c r="A3138" s="5"/>
      <c r="B3138" s="5"/>
    </row>
    <row r="3139" spans="1:2" x14ac:dyDescent="0.25">
      <c r="A3139" s="5"/>
      <c r="B3139" s="5"/>
    </row>
    <row r="3140" spans="1:2" x14ac:dyDescent="0.25">
      <c r="A3140" s="5"/>
      <c r="B3140" s="5"/>
    </row>
    <row r="3141" spans="1:2" x14ac:dyDescent="0.25">
      <c r="A3141" s="5"/>
      <c r="B3141" s="5"/>
    </row>
    <row r="3142" spans="1:2" x14ac:dyDescent="0.25">
      <c r="A3142" s="5"/>
      <c r="B3142" s="5"/>
    </row>
    <row r="3143" spans="1:2" x14ac:dyDescent="0.25">
      <c r="A3143" s="5"/>
      <c r="B3143" s="5"/>
    </row>
    <row r="3144" spans="1:2" x14ac:dyDescent="0.25">
      <c r="A3144" s="5"/>
      <c r="B3144" s="5"/>
    </row>
    <row r="3145" spans="1:2" x14ac:dyDescent="0.25">
      <c r="A3145" s="5"/>
      <c r="B3145" s="5"/>
    </row>
    <row r="3146" spans="1:2" x14ac:dyDescent="0.25">
      <c r="A3146" s="5"/>
      <c r="B3146" s="5"/>
    </row>
    <row r="3147" spans="1:2" x14ac:dyDescent="0.25">
      <c r="A3147" s="5"/>
      <c r="B3147" s="5"/>
    </row>
    <row r="3148" spans="1:2" x14ac:dyDescent="0.25">
      <c r="A3148" s="5"/>
      <c r="B3148" s="5"/>
    </row>
    <row r="3149" spans="1:2" x14ac:dyDescent="0.25">
      <c r="A3149" s="5"/>
      <c r="B3149" s="5"/>
    </row>
    <row r="3150" spans="1:2" x14ac:dyDescent="0.25">
      <c r="A3150" s="5"/>
      <c r="B3150" s="5"/>
    </row>
    <row r="3151" spans="1:2" x14ac:dyDescent="0.25">
      <c r="A3151" s="5"/>
      <c r="B3151" s="5"/>
    </row>
    <row r="3152" spans="1:2" x14ac:dyDescent="0.25">
      <c r="A3152" s="5"/>
      <c r="B3152" s="5"/>
    </row>
    <row r="3153" spans="1:2" x14ac:dyDescent="0.25">
      <c r="A3153" s="5"/>
      <c r="B3153" s="5"/>
    </row>
    <row r="3154" spans="1:2" x14ac:dyDescent="0.25">
      <c r="A3154" s="5"/>
      <c r="B3154" s="5"/>
    </row>
    <row r="3155" spans="1:2" x14ac:dyDescent="0.25">
      <c r="A3155" s="5"/>
      <c r="B3155" s="5"/>
    </row>
    <row r="3156" spans="1:2" x14ac:dyDescent="0.25">
      <c r="A3156" s="5"/>
      <c r="B3156" s="5"/>
    </row>
    <row r="3157" spans="1:2" x14ac:dyDescent="0.25">
      <c r="A3157" s="5"/>
      <c r="B3157" s="5"/>
    </row>
    <row r="3158" spans="1:2" x14ac:dyDescent="0.25">
      <c r="A3158" s="5"/>
      <c r="B3158" s="5"/>
    </row>
    <row r="3159" spans="1:2" x14ac:dyDescent="0.25">
      <c r="A3159" s="5"/>
      <c r="B3159" s="5"/>
    </row>
    <row r="3160" spans="1:2" x14ac:dyDescent="0.25">
      <c r="A3160" s="5"/>
      <c r="B3160" s="5"/>
    </row>
    <row r="3161" spans="1:2" x14ac:dyDescent="0.25">
      <c r="A3161" s="5"/>
      <c r="B3161" s="5"/>
    </row>
    <row r="3162" spans="1:2" x14ac:dyDescent="0.25">
      <c r="A3162" s="5"/>
      <c r="B3162" s="5"/>
    </row>
    <row r="3163" spans="1:2" x14ac:dyDescent="0.25">
      <c r="A3163" s="5"/>
      <c r="B3163" s="5"/>
    </row>
    <row r="3164" spans="1:2" x14ac:dyDescent="0.25">
      <c r="A3164" s="5"/>
      <c r="B3164" s="5"/>
    </row>
    <row r="3165" spans="1:2" x14ac:dyDescent="0.25">
      <c r="A3165" s="5"/>
      <c r="B3165" s="5"/>
    </row>
    <row r="3166" spans="1:2" x14ac:dyDescent="0.25">
      <c r="A3166" s="5"/>
      <c r="B3166" s="5"/>
    </row>
    <row r="3167" spans="1:2" x14ac:dyDescent="0.25">
      <c r="A3167" s="5"/>
      <c r="B3167" s="5"/>
    </row>
    <row r="3168" spans="1:2" x14ac:dyDescent="0.25">
      <c r="A3168" s="5"/>
      <c r="B3168" s="5"/>
    </row>
    <row r="3169" spans="1:2" x14ac:dyDescent="0.25">
      <c r="A3169" s="5"/>
      <c r="B3169" s="5"/>
    </row>
    <row r="3170" spans="1:2" x14ac:dyDescent="0.25">
      <c r="A3170" s="5"/>
      <c r="B3170" s="5"/>
    </row>
    <row r="3171" spans="1:2" x14ac:dyDescent="0.25">
      <c r="A3171" s="5"/>
      <c r="B3171" s="5"/>
    </row>
    <row r="3172" spans="1:2" x14ac:dyDescent="0.25">
      <c r="A3172" s="5"/>
      <c r="B3172" s="5"/>
    </row>
    <row r="3173" spans="1:2" x14ac:dyDescent="0.25">
      <c r="A3173" s="5"/>
      <c r="B3173" s="5"/>
    </row>
    <row r="3174" spans="1:2" x14ac:dyDescent="0.25">
      <c r="A3174" s="5"/>
      <c r="B3174" s="5"/>
    </row>
    <row r="3175" spans="1:2" x14ac:dyDescent="0.25">
      <c r="A3175" s="5"/>
      <c r="B3175" s="5"/>
    </row>
    <row r="3176" spans="1:2" x14ac:dyDescent="0.25">
      <c r="A3176" s="5"/>
      <c r="B3176" s="5"/>
    </row>
    <row r="3177" spans="1:2" x14ac:dyDescent="0.25">
      <c r="A3177" s="5"/>
      <c r="B3177" s="5"/>
    </row>
    <row r="3178" spans="1:2" x14ac:dyDescent="0.25">
      <c r="A3178" s="5"/>
      <c r="B3178" s="5"/>
    </row>
    <row r="3179" spans="1:2" x14ac:dyDescent="0.25">
      <c r="A3179" s="5"/>
      <c r="B3179" s="5"/>
    </row>
    <row r="3180" spans="1:2" x14ac:dyDescent="0.25">
      <c r="A3180" s="5"/>
      <c r="B3180" s="5"/>
    </row>
    <row r="3181" spans="1:2" x14ac:dyDescent="0.25">
      <c r="A3181" s="5"/>
      <c r="B3181" s="5"/>
    </row>
    <row r="3182" spans="1:2" x14ac:dyDescent="0.25">
      <c r="A3182" s="5"/>
      <c r="B3182" s="5"/>
    </row>
    <row r="3183" spans="1:2" x14ac:dyDescent="0.25">
      <c r="A3183" s="5"/>
      <c r="B3183" s="5"/>
    </row>
    <row r="3184" spans="1:2" x14ac:dyDescent="0.25">
      <c r="A3184" s="5"/>
      <c r="B3184" s="5"/>
    </row>
    <row r="3185" spans="1:2" x14ac:dyDescent="0.25">
      <c r="A3185" s="5"/>
      <c r="B3185" s="5"/>
    </row>
    <row r="3186" spans="1:2" x14ac:dyDescent="0.25">
      <c r="A3186" s="5"/>
      <c r="B3186" s="5"/>
    </row>
    <row r="3187" spans="1:2" x14ac:dyDescent="0.25">
      <c r="A3187" s="5"/>
      <c r="B3187" s="5"/>
    </row>
    <row r="3188" spans="1:2" x14ac:dyDescent="0.25">
      <c r="A3188" s="5"/>
      <c r="B3188" s="5"/>
    </row>
    <row r="3189" spans="1:2" x14ac:dyDescent="0.25">
      <c r="A3189" s="5"/>
      <c r="B3189" s="5"/>
    </row>
    <row r="3190" spans="1:2" x14ac:dyDescent="0.25">
      <c r="A3190" s="5"/>
      <c r="B3190" s="5"/>
    </row>
    <row r="3191" spans="1:2" x14ac:dyDescent="0.25">
      <c r="A3191" s="5"/>
      <c r="B3191" s="5"/>
    </row>
    <row r="3192" spans="1:2" x14ac:dyDescent="0.25">
      <c r="A3192" s="5"/>
      <c r="B3192" s="5"/>
    </row>
    <row r="3193" spans="1:2" x14ac:dyDescent="0.25">
      <c r="A3193" s="5"/>
      <c r="B3193" s="5"/>
    </row>
    <row r="3194" spans="1:2" x14ac:dyDescent="0.25">
      <c r="A3194" s="5"/>
      <c r="B3194" s="5"/>
    </row>
    <row r="3195" spans="1:2" x14ac:dyDescent="0.25">
      <c r="A3195" s="5"/>
      <c r="B3195" s="5"/>
    </row>
    <row r="3196" spans="1:2" x14ac:dyDescent="0.25">
      <c r="A3196" s="5"/>
      <c r="B3196" s="5"/>
    </row>
    <row r="3197" spans="1:2" x14ac:dyDescent="0.25">
      <c r="A3197" s="5"/>
      <c r="B3197" s="5"/>
    </row>
    <row r="3198" spans="1:2" x14ac:dyDescent="0.25">
      <c r="A3198" s="5"/>
      <c r="B3198" s="5"/>
    </row>
    <row r="3199" spans="1:2" x14ac:dyDescent="0.25">
      <c r="A3199" s="5"/>
      <c r="B3199" s="5"/>
    </row>
    <row r="3200" spans="1:2" x14ac:dyDescent="0.25">
      <c r="A3200" s="5"/>
      <c r="B3200" s="5"/>
    </row>
    <row r="3201" spans="1:2" x14ac:dyDescent="0.25">
      <c r="A3201" s="5"/>
      <c r="B3201" s="5"/>
    </row>
    <row r="3202" spans="1:2" x14ac:dyDescent="0.25">
      <c r="A3202" s="5"/>
      <c r="B3202" s="5"/>
    </row>
    <row r="3203" spans="1:2" x14ac:dyDescent="0.25">
      <c r="A3203" s="5"/>
      <c r="B3203" s="5"/>
    </row>
    <row r="3204" spans="1:2" x14ac:dyDescent="0.25">
      <c r="A3204" s="5"/>
      <c r="B3204" s="5"/>
    </row>
    <row r="3205" spans="1:2" x14ac:dyDescent="0.25">
      <c r="A3205" s="5"/>
      <c r="B3205" s="5"/>
    </row>
    <row r="3206" spans="1:2" x14ac:dyDescent="0.25">
      <c r="A3206" s="5"/>
      <c r="B3206" s="5"/>
    </row>
    <row r="3207" spans="1:2" x14ac:dyDescent="0.25">
      <c r="A3207" s="5"/>
      <c r="B3207" s="5"/>
    </row>
    <row r="3208" spans="1:2" x14ac:dyDescent="0.25">
      <c r="A3208" s="5"/>
      <c r="B3208" s="5"/>
    </row>
    <row r="3209" spans="1:2" x14ac:dyDescent="0.25">
      <c r="A3209" s="5"/>
      <c r="B3209" s="5"/>
    </row>
    <row r="3210" spans="1:2" x14ac:dyDescent="0.25">
      <c r="A3210" s="5"/>
      <c r="B3210" s="5"/>
    </row>
    <row r="3211" spans="1:2" x14ac:dyDescent="0.25">
      <c r="A3211" s="5"/>
      <c r="B3211" s="5"/>
    </row>
    <row r="3212" spans="1:2" x14ac:dyDescent="0.25">
      <c r="A3212" s="5"/>
      <c r="B3212" s="5"/>
    </row>
    <row r="3213" spans="1:2" x14ac:dyDescent="0.25">
      <c r="A3213" s="5"/>
      <c r="B3213" s="5"/>
    </row>
    <row r="3214" spans="1:2" x14ac:dyDescent="0.25">
      <c r="A3214" s="5"/>
      <c r="B3214" s="5"/>
    </row>
    <row r="3215" spans="1:2" x14ac:dyDescent="0.25">
      <c r="A3215" s="5"/>
      <c r="B3215" s="5"/>
    </row>
    <row r="3216" spans="1:2" x14ac:dyDescent="0.25">
      <c r="A3216" s="5"/>
      <c r="B3216" s="5"/>
    </row>
    <row r="3217" spans="1:2" x14ac:dyDescent="0.25">
      <c r="A3217" s="5"/>
      <c r="B3217" s="5"/>
    </row>
    <row r="3218" spans="1:2" x14ac:dyDescent="0.25">
      <c r="A3218" s="5"/>
      <c r="B3218" s="5"/>
    </row>
    <row r="3219" spans="1:2" x14ac:dyDescent="0.25">
      <c r="A3219" s="5"/>
      <c r="B3219" s="5"/>
    </row>
    <row r="3220" spans="1:2" x14ac:dyDescent="0.25">
      <c r="A3220" s="5"/>
      <c r="B3220" s="5"/>
    </row>
    <row r="3221" spans="1:2" x14ac:dyDescent="0.25">
      <c r="A3221" s="5"/>
      <c r="B3221" s="5"/>
    </row>
    <row r="3222" spans="1:2" x14ac:dyDescent="0.25">
      <c r="A3222" s="5"/>
      <c r="B3222" s="5"/>
    </row>
    <row r="3223" spans="1:2" x14ac:dyDescent="0.25">
      <c r="A3223" s="5"/>
      <c r="B3223" s="5"/>
    </row>
    <row r="3224" spans="1:2" x14ac:dyDescent="0.25">
      <c r="A3224" s="5"/>
      <c r="B3224" s="5"/>
    </row>
    <row r="3225" spans="1:2" x14ac:dyDescent="0.25">
      <c r="A3225" s="5"/>
      <c r="B3225" s="5"/>
    </row>
    <row r="3226" spans="1:2" x14ac:dyDescent="0.25">
      <c r="A3226" s="5"/>
      <c r="B3226" s="5"/>
    </row>
    <row r="3227" spans="1:2" x14ac:dyDescent="0.25">
      <c r="A3227" s="5"/>
      <c r="B3227" s="5"/>
    </row>
    <row r="3228" spans="1:2" x14ac:dyDescent="0.25">
      <c r="A3228" s="5"/>
      <c r="B3228" s="5"/>
    </row>
    <row r="3229" spans="1:2" x14ac:dyDescent="0.25">
      <c r="A3229" s="5"/>
      <c r="B3229" s="5"/>
    </row>
    <row r="3230" spans="1:2" x14ac:dyDescent="0.25">
      <c r="A3230" s="5"/>
      <c r="B3230" s="5"/>
    </row>
    <row r="3231" spans="1:2" x14ac:dyDescent="0.25">
      <c r="A3231" s="5"/>
      <c r="B3231" s="5"/>
    </row>
    <row r="3232" spans="1:2" x14ac:dyDescent="0.25">
      <c r="A3232" s="5"/>
      <c r="B3232" s="5"/>
    </row>
    <row r="3233" spans="1:2" x14ac:dyDescent="0.25">
      <c r="A3233" s="5"/>
      <c r="B3233" s="5"/>
    </row>
    <row r="3234" spans="1:2" x14ac:dyDescent="0.25">
      <c r="A3234" s="5"/>
      <c r="B3234" s="5"/>
    </row>
    <row r="3235" spans="1:2" x14ac:dyDescent="0.25">
      <c r="A3235" s="5"/>
      <c r="B3235" s="5"/>
    </row>
    <row r="3236" spans="1:2" x14ac:dyDescent="0.25">
      <c r="A3236" s="5"/>
      <c r="B3236" s="5"/>
    </row>
    <row r="3237" spans="1:2" x14ac:dyDescent="0.25">
      <c r="A3237" s="5"/>
      <c r="B3237" s="5"/>
    </row>
    <row r="3238" spans="1:2" x14ac:dyDescent="0.25">
      <c r="A3238" s="5"/>
      <c r="B3238" s="5"/>
    </row>
    <row r="3239" spans="1:2" x14ac:dyDescent="0.25">
      <c r="A3239" s="5"/>
      <c r="B3239" s="5"/>
    </row>
    <row r="3240" spans="1:2" x14ac:dyDescent="0.25">
      <c r="A3240" s="5"/>
      <c r="B3240" s="5"/>
    </row>
    <row r="3241" spans="1:2" x14ac:dyDescent="0.25">
      <c r="A3241" s="5"/>
      <c r="B3241" s="5"/>
    </row>
    <row r="3242" spans="1:2" x14ac:dyDescent="0.25">
      <c r="A3242" s="5"/>
      <c r="B3242" s="5"/>
    </row>
    <row r="3243" spans="1:2" x14ac:dyDescent="0.25">
      <c r="A3243" s="5"/>
      <c r="B3243" s="5"/>
    </row>
    <row r="3244" spans="1:2" x14ac:dyDescent="0.25">
      <c r="A3244" s="5"/>
      <c r="B3244" s="5"/>
    </row>
    <row r="3245" spans="1:2" x14ac:dyDescent="0.25">
      <c r="A3245" s="5"/>
      <c r="B3245" s="5"/>
    </row>
    <row r="3246" spans="1:2" x14ac:dyDescent="0.25">
      <c r="A3246" s="5"/>
      <c r="B3246" s="5"/>
    </row>
    <row r="3247" spans="1:2" x14ac:dyDescent="0.25">
      <c r="A3247" s="5"/>
      <c r="B3247" s="5"/>
    </row>
    <row r="3248" spans="1:2" x14ac:dyDescent="0.25">
      <c r="A3248" s="5"/>
      <c r="B3248" s="5"/>
    </row>
    <row r="3249" spans="1:2" x14ac:dyDescent="0.25">
      <c r="A3249" s="5"/>
      <c r="B3249" s="5"/>
    </row>
    <row r="3250" spans="1:2" x14ac:dyDescent="0.25">
      <c r="A3250" s="5"/>
      <c r="B3250" s="5"/>
    </row>
    <row r="3251" spans="1:2" x14ac:dyDescent="0.25">
      <c r="A3251" s="5"/>
      <c r="B3251" s="5"/>
    </row>
    <row r="3252" spans="1:2" x14ac:dyDescent="0.25">
      <c r="A3252" s="5"/>
      <c r="B3252" s="5"/>
    </row>
    <row r="3253" spans="1:2" x14ac:dyDescent="0.25">
      <c r="A3253" s="5"/>
      <c r="B3253" s="5"/>
    </row>
    <row r="3254" spans="1:2" x14ac:dyDescent="0.25">
      <c r="A3254" s="5"/>
      <c r="B3254" s="5"/>
    </row>
    <row r="3255" spans="1:2" x14ac:dyDescent="0.25">
      <c r="A3255" s="5"/>
      <c r="B3255" s="5"/>
    </row>
    <row r="3256" spans="1:2" x14ac:dyDescent="0.25">
      <c r="A3256" s="5"/>
      <c r="B3256" s="5"/>
    </row>
    <row r="3257" spans="1:2" x14ac:dyDescent="0.25">
      <c r="A3257" s="5"/>
      <c r="B3257" s="5"/>
    </row>
    <row r="3258" spans="1:2" x14ac:dyDescent="0.25">
      <c r="A3258" s="5"/>
      <c r="B3258" s="5"/>
    </row>
    <row r="3259" spans="1:2" x14ac:dyDescent="0.25">
      <c r="A3259" s="5"/>
      <c r="B3259" s="5"/>
    </row>
    <row r="3260" spans="1:2" x14ac:dyDescent="0.25">
      <c r="A3260" s="5"/>
      <c r="B3260" s="5"/>
    </row>
    <row r="3261" spans="1:2" x14ac:dyDescent="0.25">
      <c r="A3261" s="5"/>
      <c r="B3261" s="5"/>
    </row>
    <row r="3262" spans="1:2" x14ac:dyDescent="0.25">
      <c r="A3262" s="5"/>
      <c r="B3262" s="5"/>
    </row>
    <row r="3263" spans="1:2" x14ac:dyDescent="0.25">
      <c r="A3263" s="5"/>
      <c r="B3263" s="5"/>
    </row>
    <row r="3264" spans="1:2" x14ac:dyDescent="0.25">
      <c r="A3264" s="5"/>
      <c r="B3264" s="5"/>
    </row>
    <row r="3265" spans="1:2" x14ac:dyDescent="0.25">
      <c r="A3265" s="5"/>
      <c r="B3265" s="5"/>
    </row>
    <row r="3266" spans="1:2" x14ac:dyDescent="0.25">
      <c r="A3266" s="5"/>
      <c r="B3266" s="5"/>
    </row>
    <row r="3267" spans="1:2" x14ac:dyDescent="0.25">
      <c r="A3267" s="5"/>
      <c r="B3267" s="5"/>
    </row>
    <row r="3268" spans="1:2" x14ac:dyDescent="0.25">
      <c r="A3268" s="5"/>
      <c r="B3268" s="5"/>
    </row>
    <row r="3269" spans="1:2" x14ac:dyDescent="0.25">
      <c r="A3269" s="5"/>
      <c r="B3269" s="5"/>
    </row>
    <row r="3270" spans="1:2" x14ac:dyDescent="0.25">
      <c r="A3270" s="5"/>
      <c r="B3270" s="5"/>
    </row>
    <row r="3271" spans="1:2" x14ac:dyDescent="0.25">
      <c r="A3271" s="5"/>
      <c r="B3271" s="5"/>
    </row>
    <row r="3272" spans="1:2" x14ac:dyDescent="0.25">
      <c r="A3272" s="5"/>
      <c r="B3272" s="5"/>
    </row>
    <row r="3273" spans="1:2" x14ac:dyDescent="0.25">
      <c r="A3273" s="5"/>
      <c r="B3273" s="5"/>
    </row>
    <row r="3274" spans="1:2" x14ac:dyDescent="0.25">
      <c r="A3274" s="5"/>
      <c r="B3274" s="5"/>
    </row>
    <row r="3275" spans="1:2" x14ac:dyDescent="0.25">
      <c r="A3275" s="5"/>
      <c r="B3275" s="5"/>
    </row>
    <row r="3276" spans="1:2" x14ac:dyDescent="0.25">
      <c r="A3276" s="5"/>
      <c r="B3276" s="5"/>
    </row>
    <row r="3277" spans="1:2" x14ac:dyDescent="0.25">
      <c r="A3277" s="5"/>
      <c r="B3277" s="5"/>
    </row>
    <row r="3278" spans="1:2" x14ac:dyDescent="0.25">
      <c r="A3278" s="5"/>
      <c r="B3278" s="5"/>
    </row>
    <row r="3279" spans="1:2" x14ac:dyDescent="0.25">
      <c r="A3279" s="5"/>
      <c r="B3279" s="5"/>
    </row>
    <row r="3280" spans="1:2" x14ac:dyDescent="0.25">
      <c r="A3280" s="5"/>
      <c r="B3280" s="5"/>
    </row>
    <row r="3281" spans="1:2" x14ac:dyDescent="0.25">
      <c r="A3281" s="5"/>
      <c r="B3281" s="5"/>
    </row>
    <row r="3282" spans="1:2" x14ac:dyDescent="0.25">
      <c r="A3282" s="5"/>
      <c r="B3282" s="5"/>
    </row>
    <row r="3283" spans="1:2" x14ac:dyDescent="0.25">
      <c r="A3283" s="5"/>
      <c r="B3283" s="5"/>
    </row>
    <row r="3284" spans="1:2" x14ac:dyDescent="0.25">
      <c r="A3284" s="5"/>
      <c r="B3284" s="5"/>
    </row>
    <row r="3285" spans="1:2" x14ac:dyDescent="0.25">
      <c r="A3285" s="5"/>
      <c r="B3285" s="5"/>
    </row>
    <row r="3286" spans="1:2" x14ac:dyDescent="0.25">
      <c r="A3286" s="5"/>
      <c r="B3286" s="5"/>
    </row>
    <row r="3287" spans="1:2" x14ac:dyDescent="0.25">
      <c r="A3287" s="5"/>
      <c r="B3287" s="5"/>
    </row>
    <row r="3288" spans="1:2" x14ac:dyDescent="0.25">
      <c r="A3288" s="5"/>
      <c r="B3288" s="5"/>
    </row>
    <row r="3289" spans="1:2" x14ac:dyDescent="0.25">
      <c r="A3289" s="5"/>
      <c r="B3289" s="5"/>
    </row>
    <row r="3290" spans="1:2" x14ac:dyDescent="0.25">
      <c r="A3290" s="5"/>
      <c r="B3290" s="5"/>
    </row>
    <row r="3291" spans="1:2" x14ac:dyDescent="0.25">
      <c r="A3291" s="5"/>
      <c r="B3291" s="5"/>
    </row>
    <row r="3292" spans="1:2" x14ac:dyDescent="0.25">
      <c r="A3292" s="5"/>
      <c r="B3292" s="5"/>
    </row>
    <row r="3293" spans="1:2" x14ac:dyDescent="0.25">
      <c r="A3293" s="5"/>
      <c r="B3293" s="5"/>
    </row>
    <row r="3294" spans="1:2" x14ac:dyDescent="0.25">
      <c r="A3294" s="5"/>
      <c r="B3294" s="5"/>
    </row>
    <row r="3295" spans="1:2" x14ac:dyDescent="0.25">
      <c r="A3295" s="5"/>
      <c r="B3295" s="5"/>
    </row>
    <row r="3296" spans="1:2" x14ac:dyDescent="0.25">
      <c r="A3296" s="5"/>
      <c r="B3296" s="5"/>
    </row>
    <row r="3297" spans="1:2" x14ac:dyDescent="0.25">
      <c r="A3297" s="5"/>
      <c r="B3297" s="5"/>
    </row>
    <row r="3298" spans="1:2" x14ac:dyDescent="0.25">
      <c r="A3298" s="5"/>
      <c r="B3298" s="5"/>
    </row>
    <row r="3299" spans="1:2" x14ac:dyDescent="0.25">
      <c r="A3299" s="5"/>
      <c r="B3299" s="5"/>
    </row>
    <row r="3300" spans="1:2" x14ac:dyDescent="0.25">
      <c r="A3300" s="5"/>
      <c r="B3300" s="5"/>
    </row>
    <row r="3301" spans="1:2" x14ac:dyDescent="0.25">
      <c r="A3301" s="5"/>
      <c r="B3301" s="5"/>
    </row>
    <row r="3302" spans="1:2" x14ac:dyDescent="0.25">
      <c r="A3302" s="5"/>
      <c r="B3302" s="5"/>
    </row>
    <row r="3303" spans="1:2" x14ac:dyDescent="0.25">
      <c r="A3303" s="5"/>
      <c r="B3303" s="5"/>
    </row>
    <row r="3304" spans="1:2" x14ac:dyDescent="0.25">
      <c r="A3304" s="5"/>
      <c r="B3304" s="5"/>
    </row>
    <row r="3305" spans="1:2" x14ac:dyDescent="0.25">
      <c r="A3305" s="5"/>
      <c r="B3305" s="5"/>
    </row>
    <row r="3306" spans="1:2" x14ac:dyDescent="0.25">
      <c r="A3306" s="5"/>
      <c r="B3306" s="5"/>
    </row>
    <row r="3307" spans="1:2" x14ac:dyDescent="0.25">
      <c r="A3307" s="5"/>
      <c r="B3307" s="5"/>
    </row>
    <row r="3308" spans="1:2" x14ac:dyDescent="0.25">
      <c r="A3308" s="5"/>
      <c r="B3308" s="5"/>
    </row>
    <row r="3309" spans="1:2" x14ac:dyDescent="0.25">
      <c r="A3309" s="5"/>
      <c r="B3309" s="5"/>
    </row>
    <row r="3310" spans="1:2" x14ac:dyDescent="0.25">
      <c r="A3310" s="5"/>
      <c r="B3310" s="5"/>
    </row>
    <row r="3311" spans="1:2" x14ac:dyDescent="0.25">
      <c r="A3311" s="5"/>
      <c r="B3311" s="5"/>
    </row>
    <row r="3312" spans="1:2" x14ac:dyDescent="0.25">
      <c r="A3312" s="5"/>
      <c r="B3312" s="5"/>
    </row>
    <row r="3313" spans="1:2" x14ac:dyDescent="0.25">
      <c r="A3313" s="5"/>
      <c r="B3313" s="5"/>
    </row>
    <row r="3314" spans="1:2" x14ac:dyDescent="0.25">
      <c r="A3314" s="5"/>
      <c r="B3314" s="5"/>
    </row>
    <row r="3315" spans="1:2" x14ac:dyDescent="0.25">
      <c r="A3315" s="5"/>
      <c r="B3315" s="5"/>
    </row>
    <row r="3316" spans="1:2" x14ac:dyDescent="0.25">
      <c r="A3316" s="5"/>
      <c r="B3316" s="5"/>
    </row>
    <row r="3317" spans="1:2" x14ac:dyDescent="0.25">
      <c r="A3317" s="5"/>
      <c r="B3317" s="5"/>
    </row>
    <row r="3318" spans="1:2" x14ac:dyDescent="0.25">
      <c r="A3318" s="5"/>
      <c r="B3318" s="5"/>
    </row>
    <row r="3319" spans="1:2" x14ac:dyDescent="0.25">
      <c r="A3319" s="5"/>
      <c r="B3319" s="5"/>
    </row>
    <row r="3320" spans="1:2" x14ac:dyDescent="0.25">
      <c r="A3320" s="5"/>
      <c r="B3320" s="5"/>
    </row>
    <row r="3321" spans="1:2" x14ac:dyDescent="0.25">
      <c r="A3321" s="5"/>
      <c r="B3321" s="5"/>
    </row>
    <row r="3322" spans="1:2" x14ac:dyDescent="0.25">
      <c r="A3322" s="5"/>
      <c r="B3322" s="5"/>
    </row>
    <row r="3323" spans="1:2" x14ac:dyDescent="0.25">
      <c r="A3323" s="5"/>
      <c r="B3323" s="5"/>
    </row>
    <row r="3324" spans="1:2" x14ac:dyDescent="0.25">
      <c r="A3324" s="5"/>
      <c r="B3324" s="5"/>
    </row>
    <row r="3325" spans="1:2" x14ac:dyDescent="0.25">
      <c r="A3325" s="5"/>
      <c r="B3325" s="5"/>
    </row>
    <row r="3326" spans="1:2" x14ac:dyDescent="0.25">
      <c r="A3326" s="5"/>
      <c r="B3326" s="5"/>
    </row>
    <row r="3327" spans="1:2" x14ac:dyDescent="0.25">
      <c r="A3327" s="5"/>
      <c r="B3327" s="5"/>
    </row>
    <row r="3328" spans="1:2" x14ac:dyDescent="0.25">
      <c r="A3328" s="5"/>
      <c r="B3328" s="5"/>
    </row>
    <row r="3329" spans="1:2" x14ac:dyDescent="0.25">
      <c r="A3329" s="5"/>
      <c r="B3329" s="5"/>
    </row>
    <row r="3330" spans="1:2" x14ac:dyDescent="0.25">
      <c r="A3330" s="5"/>
      <c r="B3330" s="5"/>
    </row>
    <row r="3331" spans="1:2" x14ac:dyDescent="0.25">
      <c r="A3331" s="5"/>
      <c r="B3331" s="5"/>
    </row>
    <row r="3332" spans="1:2" x14ac:dyDescent="0.25">
      <c r="A3332" s="5"/>
      <c r="B3332" s="5"/>
    </row>
    <row r="3333" spans="1:2" x14ac:dyDescent="0.25">
      <c r="A3333" s="5"/>
      <c r="B3333" s="5"/>
    </row>
    <row r="3334" spans="1:2" x14ac:dyDescent="0.25">
      <c r="A3334" s="5"/>
      <c r="B3334" s="5"/>
    </row>
    <row r="3335" spans="1:2" x14ac:dyDescent="0.25">
      <c r="A3335" s="5"/>
      <c r="B3335" s="5"/>
    </row>
    <row r="3336" spans="1:2" x14ac:dyDescent="0.25">
      <c r="A3336" s="5"/>
      <c r="B3336" s="5"/>
    </row>
    <row r="3337" spans="1:2" x14ac:dyDescent="0.25">
      <c r="A3337" s="5"/>
      <c r="B3337" s="5"/>
    </row>
    <row r="3338" spans="1:2" x14ac:dyDescent="0.25">
      <c r="A3338" s="5"/>
      <c r="B3338" s="5"/>
    </row>
    <row r="3339" spans="1:2" x14ac:dyDescent="0.25">
      <c r="A3339" s="5"/>
      <c r="B3339" s="5"/>
    </row>
    <row r="3340" spans="1:2" x14ac:dyDescent="0.25">
      <c r="A3340" s="5"/>
      <c r="B3340" s="5"/>
    </row>
    <row r="3341" spans="1:2" x14ac:dyDescent="0.25">
      <c r="A3341" s="5"/>
      <c r="B3341" s="5"/>
    </row>
    <row r="3342" spans="1:2" x14ac:dyDescent="0.25">
      <c r="A3342" s="5"/>
      <c r="B3342" s="5"/>
    </row>
    <row r="3343" spans="1:2" x14ac:dyDescent="0.25">
      <c r="A3343" s="5"/>
      <c r="B3343" s="5"/>
    </row>
    <row r="3344" spans="1:2" x14ac:dyDescent="0.25">
      <c r="A3344" s="5"/>
      <c r="B3344" s="5"/>
    </row>
    <row r="3345" spans="1:2" x14ac:dyDescent="0.25">
      <c r="A3345" s="5"/>
      <c r="B3345" s="5"/>
    </row>
    <row r="3346" spans="1:2" x14ac:dyDescent="0.25">
      <c r="A3346" s="5"/>
      <c r="B3346" s="5"/>
    </row>
    <row r="3347" spans="1:2" x14ac:dyDescent="0.25">
      <c r="A3347" s="5"/>
      <c r="B3347" s="5"/>
    </row>
    <row r="3348" spans="1:2" x14ac:dyDescent="0.25">
      <c r="A3348" s="5"/>
      <c r="B3348" s="5"/>
    </row>
    <row r="3349" spans="1:2" x14ac:dyDescent="0.25">
      <c r="A3349" s="5"/>
      <c r="B3349" s="5"/>
    </row>
    <row r="3350" spans="1:2" x14ac:dyDescent="0.25">
      <c r="A3350" s="5"/>
      <c r="B3350" s="5"/>
    </row>
    <row r="3351" spans="1:2" x14ac:dyDescent="0.25">
      <c r="A3351" s="5"/>
      <c r="B3351" s="5"/>
    </row>
    <row r="3352" spans="1:2" x14ac:dyDescent="0.25">
      <c r="A3352" s="5"/>
      <c r="B3352" s="5"/>
    </row>
    <row r="3353" spans="1:2" x14ac:dyDescent="0.25">
      <c r="A3353" s="5"/>
      <c r="B3353" s="5"/>
    </row>
    <row r="3354" spans="1:2" x14ac:dyDescent="0.25">
      <c r="A3354" s="5"/>
      <c r="B3354" s="5"/>
    </row>
    <row r="3355" spans="1:2" x14ac:dyDescent="0.25">
      <c r="A3355" s="5"/>
      <c r="B3355" s="5"/>
    </row>
    <row r="3356" spans="1:2" x14ac:dyDescent="0.25">
      <c r="A3356" s="5"/>
      <c r="B3356" s="5"/>
    </row>
    <row r="3357" spans="1:2" x14ac:dyDescent="0.25">
      <c r="A3357" s="5"/>
      <c r="B3357" s="5"/>
    </row>
    <row r="3358" spans="1:2" x14ac:dyDescent="0.25">
      <c r="A3358" s="5"/>
      <c r="B3358" s="5"/>
    </row>
    <row r="3359" spans="1:2" x14ac:dyDescent="0.25">
      <c r="A3359" s="5"/>
      <c r="B3359" s="5"/>
    </row>
    <row r="3360" spans="1:2" x14ac:dyDescent="0.25">
      <c r="A3360" s="5"/>
      <c r="B3360" s="5"/>
    </row>
    <row r="3361" spans="1:2" x14ac:dyDescent="0.25">
      <c r="A3361" s="5"/>
      <c r="B3361" s="5"/>
    </row>
    <row r="3362" spans="1:2" x14ac:dyDescent="0.25">
      <c r="A3362" s="5"/>
      <c r="B3362" s="5"/>
    </row>
    <row r="3363" spans="1:2" x14ac:dyDescent="0.25">
      <c r="A3363" s="5"/>
      <c r="B3363" s="5"/>
    </row>
    <row r="3364" spans="1:2" x14ac:dyDescent="0.25">
      <c r="A3364" s="5"/>
      <c r="B3364" s="5"/>
    </row>
    <row r="3365" spans="1:2" x14ac:dyDescent="0.25">
      <c r="A3365" s="5"/>
      <c r="B3365" s="5"/>
    </row>
    <row r="3366" spans="1:2" x14ac:dyDescent="0.25">
      <c r="A3366" s="5"/>
      <c r="B3366" s="5"/>
    </row>
    <row r="3367" spans="1:2" x14ac:dyDescent="0.25">
      <c r="A3367" s="5"/>
      <c r="B3367" s="5"/>
    </row>
    <row r="3368" spans="1:2" x14ac:dyDescent="0.25">
      <c r="A3368" s="5"/>
      <c r="B3368" s="5"/>
    </row>
    <row r="3369" spans="1:2" x14ac:dyDescent="0.25">
      <c r="A3369" s="5"/>
      <c r="B3369" s="5"/>
    </row>
    <row r="3370" spans="1:2" x14ac:dyDescent="0.25">
      <c r="A3370" s="5"/>
      <c r="B3370" s="5"/>
    </row>
    <row r="3371" spans="1:2" x14ac:dyDescent="0.25">
      <c r="A3371" s="5"/>
      <c r="B3371" s="5"/>
    </row>
    <row r="3372" spans="1:2" x14ac:dyDescent="0.25">
      <c r="A3372" s="5"/>
      <c r="B3372" s="5"/>
    </row>
    <row r="3373" spans="1:2" x14ac:dyDescent="0.25">
      <c r="A3373" s="5"/>
      <c r="B3373" s="5"/>
    </row>
    <row r="3374" spans="1:2" x14ac:dyDescent="0.25">
      <c r="A3374" s="5"/>
      <c r="B3374" s="5"/>
    </row>
    <row r="3375" spans="1:2" x14ac:dyDescent="0.25">
      <c r="A3375" s="5"/>
      <c r="B3375" s="5"/>
    </row>
    <row r="3376" spans="1:2" x14ac:dyDescent="0.25">
      <c r="A3376" s="5"/>
      <c r="B3376" s="5"/>
    </row>
    <row r="3377" spans="1:2" x14ac:dyDescent="0.25">
      <c r="A3377" s="5"/>
      <c r="B3377" s="5"/>
    </row>
    <row r="3378" spans="1:2" x14ac:dyDescent="0.25">
      <c r="A3378" s="5"/>
      <c r="B3378" s="5"/>
    </row>
    <row r="3379" spans="1:2" x14ac:dyDescent="0.25">
      <c r="A3379" s="5"/>
      <c r="B3379" s="5"/>
    </row>
    <row r="3380" spans="1:2" x14ac:dyDescent="0.25">
      <c r="A3380" s="5"/>
      <c r="B3380" s="5"/>
    </row>
    <row r="3381" spans="1:2" x14ac:dyDescent="0.25">
      <c r="A3381" s="5"/>
      <c r="B3381" s="5"/>
    </row>
    <row r="3382" spans="1:2" x14ac:dyDescent="0.25">
      <c r="A3382" s="5"/>
      <c r="B3382" s="5"/>
    </row>
    <row r="3383" spans="1:2" x14ac:dyDescent="0.25">
      <c r="A3383" s="5"/>
      <c r="B3383" s="5"/>
    </row>
    <row r="3384" spans="1:2" x14ac:dyDescent="0.25">
      <c r="A3384" s="5"/>
      <c r="B3384" s="5"/>
    </row>
    <row r="3385" spans="1:2" x14ac:dyDescent="0.25">
      <c r="A3385" s="5"/>
      <c r="B3385" s="5"/>
    </row>
    <row r="3386" spans="1:2" x14ac:dyDescent="0.25">
      <c r="A3386" s="5"/>
      <c r="B3386" s="5"/>
    </row>
    <row r="3387" spans="1:2" x14ac:dyDescent="0.25">
      <c r="A3387" s="5"/>
      <c r="B3387" s="5"/>
    </row>
    <row r="3388" spans="1:2" x14ac:dyDescent="0.25">
      <c r="A3388" s="5"/>
      <c r="B3388" s="5"/>
    </row>
    <row r="3389" spans="1:2" x14ac:dyDescent="0.25">
      <c r="A3389" s="5"/>
      <c r="B3389" s="5"/>
    </row>
    <row r="3390" spans="1:2" x14ac:dyDescent="0.25">
      <c r="A3390" s="5"/>
      <c r="B3390" s="5"/>
    </row>
    <row r="3391" spans="1:2" x14ac:dyDescent="0.25">
      <c r="A3391" s="5"/>
      <c r="B3391" s="5"/>
    </row>
    <row r="3392" spans="1:2" x14ac:dyDescent="0.25">
      <c r="A3392" s="5"/>
      <c r="B3392" s="5"/>
    </row>
    <row r="3393" spans="1:2" x14ac:dyDescent="0.25">
      <c r="A3393" s="5"/>
      <c r="B3393" s="5"/>
    </row>
    <row r="3394" spans="1:2" x14ac:dyDescent="0.25">
      <c r="A3394" s="5"/>
      <c r="B3394" s="5"/>
    </row>
    <row r="3395" spans="1:2" x14ac:dyDescent="0.25">
      <c r="A3395" s="5"/>
      <c r="B3395" s="5"/>
    </row>
    <row r="3396" spans="1:2" x14ac:dyDescent="0.25">
      <c r="A3396" s="5"/>
      <c r="B3396" s="5"/>
    </row>
    <row r="3397" spans="1:2" x14ac:dyDescent="0.25">
      <c r="A3397" s="5"/>
      <c r="B3397" s="5"/>
    </row>
    <row r="3398" spans="1:2" x14ac:dyDescent="0.25">
      <c r="A3398" s="5"/>
      <c r="B3398" s="5"/>
    </row>
    <row r="3399" spans="1:2" x14ac:dyDescent="0.25">
      <c r="A3399" s="5"/>
      <c r="B3399" s="5"/>
    </row>
    <row r="3400" spans="1:2" x14ac:dyDescent="0.25">
      <c r="A3400" s="5"/>
      <c r="B3400" s="5"/>
    </row>
    <row r="3401" spans="1:2" x14ac:dyDescent="0.25">
      <c r="A3401" s="5"/>
      <c r="B3401" s="5"/>
    </row>
    <row r="3402" spans="1:2" x14ac:dyDescent="0.25">
      <c r="A3402" s="5"/>
      <c r="B3402" s="5"/>
    </row>
    <row r="3403" spans="1:2" x14ac:dyDescent="0.25">
      <c r="A3403" s="5"/>
      <c r="B3403" s="5"/>
    </row>
    <row r="3404" spans="1:2" x14ac:dyDescent="0.25">
      <c r="A3404" s="5"/>
      <c r="B3404" s="5"/>
    </row>
    <row r="3405" spans="1:2" x14ac:dyDescent="0.25">
      <c r="A3405" s="5"/>
      <c r="B3405" s="5"/>
    </row>
    <row r="3406" spans="1:2" x14ac:dyDescent="0.25">
      <c r="A3406" s="5"/>
      <c r="B3406" s="5"/>
    </row>
    <row r="3407" spans="1:2" x14ac:dyDescent="0.25">
      <c r="A3407" s="5"/>
      <c r="B3407" s="5"/>
    </row>
    <row r="3408" spans="1:2" x14ac:dyDescent="0.25">
      <c r="A3408" s="5"/>
      <c r="B3408" s="5"/>
    </row>
    <row r="3409" spans="1:2" x14ac:dyDescent="0.25">
      <c r="A3409" s="5"/>
      <c r="B3409" s="5"/>
    </row>
    <row r="3410" spans="1:2" x14ac:dyDescent="0.25">
      <c r="A3410" s="5"/>
      <c r="B3410" s="5"/>
    </row>
    <row r="3411" spans="1:2" x14ac:dyDescent="0.25">
      <c r="A3411" s="5"/>
      <c r="B3411" s="5"/>
    </row>
    <row r="3412" spans="1:2" x14ac:dyDescent="0.25">
      <c r="A3412" s="5"/>
      <c r="B3412" s="5"/>
    </row>
    <row r="3413" spans="1:2" x14ac:dyDescent="0.25">
      <c r="A3413" s="5"/>
      <c r="B3413" s="5"/>
    </row>
    <row r="3414" spans="1:2" x14ac:dyDescent="0.25">
      <c r="A3414" s="5"/>
      <c r="B3414" s="5"/>
    </row>
    <row r="3415" spans="1:2" x14ac:dyDescent="0.25">
      <c r="A3415" s="5"/>
      <c r="B3415" s="5"/>
    </row>
    <row r="3416" spans="1:2" x14ac:dyDescent="0.25">
      <c r="A3416" s="5"/>
      <c r="B3416" s="5"/>
    </row>
    <row r="3417" spans="1:2" x14ac:dyDescent="0.25">
      <c r="A3417" s="5"/>
      <c r="B3417" s="5"/>
    </row>
    <row r="3418" spans="1:2" x14ac:dyDescent="0.25">
      <c r="A3418" s="5"/>
      <c r="B3418" s="5"/>
    </row>
    <row r="3419" spans="1:2" x14ac:dyDescent="0.25">
      <c r="A3419" s="5"/>
      <c r="B3419" s="5"/>
    </row>
    <row r="3420" spans="1:2" x14ac:dyDescent="0.25">
      <c r="A3420" s="5"/>
      <c r="B3420" s="5"/>
    </row>
    <row r="3421" spans="1:2" x14ac:dyDescent="0.25">
      <c r="A3421" s="5"/>
      <c r="B3421" s="5"/>
    </row>
    <row r="3422" spans="1:2" x14ac:dyDescent="0.25">
      <c r="A3422" s="5"/>
      <c r="B3422" s="5"/>
    </row>
    <row r="3423" spans="1:2" x14ac:dyDescent="0.25">
      <c r="A3423" s="5"/>
      <c r="B3423" s="5"/>
    </row>
    <row r="3424" spans="1:2" x14ac:dyDescent="0.25">
      <c r="A3424" s="5"/>
      <c r="B3424" s="5"/>
    </row>
    <row r="3425" spans="1:2" x14ac:dyDescent="0.25">
      <c r="A3425" s="5"/>
      <c r="B3425" s="5"/>
    </row>
    <row r="3426" spans="1:2" x14ac:dyDescent="0.25">
      <c r="A3426" s="5"/>
      <c r="B3426" s="5"/>
    </row>
    <row r="3427" spans="1:2" x14ac:dyDescent="0.25">
      <c r="A3427" s="5"/>
      <c r="B3427" s="5"/>
    </row>
    <row r="3428" spans="1:2" x14ac:dyDescent="0.25">
      <c r="A3428" s="5"/>
      <c r="B3428" s="5"/>
    </row>
    <row r="3429" spans="1:2" x14ac:dyDescent="0.25">
      <c r="A3429" s="5"/>
      <c r="B3429" s="5"/>
    </row>
    <row r="3430" spans="1:2" x14ac:dyDescent="0.25">
      <c r="A3430" s="5"/>
      <c r="B3430" s="5"/>
    </row>
    <row r="3431" spans="1:2" x14ac:dyDescent="0.25">
      <c r="A3431" s="5"/>
      <c r="B3431" s="5"/>
    </row>
    <row r="3432" spans="1:2" x14ac:dyDescent="0.25">
      <c r="A3432" s="5"/>
      <c r="B3432" s="5"/>
    </row>
    <row r="3433" spans="1:2" x14ac:dyDescent="0.25">
      <c r="A3433" s="5"/>
      <c r="B3433" s="5"/>
    </row>
    <row r="3434" spans="1:2" x14ac:dyDescent="0.25">
      <c r="A3434" s="5"/>
      <c r="B3434" s="5"/>
    </row>
    <row r="3435" spans="1:2" x14ac:dyDescent="0.25">
      <c r="A3435" s="5"/>
      <c r="B3435" s="5"/>
    </row>
    <row r="3436" spans="1:2" x14ac:dyDescent="0.25">
      <c r="A3436" s="5"/>
      <c r="B3436" s="5"/>
    </row>
    <row r="3437" spans="1:2" x14ac:dyDescent="0.25">
      <c r="A3437" s="5"/>
      <c r="B3437" s="5"/>
    </row>
    <row r="3438" spans="1:2" x14ac:dyDescent="0.25">
      <c r="A3438" s="5"/>
      <c r="B3438" s="5"/>
    </row>
    <row r="3439" spans="1:2" x14ac:dyDescent="0.25">
      <c r="A3439" s="5"/>
      <c r="B3439" s="5"/>
    </row>
    <row r="3440" spans="1:2" x14ac:dyDescent="0.25">
      <c r="A3440" s="5"/>
      <c r="B3440" s="5"/>
    </row>
    <row r="3441" spans="1:2" x14ac:dyDescent="0.25">
      <c r="A3441" s="5"/>
      <c r="B3441" s="5"/>
    </row>
    <row r="3442" spans="1:2" x14ac:dyDescent="0.25">
      <c r="A3442" s="5"/>
      <c r="B3442" s="5"/>
    </row>
    <row r="3443" spans="1:2" x14ac:dyDescent="0.25">
      <c r="A3443" s="5"/>
      <c r="B3443" s="5"/>
    </row>
    <row r="3444" spans="1:2" x14ac:dyDescent="0.25">
      <c r="A3444" s="5"/>
      <c r="B3444" s="5"/>
    </row>
    <row r="3445" spans="1:2" x14ac:dyDescent="0.25">
      <c r="A3445" s="5"/>
      <c r="B3445" s="5"/>
    </row>
    <row r="3446" spans="1:2" x14ac:dyDescent="0.25">
      <c r="A3446" s="5"/>
      <c r="B3446" s="5"/>
    </row>
    <row r="3447" spans="1:2" x14ac:dyDescent="0.25">
      <c r="A3447" s="5"/>
      <c r="B3447" s="5"/>
    </row>
    <row r="3448" spans="1:2" x14ac:dyDescent="0.25">
      <c r="A3448" s="5"/>
      <c r="B3448" s="5"/>
    </row>
    <row r="3449" spans="1:2" x14ac:dyDescent="0.25">
      <c r="A3449" s="5"/>
      <c r="B3449" s="5"/>
    </row>
    <row r="3450" spans="1:2" x14ac:dyDescent="0.25">
      <c r="A3450" s="5"/>
      <c r="B3450" s="5"/>
    </row>
    <row r="3451" spans="1:2" x14ac:dyDescent="0.25">
      <c r="A3451" s="5"/>
      <c r="B3451" s="5"/>
    </row>
    <row r="3452" spans="1:2" x14ac:dyDescent="0.25">
      <c r="A3452" s="5"/>
      <c r="B3452" s="5"/>
    </row>
    <row r="3453" spans="1:2" x14ac:dyDescent="0.25">
      <c r="A3453" s="5"/>
      <c r="B3453" s="5"/>
    </row>
    <row r="3454" spans="1:2" x14ac:dyDescent="0.25">
      <c r="A3454" s="5"/>
      <c r="B3454" s="5"/>
    </row>
    <row r="3455" spans="1:2" x14ac:dyDescent="0.25">
      <c r="A3455" s="5"/>
      <c r="B3455" s="5"/>
    </row>
    <row r="3456" spans="1:2" x14ac:dyDescent="0.25">
      <c r="A3456" s="5"/>
      <c r="B3456" s="5"/>
    </row>
    <row r="3457" spans="1:2" x14ac:dyDescent="0.25">
      <c r="A3457" s="5"/>
      <c r="B3457" s="5"/>
    </row>
    <row r="3458" spans="1:2" x14ac:dyDescent="0.25">
      <c r="A3458" s="5"/>
      <c r="B3458" s="5"/>
    </row>
    <row r="3459" spans="1:2" x14ac:dyDescent="0.25">
      <c r="A3459" s="5"/>
      <c r="B3459" s="5"/>
    </row>
    <row r="3460" spans="1:2" x14ac:dyDescent="0.25">
      <c r="A3460" s="5"/>
      <c r="B3460" s="5"/>
    </row>
    <row r="3461" spans="1:2" x14ac:dyDescent="0.25">
      <c r="A3461" s="5"/>
      <c r="B3461" s="5"/>
    </row>
    <row r="3462" spans="1:2" x14ac:dyDescent="0.25">
      <c r="A3462" s="5"/>
      <c r="B3462" s="5"/>
    </row>
    <row r="3463" spans="1:2" x14ac:dyDescent="0.25">
      <c r="A3463" s="5"/>
      <c r="B3463" s="5"/>
    </row>
    <row r="3464" spans="1:2" x14ac:dyDescent="0.25">
      <c r="A3464" s="5"/>
      <c r="B3464" s="5"/>
    </row>
    <row r="3465" spans="1:2" x14ac:dyDescent="0.25">
      <c r="A3465" s="5"/>
      <c r="B3465" s="5"/>
    </row>
    <row r="3466" spans="1:2" x14ac:dyDescent="0.25">
      <c r="A3466" s="5"/>
      <c r="B3466" s="5"/>
    </row>
    <row r="3467" spans="1:2" x14ac:dyDescent="0.25">
      <c r="A3467" s="5"/>
      <c r="B3467" s="5"/>
    </row>
    <row r="3468" spans="1:2" x14ac:dyDescent="0.25">
      <c r="A3468" s="5"/>
      <c r="B3468" s="5"/>
    </row>
    <row r="3469" spans="1:2" x14ac:dyDescent="0.25">
      <c r="A3469" s="5"/>
      <c r="B3469" s="5"/>
    </row>
    <row r="3470" spans="1:2" x14ac:dyDescent="0.25">
      <c r="A3470" s="5"/>
      <c r="B3470" s="5"/>
    </row>
    <row r="3471" spans="1:2" x14ac:dyDescent="0.25">
      <c r="A3471" s="5"/>
      <c r="B3471" s="5"/>
    </row>
    <row r="3472" spans="1:2" x14ac:dyDescent="0.25">
      <c r="A3472" s="5"/>
      <c r="B3472" s="5"/>
    </row>
    <row r="3473" spans="1:2" x14ac:dyDescent="0.25">
      <c r="A3473" s="5"/>
      <c r="B3473" s="5"/>
    </row>
    <row r="3474" spans="1:2" x14ac:dyDescent="0.25">
      <c r="A3474" s="5"/>
      <c r="B3474" s="5"/>
    </row>
    <row r="3475" spans="1:2" x14ac:dyDescent="0.25">
      <c r="A3475" s="5"/>
      <c r="B3475" s="5"/>
    </row>
    <row r="3476" spans="1:2" x14ac:dyDescent="0.25">
      <c r="A3476" s="5"/>
      <c r="B3476" s="5"/>
    </row>
    <row r="3477" spans="1:2" x14ac:dyDescent="0.25">
      <c r="A3477" s="5"/>
      <c r="B3477" s="5"/>
    </row>
    <row r="3478" spans="1:2" x14ac:dyDescent="0.25">
      <c r="A3478" s="5"/>
      <c r="B3478" s="5"/>
    </row>
    <row r="3479" spans="1:2" x14ac:dyDescent="0.25">
      <c r="A3479" s="5"/>
      <c r="B3479" s="5"/>
    </row>
    <row r="3480" spans="1:2" x14ac:dyDescent="0.25">
      <c r="A3480" s="5"/>
      <c r="B3480" s="5"/>
    </row>
    <row r="3481" spans="1:2" x14ac:dyDescent="0.25">
      <c r="A3481" s="5"/>
      <c r="B3481" s="5"/>
    </row>
    <row r="3482" spans="1:2" x14ac:dyDescent="0.25">
      <c r="A3482" s="5"/>
      <c r="B3482" s="5"/>
    </row>
    <row r="3483" spans="1:2" x14ac:dyDescent="0.25">
      <c r="A3483" s="5"/>
      <c r="B3483" s="5"/>
    </row>
    <row r="3484" spans="1:2" x14ac:dyDescent="0.25">
      <c r="A3484" s="5"/>
      <c r="B3484" s="5"/>
    </row>
    <row r="3485" spans="1:2" x14ac:dyDescent="0.25">
      <c r="A3485" s="5"/>
      <c r="B3485" s="5"/>
    </row>
    <row r="3486" spans="1:2" x14ac:dyDescent="0.25">
      <c r="A3486" s="5"/>
      <c r="B3486" s="5"/>
    </row>
    <row r="3487" spans="1:2" x14ac:dyDescent="0.25">
      <c r="A3487" s="5"/>
      <c r="B3487" s="5"/>
    </row>
    <row r="3488" spans="1:2" x14ac:dyDescent="0.25">
      <c r="A3488" s="5"/>
      <c r="B3488" s="5"/>
    </row>
    <row r="3489" spans="1:2" x14ac:dyDescent="0.25">
      <c r="A3489" s="5"/>
      <c r="B3489" s="5"/>
    </row>
    <row r="3490" spans="1:2" x14ac:dyDescent="0.25">
      <c r="A3490" s="5"/>
      <c r="B3490" s="5"/>
    </row>
    <row r="3491" spans="1:2" x14ac:dyDescent="0.25">
      <c r="A3491" s="5"/>
      <c r="B3491" s="5"/>
    </row>
    <row r="3492" spans="1:2" x14ac:dyDescent="0.25">
      <c r="A3492" s="5"/>
      <c r="B3492" s="5"/>
    </row>
    <row r="3493" spans="1:2" x14ac:dyDescent="0.25">
      <c r="A3493" s="5"/>
      <c r="B3493" s="5"/>
    </row>
    <row r="3494" spans="1:2" x14ac:dyDescent="0.25">
      <c r="A3494" s="5"/>
      <c r="B3494" s="5"/>
    </row>
    <row r="3495" spans="1:2" x14ac:dyDescent="0.25">
      <c r="A3495" s="5"/>
      <c r="B3495" s="5"/>
    </row>
    <row r="3496" spans="1:2" x14ac:dyDescent="0.25">
      <c r="A3496" s="5"/>
      <c r="B3496" s="5"/>
    </row>
    <row r="3497" spans="1:2" x14ac:dyDescent="0.25">
      <c r="A3497" s="5"/>
      <c r="B3497" s="5"/>
    </row>
    <row r="3498" spans="1:2" x14ac:dyDescent="0.25">
      <c r="A3498" s="5"/>
      <c r="B3498" s="5"/>
    </row>
    <row r="3499" spans="1:2" x14ac:dyDescent="0.25">
      <c r="A3499" s="5"/>
      <c r="B3499" s="5"/>
    </row>
    <row r="3500" spans="1:2" x14ac:dyDescent="0.25">
      <c r="A3500" s="5"/>
      <c r="B3500" s="5"/>
    </row>
    <row r="3501" spans="1:2" x14ac:dyDescent="0.25">
      <c r="A3501" s="5"/>
      <c r="B3501" s="5"/>
    </row>
    <row r="3502" spans="1:2" x14ac:dyDescent="0.25">
      <c r="A3502" s="5"/>
      <c r="B3502" s="5"/>
    </row>
    <row r="3503" spans="1:2" x14ac:dyDescent="0.25">
      <c r="A3503" s="5"/>
      <c r="B3503" s="5"/>
    </row>
    <row r="3504" spans="1:2" x14ac:dyDescent="0.25">
      <c r="A3504" s="5"/>
      <c r="B3504" s="5"/>
    </row>
    <row r="3505" spans="1:2" x14ac:dyDescent="0.25">
      <c r="A3505" s="5"/>
      <c r="B3505" s="5"/>
    </row>
    <row r="3506" spans="1:2" x14ac:dyDescent="0.25">
      <c r="A3506" s="5"/>
      <c r="B3506" s="5"/>
    </row>
    <row r="3507" spans="1:2" x14ac:dyDescent="0.25">
      <c r="A3507" s="5"/>
      <c r="B3507" s="5"/>
    </row>
    <row r="3508" spans="1:2" x14ac:dyDescent="0.25">
      <c r="A3508" s="5"/>
      <c r="B3508" s="5"/>
    </row>
    <row r="3509" spans="1:2" x14ac:dyDescent="0.25">
      <c r="A3509" s="5"/>
      <c r="B3509" s="5"/>
    </row>
    <row r="3510" spans="1:2" x14ac:dyDescent="0.25">
      <c r="A3510" s="5"/>
      <c r="B3510" s="5"/>
    </row>
    <row r="3511" spans="1:2" x14ac:dyDescent="0.25">
      <c r="A3511" s="5"/>
      <c r="B3511" s="5"/>
    </row>
    <row r="3512" spans="1:2" x14ac:dyDescent="0.25">
      <c r="A3512" s="5"/>
      <c r="B3512" s="5"/>
    </row>
    <row r="3513" spans="1:2" x14ac:dyDescent="0.25">
      <c r="A3513" s="5"/>
      <c r="B3513" s="5"/>
    </row>
    <row r="3514" spans="1:2" x14ac:dyDescent="0.25">
      <c r="A3514" s="5"/>
      <c r="B3514" s="5"/>
    </row>
    <row r="3515" spans="1:2" x14ac:dyDescent="0.25">
      <c r="A3515" s="5"/>
      <c r="B3515" s="5"/>
    </row>
    <row r="3516" spans="1:2" x14ac:dyDescent="0.25">
      <c r="A3516" s="5"/>
      <c r="B3516" s="5"/>
    </row>
    <row r="3517" spans="1:2" x14ac:dyDescent="0.25">
      <c r="A3517" s="5"/>
      <c r="B3517" s="5"/>
    </row>
    <row r="3518" spans="1:2" x14ac:dyDescent="0.25">
      <c r="A3518" s="5"/>
      <c r="B3518" s="5"/>
    </row>
    <row r="3519" spans="1:2" x14ac:dyDescent="0.25">
      <c r="A3519" s="5"/>
      <c r="B3519" s="5"/>
    </row>
    <row r="3520" spans="1:2" x14ac:dyDescent="0.25">
      <c r="A3520" s="5"/>
      <c r="B3520" s="5"/>
    </row>
    <row r="3521" spans="1:2" x14ac:dyDescent="0.25">
      <c r="A3521" s="5"/>
      <c r="B3521" s="5"/>
    </row>
    <row r="3522" spans="1:2" x14ac:dyDescent="0.25">
      <c r="A3522" s="5"/>
      <c r="B3522" s="5"/>
    </row>
    <row r="3523" spans="1:2" x14ac:dyDescent="0.25">
      <c r="A3523" s="5"/>
      <c r="B3523" s="5"/>
    </row>
    <row r="3524" spans="1:2" x14ac:dyDescent="0.25">
      <c r="A3524" s="5"/>
      <c r="B3524" s="5"/>
    </row>
    <row r="3525" spans="1:2" x14ac:dyDescent="0.25">
      <c r="A3525" s="5"/>
      <c r="B3525" s="5"/>
    </row>
    <row r="3526" spans="1:2" x14ac:dyDescent="0.25">
      <c r="A3526" s="5"/>
      <c r="B3526" s="5"/>
    </row>
    <row r="3527" spans="1:2" x14ac:dyDescent="0.25">
      <c r="A3527" s="5"/>
      <c r="B3527" s="5"/>
    </row>
    <row r="3528" spans="1:2" x14ac:dyDescent="0.25">
      <c r="A3528" s="5"/>
      <c r="B3528" s="5"/>
    </row>
    <row r="3529" spans="1:2" x14ac:dyDescent="0.25">
      <c r="A3529" s="5"/>
      <c r="B3529" s="5"/>
    </row>
    <row r="3530" spans="1:2" x14ac:dyDescent="0.25">
      <c r="A3530" s="5"/>
      <c r="B3530" s="5"/>
    </row>
    <row r="3531" spans="1:2" x14ac:dyDescent="0.25">
      <c r="A3531" s="5"/>
      <c r="B3531" s="5"/>
    </row>
    <row r="3532" spans="1:2" x14ac:dyDescent="0.25">
      <c r="A3532" s="5"/>
      <c r="B3532" s="5"/>
    </row>
    <row r="3533" spans="1:2" x14ac:dyDescent="0.25">
      <c r="A3533" s="5"/>
      <c r="B3533" s="5"/>
    </row>
    <row r="3534" spans="1:2" x14ac:dyDescent="0.25">
      <c r="A3534" s="5"/>
      <c r="B3534" s="5"/>
    </row>
    <row r="3535" spans="1:2" x14ac:dyDescent="0.25">
      <c r="A3535" s="5"/>
      <c r="B3535" s="5"/>
    </row>
    <row r="3536" spans="1:2" x14ac:dyDescent="0.25">
      <c r="A3536" s="5"/>
      <c r="B3536" s="5"/>
    </row>
    <row r="3537" spans="1:2" x14ac:dyDescent="0.25">
      <c r="A3537" s="5"/>
      <c r="B3537" s="5"/>
    </row>
    <row r="3538" spans="1:2" x14ac:dyDescent="0.25">
      <c r="A3538" s="5"/>
      <c r="B3538" s="5"/>
    </row>
    <row r="3539" spans="1:2" x14ac:dyDescent="0.25">
      <c r="A3539" s="5"/>
      <c r="B3539" s="5"/>
    </row>
    <row r="3540" spans="1:2" x14ac:dyDescent="0.25">
      <c r="A3540" s="5"/>
      <c r="B3540" s="5"/>
    </row>
    <row r="3541" spans="1:2" x14ac:dyDescent="0.25">
      <c r="A3541" s="5"/>
      <c r="B3541" s="5"/>
    </row>
    <row r="3542" spans="1:2" x14ac:dyDescent="0.25">
      <c r="A3542" s="5"/>
      <c r="B3542" s="5"/>
    </row>
    <row r="3543" spans="1:2" x14ac:dyDescent="0.25">
      <c r="A3543" s="5"/>
      <c r="B3543" s="5"/>
    </row>
    <row r="3544" spans="1:2" x14ac:dyDescent="0.25">
      <c r="A3544" s="5"/>
      <c r="B3544" s="5"/>
    </row>
    <row r="3545" spans="1:2" x14ac:dyDescent="0.25">
      <c r="A3545" s="5"/>
      <c r="B3545" s="5"/>
    </row>
    <row r="3546" spans="1:2" x14ac:dyDescent="0.25">
      <c r="A3546" s="5"/>
      <c r="B3546" s="5"/>
    </row>
    <row r="3547" spans="1:2" x14ac:dyDescent="0.25">
      <c r="A3547" s="5"/>
      <c r="B3547" s="5"/>
    </row>
    <row r="3548" spans="1:2" x14ac:dyDescent="0.25">
      <c r="A3548" s="5"/>
      <c r="B3548" s="5"/>
    </row>
    <row r="3549" spans="1:2" x14ac:dyDescent="0.25">
      <c r="A3549" s="5"/>
      <c r="B3549" s="5"/>
    </row>
    <row r="3550" spans="1:2" x14ac:dyDescent="0.25">
      <c r="A3550" s="5"/>
      <c r="B3550" s="5"/>
    </row>
    <row r="3551" spans="1:2" x14ac:dyDescent="0.25">
      <c r="A3551" s="5"/>
      <c r="B3551" s="5"/>
    </row>
    <row r="3552" spans="1:2" x14ac:dyDescent="0.25">
      <c r="A3552" s="5"/>
      <c r="B3552" s="5"/>
    </row>
    <row r="3553" spans="1:2" x14ac:dyDescent="0.25">
      <c r="A3553" s="5"/>
      <c r="B3553" s="5"/>
    </row>
    <row r="3554" spans="1:2" x14ac:dyDescent="0.25">
      <c r="A3554" s="5"/>
      <c r="B3554" s="5"/>
    </row>
    <row r="3555" spans="1:2" x14ac:dyDescent="0.25">
      <c r="A3555" s="5"/>
      <c r="B3555" s="5"/>
    </row>
    <row r="3556" spans="1:2" x14ac:dyDescent="0.25">
      <c r="A3556" s="5"/>
      <c r="B3556" s="5"/>
    </row>
    <row r="3557" spans="1:2" x14ac:dyDescent="0.25">
      <c r="A3557" s="5"/>
      <c r="B3557" s="5"/>
    </row>
    <row r="3558" spans="1:2" x14ac:dyDescent="0.25">
      <c r="A3558" s="5"/>
      <c r="B3558" s="5"/>
    </row>
    <row r="3559" spans="1:2" x14ac:dyDescent="0.25">
      <c r="A3559" s="5"/>
      <c r="B3559" s="5"/>
    </row>
    <row r="3560" spans="1:2" x14ac:dyDescent="0.25">
      <c r="A3560" s="5"/>
      <c r="B3560" s="5"/>
    </row>
    <row r="3561" spans="1:2" x14ac:dyDescent="0.25">
      <c r="A3561" s="5"/>
      <c r="B3561" s="5"/>
    </row>
    <row r="3562" spans="1:2" x14ac:dyDescent="0.25">
      <c r="A3562" s="5"/>
      <c r="B3562" s="5"/>
    </row>
    <row r="3563" spans="1:2" x14ac:dyDescent="0.25">
      <c r="A3563" s="5"/>
      <c r="B3563" s="5"/>
    </row>
    <row r="3564" spans="1:2" x14ac:dyDescent="0.25">
      <c r="A3564" s="5"/>
      <c r="B3564" s="5"/>
    </row>
    <row r="3565" spans="1:2" x14ac:dyDescent="0.25">
      <c r="A3565" s="5"/>
      <c r="B3565" s="5"/>
    </row>
    <row r="3566" spans="1:2" x14ac:dyDescent="0.25">
      <c r="A3566" s="5"/>
      <c r="B3566" s="5"/>
    </row>
    <row r="3567" spans="1:2" x14ac:dyDescent="0.25">
      <c r="A3567" s="5"/>
      <c r="B3567" s="5"/>
    </row>
    <row r="3568" spans="1:2" x14ac:dyDescent="0.25">
      <c r="A3568" s="5"/>
      <c r="B3568" s="5"/>
    </row>
    <row r="3569" spans="1:2" x14ac:dyDescent="0.25">
      <c r="A3569" s="5"/>
      <c r="B3569" s="5"/>
    </row>
    <row r="3570" spans="1:2" x14ac:dyDescent="0.25">
      <c r="A3570" s="5"/>
      <c r="B3570" s="5"/>
    </row>
    <row r="3571" spans="1:2" x14ac:dyDescent="0.25">
      <c r="A3571" s="5"/>
      <c r="B3571" s="5"/>
    </row>
    <row r="3572" spans="1:2" x14ac:dyDescent="0.25">
      <c r="A3572" s="5"/>
      <c r="B3572" s="5"/>
    </row>
    <row r="3573" spans="1:2" x14ac:dyDescent="0.25">
      <c r="A3573" s="5"/>
      <c r="B3573" s="5"/>
    </row>
    <row r="3574" spans="1:2" x14ac:dyDescent="0.25">
      <c r="A3574" s="5"/>
      <c r="B3574" s="5"/>
    </row>
    <row r="3575" spans="1:2" x14ac:dyDescent="0.25">
      <c r="A3575" s="5"/>
      <c r="B3575" s="5"/>
    </row>
    <row r="3576" spans="1:2" x14ac:dyDescent="0.25">
      <c r="A3576" s="5"/>
      <c r="B3576" s="5"/>
    </row>
    <row r="3577" spans="1:2" x14ac:dyDescent="0.25">
      <c r="A3577" s="5"/>
      <c r="B3577" s="5"/>
    </row>
    <row r="3578" spans="1:2" x14ac:dyDescent="0.25">
      <c r="A3578" s="5"/>
      <c r="B3578" s="5"/>
    </row>
    <row r="3579" spans="1:2" x14ac:dyDescent="0.25">
      <c r="A3579" s="5"/>
      <c r="B3579" s="5"/>
    </row>
    <row r="3580" spans="1:2" x14ac:dyDescent="0.25">
      <c r="A3580" s="5"/>
      <c r="B3580" s="5"/>
    </row>
    <row r="3581" spans="1:2" x14ac:dyDescent="0.25">
      <c r="A3581" s="5"/>
      <c r="B3581" s="5"/>
    </row>
    <row r="3582" spans="1:2" x14ac:dyDescent="0.25">
      <c r="A3582" s="5"/>
      <c r="B3582" s="5"/>
    </row>
    <row r="3583" spans="1:2" x14ac:dyDescent="0.25">
      <c r="A3583" s="5"/>
      <c r="B3583" s="5"/>
    </row>
    <row r="3584" spans="1:2" x14ac:dyDescent="0.25">
      <c r="A3584" s="5"/>
      <c r="B3584" s="5"/>
    </row>
    <row r="3585" spans="1:2" x14ac:dyDescent="0.25">
      <c r="A3585" s="5"/>
      <c r="B3585" s="5"/>
    </row>
    <row r="3586" spans="1:2" x14ac:dyDescent="0.25">
      <c r="A3586" s="5"/>
      <c r="B3586" s="5"/>
    </row>
    <row r="3587" spans="1:2" x14ac:dyDescent="0.25">
      <c r="A3587" s="5"/>
      <c r="B3587" s="5"/>
    </row>
    <row r="3588" spans="1:2" x14ac:dyDescent="0.25">
      <c r="A3588" s="5"/>
      <c r="B3588" s="5"/>
    </row>
    <row r="3589" spans="1:2" x14ac:dyDescent="0.25">
      <c r="A3589" s="5"/>
      <c r="B3589" s="5"/>
    </row>
    <row r="3590" spans="1:2" x14ac:dyDescent="0.25">
      <c r="A3590" s="5"/>
      <c r="B3590" s="5"/>
    </row>
    <row r="3591" spans="1:2" x14ac:dyDescent="0.25">
      <c r="A3591" s="5"/>
      <c r="B3591" s="5"/>
    </row>
    <row r="3592" spans="1:2" x14ac:dyDescent="0.25">
      <c r="A3592" s="5"/>
      <c r="B3592" s="5"/>
    </row>
    <row r="3593" spans="1:2" x14ac:dyDescent="0.25">
      <c r="A3593" s="5"/>
      <c r="B3593" s="5"/>
    </row>
    <row r="3594" spans="1:2" x14ac:dyDescent="0.25">
      <c r="A3594" s="5"/>
      <c r="B3594" s="5"/>
    </row>
    <row r="3595" spans="1:2" x14ac:dyDescent="0.25">
      <c r="A3595" s="5"/>
      <c r="B3595" s="5"/>
    </row>
    <row r="3596" spans="1:2" x14ac:dyDescent="0.25">
      <c r="A3596" s="5"/>
      <c r="B3596" s="5"/>
    </row>
    <row r="3597" spans="1:2" x14ac:dyDescent="0.25">
      <c r="A3597" s="5"/>
      <c r="B3597" s="5"/>
    </row>
    <row r="3598" spans="1:2" x14ac:dyDescent="0.25">
      <c r="A3598" s="5"/>
      <c r="B3598" s="5"/>
    </row>
    <row r="3599" spans="1:2" x14ac:dyDescent="0.25">
      <c r="A3599" s="5"/>
      <c r="B3599" s="5"/>
    </row>
    <row r="3600" spans="1:2" x14ac:dyDescent="0.25">
      <c r="A3600" s="5"/>
      <c r="B3600" s="5"/>
    </row>
    <row r="3601" spans="1:2" x14ac:dyDescent="0.25">
      <c r="A3601" s="5"/>
      <c r="B3601" s="5"/>
    </row>
    <row r="3602" spans="1:2" x14ac:dyDescent="0.25">
      <c r="A3602" s="5"/>
      <c r="B3602" s="5"/>
    </row>
    <row r="3603" spans="1:2" x14ac:dyDescent="0.25">
      <c r="A3603" s="5"/>
      <c r="B3603" s="5"/>
    </row>
    <row r="3604" spans="1:2" x14ac:dyDescent="0.25">
      <c r="A3604" s="5"/>
      <c r="B3604" s="5"/>
    </row>
    <row r="3605" spans="1:2" x14ac:dyDescent="0.25">
      <c r="A3605" s="5"/>
      <c r="B3605" s="5"/>
    </row>
    <row r="3606" spans="1:2" x14ac:dyDescent="0.25">
      <c r="A3606" s="5"/>
      <c r="B3606" s="5"/>
    </row>
    <row r="3607" spans="1:2" x14ac:dyDescent="0.25">
      <c r="A3607" s="5"/>
      <c r="B3607" s="5"/>
    </row>
    <row r="3608" spans="1:2" x14ac:dyDescent="0.25">
      <c r="A3608" s="5"/>
      <c r="B3608" s="5"/>
    </row>
    <row r="3609" spans="1:2" x14ac:dyDescent="0.25">
      <c r="A3609" s="5"/>
      <c r="B3609" s="5"/>
    </row>
    <row r="3610" spans="1:2" x14ac:dyDescent="0.25">
      <c r="A3610" s="5"/>
      <c r="B3610" s="5"/>
    </row>
    <row r="3611" spans="1:2" x14ac:dyDescent="0.25">
      <c r="A3611" s="5"/>
      <c r="B3611" s="5"/>
    </row>
    <row r="3612" spans="1:2" x14ac:dyDescent="0.25">
      <c r="A3612" s="5"/>
      <c r="B3612" s="5"/>
    </row>
    <row r="3613" spans="1:2" x14ac:dyDescent="0.25">
      <c r="A3613" s="5"/>
      <c r="B3613" s="5"/>
    </row>
    <row r="3614" spans="1:2" x14ac:dyDescent="0.25">
      <c r="A3614" s="5"/>
      <c r="B3614" s="5"/>
    </row>
    <row r="3615" spans="1:2" x14ac:dyDescent="0.25">
      <c r="A3615" s="5"/>
      <c r="B3615" s="5"/>
    </row>
    <row r="3616" spans="1:2" x14ac:dyDescent="0.25">
      <c r="A3616" s="5"/>
      <c r="B3616" s="5"/>
    </row>
    <row r="3617" spans="1:2" x14ac:dyDescent="0.25">
      <c r="A3617" s="5"/>
      <c r="B3617" s="5"/>
    </row>
    <row r="3618" spans="1:2" x14ac:dyDescent="0.25">
      <c r="A3618" s="5"/>
      <c r="B3618" s="5"/>
    </row>
    <row r="3619" spans="1:2" x14ac:dyDescent="0.25">
      <c r="A3619" s="5"/>
      <c r="B3619" s="5"/>
    </row>
    <row r="3620" spans="1:2" x14ac:dyDescent="0.25">
      <c r="A3620" s="5"/>
      <c r="B3620" s="5"/>
    </row>
    <row r="3621" spans="1:2" x14ac:dyDescent="0.25">
      <c r="A3621" s="5"/>
      <c r="B3621" s="5"/>
    </row>
    <row r="3622" spans="1:2" x14ac:dyDescent="0.25">
      <c r="A3622" s="5"/>
      <c r="B3622" s="5"/>
    </row>
    <row r="3623" spans="1:2" x14ac:dyDescent="0.25">
      <c r="A3623" s="5"/>
      <c r="B3623" s="5"/>
    </row>
    <row r="3624" spans="1:2" x14ac:dyDescent="0.25">
      <c r="A3624" s="5"/>
      <c r="B3624" s="5"/>
    </row>
    <row r="3625" spans="1:2" x14ac:dyDescent="0.25">
      <c r="A3625" s="5"/>
      <c r="B3625" s="5"/>
    </row>
    <row r="3626" spans="1:2" x14ac:dyDescent="0.25">
      <c r="A3626" s="5"/>
      <c r="B3626" s="5"/>
    </row>
    <row r="3627" spans="1:2" x14ac:dyDescent="0.25">
      <c r="A3627" s="5"/>
      <c r="B3627" s="5"/>
    </row>
    <row r="3628" spans="1:2" x14ac:dyDescent="0.25">
      <c r="A3628" s="5"/>
      <c r="B3628" s="5"/>
    </row>
    <row r="3629" spans="1:2" x14ac:dyDescent="0.25">
      <c r="A3629" s="5"/>
      <c r="B3629" s="5"/>
    </row>
    <row r="3630" spans="1:2" x14ac:dyDescent="0.25">
      <c r="A3630" s="5"/>
      <c r="B3630" s="5"/>
    </row>
    <row r="3631" spans="1:2" x14ac:dyDescent="0.25">
      <c r="A3631" s="5"/>
      <c r="B3631" s="5"/>
    </row>
    <row r="3632" spans="1:2" x14ac:dyDescent="0.25">
      <c r="A3632" s="5"/>
      <c r="B3632" s="5"/>
    </row>
    <row r="3633" spans="1:2" x14ac:dyDescent="0.25">
      <c r="A3633" s="5"/>
      <c r="B3633" s="5"/>
    </row>
    <row r="3634" spans="1:2" x14ac:dyDescent="0.25">
      <c r="A3634" s="5"/>
      <c r="B3634" s="5"/>
    </row>
    <row r="3635" spans="1:2" x14ac:dyDescent="0.25">
      <c r="A3635" s="5"/>
      <c r="B3635" s="5"/>
    </row>
    <row r="3636" spans="1:2" x14ac:dyDescent="0.25">
      <c r="A3636" s="5"/>
      <c r="B3636" s="5"/>
    </row>
    <row r="3637" spans="1:2" x14ac:dyDescent="0.25">
      <c r="A3637" s="5"/>
      <c r="B3637" s="5"/>
    </row>
    <row r="3638" spans="1:2" x14ac:dyDescent="0.25">
      <c r="A3638" s="5"/>
      <c r="B3638" s="5"/>
    </row>
    <row r="3639" spans="1:2" x14ac:dyDescent="0.25">
      <c r="A3639" s="5"/>
      <c r="B3639" s="5"/>
    </row>
    <row r="3640" spans="1:2" x14ac:dyDescent="0.25">
      <c r="A3640" s="5"/>
      <c r="B3640" s="5"/>
    </row>
    <row r="3641" spans="1:2" x14ac:dyDescent="0.25">
      <c r="A3641" s="5"/>
      <c r="B3641" s="5"/>
    </row>
    <row r="3642" spans="1:2" x14ac:dyDescent="0.25">
      <c r="A3642" s="5"/>
      <c r="B364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5DBB-76FC-497B-B49E-7A02B5DA76B3}">
  <sheetPr>
    <tabColor theme="3" tint="0.249977111117893"/>
  </sheetPr>
  <dimension ref="A1:G508"/>
  <sheetViews>
    <sheetView workbookViewId="0">
      <selection activeCell="S28" sqref="S28"/>
    </sheetView>
  </sheetViews>
  <sheetFormatPr defaultRowHeight="15" x14ac:dyDescent="0.25"/>
  <cols>
    <col min="1" max="1" width="10.42578125" style="11" bestFit="1" customWidth="1"/>
    <col min="2" max="2" width="13.28515625" style="11" bestFit="1" customWidth="1"/>
    <col min="3" max="3" width="13.7109375" bestFit="1" customWidth="1"/>
  </cols>
  <sheetData>
    <row r="1" spans="1:7" x14ac:dyDescent="0.25">
      <c r="A1" s="10" t="s">
        <v>35</v>
      </c>
      <c r="B1" s="10" t="s">
        <v>45</v>
      </c>
      <c r="C1" s="10" t="s">
        <v>46</v>
      </c>
      <c r="D1" s="10" t="s">
        <v>51</v>
      </c>
      <c r="E1" s="10" t="s">
        <v>52</v>
      </c>
      <c r="F1" s="10" t="s">
        <v>53</v>
      </c>
      <c r="G1" s="10" t="s">
        <v>54</v>
      </c>
    </row>
    <row r="2" spans="1:7" x14ac:dyDescent="0.25">
      <c r="A2" s="21">
        <v>44561</v>
      </c>
      <c r="B2" s="5">
        <v>1232.01</v>
      </c>
      <c r="C2" s="5">
        <v>1176.5999999999999</v>
      </c>
      <c r="D2" s="5">
        <f t="shared" ref="D2:D33" si="0">LN(B2)</f>
        <v>7.1164022609436399</v>
      </c>
      <c r="E2" s="5">
        <f t="shared" ref="E2:E33" si="1">LN(C2)</f>
        <v>7.0703842024303558</v>
      </c>
      <c r="F2" s="5"/>
      <c r="G2" s="5"/>
    </row>
    <row r="3" spans="1:7" x14ac:dyDescent="0.25">
      <c r="A3" s="21">
        <v>44592</v>
      </c>
      <c r="B3" s="5">
        <v>1208.23</v>
      </c>
      <c r="C3" s="5">
        <v>1192.5999999999999</v>
      </c>
      <c r="D3" s="5">
        <f t="shared" si="0"/>
        <v>7.0969117577224781</v>
      </c>
      <c r="E3" s="5">
        <f t="shared" si="1"/>
        <v>7.0838910766890058</v>
      </c>
      <c r="F3" s="5">
        <f t="shared" ref="F3:F50" si="2">D3-D2</f>
        <v>-1.9490503221161859E-2</v>
      </c>
      <c r="G3" s="5">
        <f t="shared" ref="G3:G50" si="3">E3-E2</f>
        <v>1.3506874258649937E-2</v>
      </c>
    </row>
    <row r="4" spans="1:7" x14ac:dyDescent="0.25">
      <c r="A4" s="21">
        <v>44620</v>
      </c>
      <c r="B4" s="5">
        <v>1171.31</v>
      </c>
      <c r="C4" s="5">
        <v>1150.2</v>
      </c>
      <c r="D4" s="5">
        <f t="shared" si="0"/>
        <v>7.0658780595617952</v>
      </c>
      <c r="E4" s="5">
        <f t="shared" si="1"/>
        <v>7.0476911192796541</v>
      </c>
      <c r="F4" s="5">
        <f t="shared" si="2"/>
        <v>-3.103369816068291E-2</v>
      </c>
      <c r="G4" s="5">
        <f t="shared" si="3"/>
        <v>-3.6199957409351669E-2</v>
      </c>
    </row>
    <row r="5" spans="1:7" x14ac:dyDescent="0.25">
      <c r="A5" s="21">
        <v>44651</v>
      </c>
      <c r="B5" s="5">
        <v>1141.79</v>
      </c>
      <c r="C5" s="5">
        <v>1136.3</v>
      </c>
      <c r="D5" s="5">
        <f t="shared" si="0"/>
        <v>7.0403524853905628</v>
      </c>
      <c r="E5" s="5">
        <f t="shared" si="1"/>
        <v>7.0355326489239634</v>
      </c>
      <c r="F5" s="5">
        <f t="shared" si="2"/>
        <v>-2.5525574171232357E-2</v>
      </c>
      <c r="G5" s="5">
        <f t="shared" si="3"/>
        <v>-1.2158470355690731E-2</v>
      </c>
    </row>
    <row r="6" spans="1:7" x14ac:dyDescent="0.25">
      <c r="A6" s="21">
        <v>44680</v>
      </c>
      <c r="B6" s="5">
        <v>1076.19</v>
      </c>
      <c r="C6" s="5">
        <v>1086.7</v>
      </c>
      <c r="D6" s="5">
        <f t="shared" si="0"/>
        <v>6.9811823050589803</v>
      </c>
      <c r="E6" s="5">
        <f t="shared" si="1"/>
        <v>6.9909008600688063</v>
      </c>
      <c r="F6" s="5">
        <f t="shared" si="2"/>
        <v>-5.91701803315825E-2</v>
      </c>
      <c r="G6" s="5">
        <f t="shared" si="3"/>
        <v>-4.4631788855157062E-2</v>
      </c>
    </row>
    <row r="7" spans="1:7" x14ac:dyDescent="0.25">
      <c r="A7" s="21">
        <v>44712</v>
      </c>
      <c r="B7" s="5">
        <v>1077.67</v>
      </c>
      <c r="C7" s="5">
        <v>1082.4000000000001</v>
      </c>
      <c r="D7" s="5">
        <f t="shared" si="0"/>
        <v>6.9825565821549214</v>
      </c>
      <c r="E7" s="5">
        <f t="shared" si="1"/>
        <v>6.986936076856578</v>
      </c>
      <c r="F7" s="5">
        <f t="shared" si="2"/>
        <v>1.3742770959410677E-3</v>
      </c>
      <c r="G7" s="5">
        <f t="shared" si="3"/>
        <v>-3.9647832122282622E-3</v>
      </c>
    </row>
    <row r="8" spans="1:7" x14ac:dyDescent="0.25">
      <c r="A8" s="21">
        <v>44742</v>
      </c>
      <c r="B8" s="5">
        <v>1000.67</v>
      </c>
      <c r="C8" s="5">
        <v>1028.7</v>
      </c>
      <c r="D8" s="5">
        <f t="shared" si="0"/>
        <v>6.9084250546323407</v>
      </c>
      <c r="E8" s="5">
        <f t="shared" si="1"/>
        <v>6.9360511481369844</v>
      </c>
      <c r="F8" s="5">
        <f t="shared" si="2"/>
        <v>-7.4131527522580676E-2</v>
      </c>
      <c r="G8" s="5">
        <f t="shared" si="3"/>
        <v>-5.0884928719593603E-2</v>
      </c>
    </row>
    <row r="9" spans="1:7" x14ac:dyDescent="0.25">
      <c r="A9" s="21">
        <v>44771</v>
      </c>
      <c r="B9" s="5">
        <v>993.78</v>
      </c>
      <c r="C9" s="5">
        <v>1009.6</v>
      </c>
      <c r="D9" s="5">
        <f t="shared" si="0"/>
        <v>6.9015158541921178</v>
      </c>
      <c r="E9" s="5">
        <f t="shared" si="1"/>
        <v>6.9173094917869484</v>
      </c>
      <c r="F9" s="5">
        <f t="shared" si="2"/>
        <v>-6.9092004402229179E-3</v>
      </c>
      <c r="G9" s="5">
        <f t="shared" si="3"/>
        <v>-1.8741656350035996E-2</v>
      </c>
    </row>
    <row r="10" spans="1:7" x14ac:dyDescent="0.25">
      <c r="A10" s="21">
        <v>44804</v>
      </c>
      <c r="B10" s="5">
        <v>994.11</v>
      </c>
      <c r="C10" s="5">
        <v>1014.5</v>
      </c>
      <c r="D10" s="5">
        <f t="shared" si="0"/>
        <v>6.9018478645176708</v>
      </c>
      <c r="E10" s="5">
        <f t="shared" si="1"/>
        <v>6.9221511592658693</v>
      </c>
      <c r="F10" s="5">
        <f t="shared" si="2"/>
        <v>3.3201032555307819E-4</v>
      </c>
      <c r="G10" s="5">
        <f t="shared" si="3"/>
        <v>4.8416674789208969E-3</v>
      </c>
    </row>
    <row r="11" spans="1:7" x14ac:dyDescent="0.25">
      <c r="A11" s="21">
        <v>44834</v>
      </c>
      <c r="B11" s="5">
        <v>875.79</v>
      </c>
      <c r="C11" s="5">
        <v>920.9</v>
      </c>
      <c r="D11" s="5">
        <f t="shared" si="0"/>
        <v>6.7751263361701168</v>
      </c>
      <c r="E11" s="5">
        <f t="shared" si="1"/>
        <v>6.8253514527273209</v>
      </c>
      <c r="F11" s="5">
        <f t="shared" si="2"/>
        <v>-0.12672152834755401</v>
      </c>
      <c r="G11" s="5">
        <f t="shared" si="3"/>
        <v>-9.6799706538548413E-2</v>
      </c>
    </row>
    <row r="12" spans="1:7" x14ac:dyDescent="0.25">
      <c r="A12" s="21">
        <v>44865</v>
      </c>
      <c r="B12" s="5">
        <v>848.16</v>
      </c>
      <c r="C12" s="5">
        <v>907.5</v>
      </c>
      <c r="D12" s="5">
        <f t="shared" si="0"/>
        <v>6.7430692972394963</v>
      </c>
      <c r="E12" s="5">
        <f t="shared" si="1"/>
        <v>6.8106935661390056</v>
      </c>
      <c r="F12" s="5">
        <f t="shared" si="2"/>
        <v>-3.2057038930620507E-2</v>
      </c>
      <c r="G12" s="5">
        <f t="shared" si="3"/>
        <v>-1.465788658831535E-2</v>
      </c>
    </row>
    <row r="13" spans="1:7" x14ac:dyDescent="0.25">
      <c r="A13" s="21">
        <v>44895</v>
      </c>
      <c r="B13" s="5">
        <v>972.29</v>
      </c>
      <c r="C13" s="5">
        <v>1039.3</v>
      </c>
      <c r="D13" s="5">
        <f t="shared" si="0"/>
        <v>6.8796541138712275</v>
      </c>
      <c r="E13" s="5">
        <f t="shared" si="1"/>
        <v>6.9463026885943755</v>
      </c>
      <c r="F13" s="5">
        <f t="shared" si="2"/>
        <v>0.13658481663173117</v>
      </c>
      <c r="G13" s="5">
        <f t="shared" si="3"/>
        <v>0.13560912245536993</v>
      </c>
    </row>
    <row r="14" spans="1:7" x14ac:dyDescent="0.25">
      <c r="A14" s="21">
        <v>44925</v>
      </c>
      <c r="B14" s="5">
        <v>956.38</v>
      </c>
      <c r="C14" s="5">
        <v>1009.9</v>
      </c>
      <c r="D14" s="5">
        <f t="shared" si="0"/>
        <v>6.8631553236131113</v>
      </c>
      <c r="E14" s="5">
        <f t="shared" si="1"/>
        <v>6.9176065950325114</v>
      </c>
      <c r="F14" s="5">
        <f t="shared" si="2"/>
        <v>-1.649879025811618E-2</v>
      </c>
      <c r="G14" s="5">
        <f t="shared" si="3"/>
        <v>-2.8696093561864089E-2</v>
      </c>
    </row>
    <row r="15" spans="1:7" x14ac:dyDescent="0.25">
      <c r="A15" s="21">
        <v>44957</v>
      </c>
      <c r="B15" s="5">
        <v>1031.5</v>
      </c>
      <c r="C15" s="5">
        <v>1088.0999999999999</v>
      </c>
      <c r="D15" s="5">
        <f t="shared" si="0"/>
        <v>6.9387693325113062</v>
      </c>
      <c r="E15" s="5">
        <f t="shared" si="1"/>
        <v>6.9921883349569667</v>
      </c>
      <c r="F15" s="5">
        <f t="shared" si="2"/>
        <v>7.5614008898194918E-2</v>
      </c>
      <c r="G15" s="5">
        <f t="shared" si="3"/>
        <v>7.458173992445527E-2</v>
      </c>
    </row>
    <row r="16" spans="1:7" x14ac:dyDescent="0.25">
      <c r="A16" s="21">
        <v>44985</v>
      </c>
      <c r="B16" s="5">
        <v>964.01</v>
      </c>
      <c r="C16" s="5">
        <v>1020.9</v>
      </c>
      <c r="D16" s="5">
        <f t="shared" si="0"/>
        <v>6.8711016680007253</v>
      </c>
      <c r="E16" s="5">
        <f t="shared" si="1"/>
        <v>6.9284398701749694</v>
      </c>
      <c r="F16" s="5">
        <f t="shared" si="2"/>
        <v>-6.7667664510580927E-2</v>
      </c>
      <c r="G16" s="5">
        <f t="shared" si="3"/>
        <v>-6.3748464781997249E-2</v>
      </c>
    </row>
    <row r="17" spans="1:7" x14ac:dyDescent="0.25">
      <c r="A17" s="21">
        <v>45016</v>
      </c>
      <c r="B17" s="5">
        <v>990.28</v>
      </c>
      <c r="C17" s="5">
        <v>1032.9000000000001</v>
      </c>
      <c r="D17" s="5">
        <f t="shared" si="0"/>
        <v>6.8979877314230844</v>
      </c>
      <c r="E17" s="5">
        <f t="shared" si="1"/>
        <v>6.9401256590125877</v>
      </c>
      <c r="F17" s="5">
        <f t="shared" si="2"/>
        <v>2.6886063422359108E-2</v>
      </c>
      <c r="G17" s="5">
        <f t="shared" si="3"/>
        <v>1.1685788837618283E-2</v>
      </c>
    </row>
    <row r="18" spans="1:7" x14ac:dyDescent="0.25">
      <c r="A18" s="21">
        <v>45044</v>
      </c>
      <c r="B18" s="5">
        <v>977.05</v>
      </c>
      <c r="C18" s="5">
        <v>1019.5</v>
      </c>
      <c r="D18" s="5">
        <f t="shared" si="0"/>
        <v>6.8845378278059526</v>
      </c>
      <c r="E18" s="5">
        <f t="shared" si="1"/>
        <v>6.9270675900145102</v>
      </c>
      <c r="F18" s="5">
        <f t="shared" si="2"/>
        <v>-1.3449903617131831E-2</v>
      </c>
      <c r="G18" s="5">
        <f t="shared" si="3"/>
        <v>-1.3058068998077488E-2</v>
      </c>
    </row>
    <row r="19" spans="1:7" x14ac:dyDescent="0.25">
      <c r="A19" s="21">
        <v>45077</v>
      </c>
      <c r="B19" s="5">
        <v>958.53</v>
      </c>
      <c r="C19" s="5">
        <v>999</v>
      </c>
      <c r="D19" s="5">
        <f t="shared" si="0"/>
        <v>6.8654008609004373</v>
      </c>
      <c r="E19" s="5">
        <f t="shared" si="1"/>
        <v>6.9067547786485539</v>
      </c>
      <c r="F19" s="5">
        <f t="shared" si="2"/>
        <v>-1.9136966905515251E-2</v>
      </c>
      <c r="G19" s="5">
        <f t="shared" si="3"/>
        <v>-2.0312811365956307E-2</v>
      </c>
    </row>
    <row r="20" spans="1:7" x14ac:dyDescent="0.25">
      <c r="A20" s="21">
        <v>45107</v>
      </c>
      <c r="B20" s="5">
        <v>989.48</v>
      </c>
      <c r="C20" s="5">
        <v>1054.9000000000001</v>
      </c>
      <c r="D20" s="5">
        <f t="shared" si="0"/>
        <v>6.8971795526099529</v>
      </c>
      <c r="E20" s="5">
        <f t="shared" si="1"/>
        <v>6.9612012546877633</v>
      </c>
      <c r="F20" s="5">
        <f t="shared" si="2"/>
        <v>3.1778691709515527E-2</v>
      </c>
      <c r="G20" s="5">
        <f t="shared" si="3"/>
        <v>5.4446476039209379E-2</v>
      </c>
    </row>
    <row r="21" spans="1:7" x14ac:dyDescent="0.25">
      <c r="A21" s="21">
        <v>45138</v>
      </c>
      <c r="B21" s="5">
        <v>1046.9100000000001</v>
      </c>
      <c r="C21" s="5">
        <v>1111.9000000000001</v>
      </c>
      <c r="D21" s="5">
        <f t="shared" si="0"/>
        <v>6.9535982472903877</v>
      </c>
      <c r="E21" s="5">
        <f t="shared" si="1"/>
        <v>7.0138255427092036</v>
      </c>
      <c r="F21" s="5">
        <f t="shared" si="2"/>
        <v>5.6418694680434811E-2</v>
      </c>
      <c r="G21" s="5">
        <f t="shared" si="3"/>
        <v>5.2624288021440258E-2</v>
      </c>
    </row>
    <row r="22" spans="1:7" x14ac:dyDescent="0.25">
      <c r="A22" s="21">
        <v>45169</v>
      </c>
      <c r="B22" s="5">
        <v>980.33</v>
      </c>
      <c r="C22" s="5">
        <v>1036.8</v>
      </c>
      <c r="D22" s="5">
        <f t="shared" si="0"/>
        <v>6.8878892496760926</v>
      </c>
      <c r="E22" s="5">
        <f t="shared" si="1"/>
        <v>6.9438943255980101</v>
      </c>
      <c r="F22" s="5">
        <f t="shared" si="2"/>
        <v>-6.570899761429505E-2</v>
      </c>
      <c r="G22" s="5">
        <f t="shared" si="3"/>
        <v>-6.9931217111193433E-2</v>
      </c>
    </row>
    <row r="23" spans="1:7" x14ac:dyDescent="0.25">
      <c r="A23" s="21">
        <v>45198</v>
      </c>
      <c r="B23" s="5">
        <v>952.78</v>
      </c>
      <c r="C23" s="5">
        <v>1006.6</v>
      </c>
      <c r="D23" s="5">
        <f t="shared" si="0"/>
        <v>6.8593840270567172</v>
      </c>
      <c r="E23" s="5">
        <f t="shared" si="1"/>
        <v>6.9143335943422599</v>
      </c>
      <c r="F23" s="5">
        <f t="shared" si="2"/>
        <v>-2.8505222619375381E-2</v>
      </c>
      <c r="G23" s="5">
        <f t="shared" si="3"/>
        <v>-2.9560731255750206E-2</v>
      </c>
    </row>
    <row r="24" spans="1:7" x14ac:dyDescent="0.25">
      <c r="A24" s="21">
        <v>45230</v>
      </c>
      <c r="B24" s="5">
        <v>915.2</v>
      </c>
      <c r="C24" s="5">
        <v>969.4</v>
      </c>
      <c r="D24" s="5">
        <f t="shared" si="0"/>
        <v>6.8191426206255334</v>
      </c>
      <c r="E24" s="5">
        <f t="shared" si="1"/>
        <v>6.8766773234112755</v>
      </c>
      <c r="F24" s="5">
        <f t="shared" si="2"/>
        <v>-4.024140643118379E-2</v>
      </c>
      <c r="G24" s="5">
        <f t="shared" si="3"/>
        <v>-3.7656270930984448E-2</v>
      </c>
    </row>
    <row r="25" spans="1:7" x14ac:dyDescent="0.25">
      <c r="A25" s="21">
        <v>45260</v>
      </c>
      <c r="B25" s="5">
        <v>987.1</v>
      </c>
      <c r="C25" s="5">
        <v>1031</v>
      </c>
      <c r="D25" s="5">
        <f t="shared" si="0"/>
        <v>6.8947713514238425</v>
      </c>
      <c r="E25" s="5">
        <f t="shared" si="1"/>
        <v>6.9382844840169602</v>
      </c>
      <c r="F25" s="5">
        <f t="shared" si="2"/>
        <v>7.5628730798309007E-2</v>
      </c>
      <c r="G25" s="5">
        <f t="shared" si="3"/>
        <v>6.1607160605684719E-2</v>
      </c>
    </row>
    <row r="26" spans="1:7" x14ac:dyDescent="0.25">
      <c r="A26" s="21">
        <v>45289</v>
      </c>
      <c r="B26" s="5">
        <v>1023.74</v>
      </c>
      <c r="C26" s="5">
        <v>1059.8</v>
      </c>
      <c r="D26" s="5">
        <f t="shared" si="0"/>
        <v>6.9312178671098037</v>
      </c>
      <c r="E26" s="5">
        <f t="shared" si="1"/>
        <v>6.9658354900586614</v>
      </c>
      <c r="F26" s="5">
        <f t="shared" si="2"/>
        <v>3.6446515685961245E-2</v>
      </c>
      <c r="G26" s="5">
        <f t="shared" si="3"/>
        <v>2.7551006041701243E-2</v>
      </c>
    </row>
    <row r="27" spans="1:7" x14ac:dyDescent="0.25">
      <c r="A27" s="21">
        <v>45322</v>
      </c>
      <c r="B27" s="5">
        <v>975.8</v>
      </c>
      <c r="C27" s="5">
        <v>1006.9</v>
      </c>
      <c r="D27" s="5">
        <f t="shared" si="0"/>
        <v>6.8832576473817371</v>
      </c>
      <c r="E27" s="5">
        <f t="shared" si="1"/>
        <v>6.9146315829215688</v>
      </c>
      <c r="F27" s="5">
        <f t="shared" si="2"/>
        <v>-4.7960219728066633E-2</v>
      </c>
      <c r="G27" s="5">
        <f t="shared" si="3"/>
        <v>-5.1203907137092664E-2</v>
      </c>
    </row>
    <row r="28" spans="1:7" x14ac:dyDescent="0.25">
      <c r="A28" s="21">
        <v>45351</v>
      </c>
      <c r="B28" s="5">
        <v>1020.94</v>
      </c>
      <c r="C28" s="5">
        <v>1055.7</v>
      </c>
      <c r="D28" s="5">
        <f t="shared" si="0"/>
        <v>6.928479050522113</v>
      </c>
      <c r="E28" s="5">
        <f t="shared" si="1"/>
        <v>6.9619593329956491</v>
      </c>
      <c r="F28" s="5">
        <f t="shared" si="2"/>
        <v>4.5221403140375926E-2</v>
      </c>
      <c r="G28" s="5">
        <f t="shared" si="3"/>
        <v>4.7327750074080299E-2</v>
      </c>
    </row>
    <row r="29" spans="1:7" x14ac:dyDescent="0.25">
      <c r="A29" s="21">
        <v>45380</v>
      </c>
      <c r="B29" s="5">
        <v>1043.2</v>
      </c>
      <c r="C29" s="5">
        <f>C28</f>
        <v>1055.7</v>
      </c>
      <c r="D29" s="5">
        <f t="shared" si="0"/>
        <v>6.9500481911723888</v>
      </c>
      <c r="E29" s="5">
        <f t="shared" si="1"/>
        <v>6.9619593329956491</v>
      </c>
      <c r="F29" s="5">
        <f t="shared" si="2"/>
        <v>2.156914065027582E-2</v>
      </c>
      <c r="G29" s="5">
        <f t="shared" si="3"/>
        <v>0</v>
      </c>
    </row>
    <row r="30" spans="1:7" x14ac:dyDescent="0.25">
      <c r="A30" s="21">
        <v>45412</v>
      </c>
      <c r="B30" s="5">
        <v>1045.95</v>
      </c>
      <c r="C30" s="5">
        <v>1086.0999999999999</v>
      </c>
      <c r="D30" s="5">
        <f t="shared" si="0"/>
        <v>6.9526808423351296</v>
      </c>
      <c r="E30" s="5">
        <f t="shared" si="1"/>
        <v>6.9903485772859906</v>
      </c>
      <c r="F30" s="5">
        <f t="shared" si="2"/>
        <v>2.6326511627408067E-3</v>
      </c>
      <c r="G30" s="5">
        <f t="shared" si="3"/>
        <v>2.8389244290341509E-2</v>
      </c>
    </row>
    <row r="31" spans="1:7" x14ac:dyDescent="0.25">
      <c r="A31" s="21">
        <v>45443</v>
      </c>
      <c r="B31" s="5">
        <v>1048.96</v>
      </c>
      <c r="C31" s="5">
        <v>1100.9000000000001</v>
      </c>
      <c r="D31" s="5">
        <f t="shared" si="0"/>
        <v>6.9555544761154104</v>
      </c>
      <c r="E31" s="5">
        <f t="shared" si="1"/>
        <v>7.0038833060763572</v>
      </c>
      <c r="F31" s="5">
        <f t="shared" si="2"/>
        <v>2.8736337802808265E-3</v>
      </c>
      <c r="G31" s="5">
        <f t="shared" si="3"/>
        <v>1.3534728790366657E-2</v>
      </c>
    </row>
    <row r="32" spans="1:7" x14ac:dyDescent="0.25">
      <c r="A32" s="21">
        <v>45471</v>
      </c>
      <c r="B32" s="5">
        <v>1086.25</v>
      </c>
      <c r="C32" s="5">
        <v>1125.5</v>
      </c>
      <c r="D32" s="5">
        <f t="shared" si="0"/>
        <v>6.9904866765796019</v>
      </c>
      <c r="E32" s="5">
        <f t="shared" si="1"/>
        <v>7.025982660346787</v>
      </c>
      <c r="F32" s="5">
        <f t="shared" si="2"/>
        <v>3.4932200464191432E-2</v>
      </c>
      <c r="G32" s="5">
        <f t="shared" si="3"/>
        <v>2.209935427042975E-2</v>
      </c>
    </row>
    <row r="33" spans="1:7" x14ac:dyDescent="0.25">
      <c r="A33" s="21">
        <v>45504</v>
      </c>
      <c r="B33" s="5">
        <v>1084.77</v>
      </c>
      <c r="C33" s="5">
        <v>1128.8</v>
      </c>
      <c r="D33" s="5">
        <f t="shared" si="0"/>
        <v>6.9891232619364718</v>
      </c>
      <c r="E33" s="5">
        <f t="shared" si="1"/>
        <v>7.0289104005386038</v>
      </c>
      <c r="F33" s="5">
        <f t="shared" si="2"/>
        <v>-1.3634146431300564E-3</v>
      </c>
      <c r="G33" s="5">
        <f t="shared" si="3"/>
        <v>2.9277401918168522E-3</v>
      </c>
    </row>
    <row r="34" spans="1:7" x14ac:dyDescent="0.25">
      <c r="A34" s="21">
        <v>45534</v>
      </c>
      <c r="B34" s="5">
        <v>1099.92</v>
      </c>
      <c r="C34" s="5">
        <v>1126.7</v>
      </c>
      <c r="D34" s="5">
        <f t="shared" ref="D34:D50" si="4">LN(B34)</f>
        <v>7.0029927288689784</v>
      </c>
      <c r="E34" s="5">
        <f t="shared" ref="E34:E50" si="5">LN(C34)</f>
        <v>7.0270482851701201</v>
      </c>
      <c r="F34" s="5">
        <f t="shared" si="2"/>
        <v>1.3869466932506569E-2</v>
      </c>
      <c r="G34" s="5">
        <f t="shared" si="3"/>
        <v>-1.8621153684836855E-3</v>
      </c>
    </row>
    <row r="35" spans="1:7" x14ac:dyDescent="0.25">
      <c r="A35" s="21">
        <v>45565</v>
      </c>
      <c r="B35" s="5">
        <v>1170.8499999999999</v>
      </c>
      <c r="C35" s="5">
        <v>1186</v>
      </c>
      <c r="D35" s="5">
        <f t="shared" si="4"/>
        <v>7.0654852597480211</v>
      </c>
      <c r="E35" s="5">
        <f t="shared" si="5"/>
        <v>7.0783415795576712</v>
      </c>
      <c r="F35" s="5">
        <f t="shared" si="2"/>
        <v>6.2492530879042718E-2</v>
      </c>
      <c r="G35" s="5">
        <f t="shared" si="3"/>
        <v>5.1293294387551036E-2</v>
      </c>
    </row>
    <row r="36" spans="1:7" x14ac:dyDescent="0.25">
      <c r="A36" s="21">
        <v>45596</v>
      </c>
      <c r="B36" s="5">
        <v>1119.52</v>
      </c>
      <c r="C36" s="5">
        <v>1146.7</v>
      </c>
      <c r="D36" s="5">
        <f t="shared" si="4"/>
        <v>7.0206553009975865</v>
      </c>
      <c r="E36" s="5">
        <f t="shared" si="5"/>
        <v>7.044643531044259</v>
      </c>
      <c r="F36" s="5">
        <f t="shared" si="2"/>
        <v>-4.4829958750434606E-2</v>
      </c>
      <c r="G36" s="5">
        <f t="shared" si="3"/>
        <v>-3.3698048513412182E-2</v>
      </c>
    </row>
    <row r="37" spans="1:7" x14ac:dyDescent="0.25">
      <c r="A37" s="21">
        <v>45625</v>
      </c>
      <c r="B37" s="5">
        <v>1078.57</v>
      </c>
      <c r="C37" s="5">
        <v>1111.7</v>
      </c>
      <c r="D37" s="5">
        <f t="shared" si="4"/>
        <v>6.9833913686835682</v>
      </c>
      <c r="E37" s="5">
        <f t="shared" si="5"/>
        <v>7.0136456542395695</v>
      </c>
      <c r="F37" s="5">
        <f t="shared" si="2"/>
        <v>-3.7263932314018255E-2</v>
      </c>
      <c r="G37" s="5">
        <f t="shared" si="3"/>
        <v>-3.0997876804689461E-2</v>
      </c>
    </row>
    <row r="38" spans="1:7" x14ac:dyDescent="0.25">
      <c r="A38" s="21">
        <v>45657</v>
      </c>
      <c r="B38" s="5">
        <v>1075.48</v>
      </c>
      <c r="C38" s="5">
        <v>1090.5</v>
      </c>
      <c r="D38" s="5">
        <f t="shared" si="4"/>
        <v>6.9805223525330176</v>
      </c>
      <c r="E38" s="5">
        <f t="shared" si="5"/>
        <v>6.9943915856416838</v>
      </c>
      <c r="F38" s="5">
        <f t="shared" si="2"/>
        <v>-2.869016150550685E-3</v>
      </c>
      <c r="G38" s="5">
        <f t="shared" si="3"/>
        <v>-1.9254068597885698E-2</v>
      </c>
    </row>
    <row r="39" spans="1:7" x14ac:dyDescent="0.25">
      <c r="A39" s="21">
        <v>45688</v>
      </c>
      <c r="B39" s="5">
        <v>1093.3699999999999</v>
      </c>
      <c r="C39" s="5">
        <v>1106.5</v>
      </c>
      <c r="D39" s="5">
        <f t="shared" si="4"/>
        <v>6.9970199487331071</v>
      </c>
      <c r="E39" s="5">
        <f t="shared" si="5"/>
        <v>7.0089571594911044</v>
      </c>
      <c r="F39" s="5">
        <f t="shared" si="2"/>
        <v>1.6497596200089504E-2</v>
      </c>
      <c r="G39" s="5">
        <f t="shared" si="3"/>
        <v>1.4565573849420588E-2</v>
      </c>
    </row>
    <row r="40" spans="1:7" x14ac:dyDescent="0.25">
      <c r="A40" s="21">
        <v>45716</v>
      </c>
      <c r="B40" s="5">
        <v>1097.25</v>
      </c>
      <c r="C40" s="5">
        <v>1112.0999999999999</v>
      </c>
      <c r="D40" s="5">
        <f t="shared" si="4"/>
        <v>7.0005623285683436</v>
      </c>
      <c r="E40" s="5">
        <f t="shared" si="5"/>
        <v>7.0140053988247963</v>
      </c>
      <c r="F40" s="5">
        <f t="shared" si="2"/>
        <v>3.542379835236531E-3</v>
      </c>
      <c r="G40" s="5">
        <f t="shared" si="3"/>
        <v>5.0482393336919174E-3</v>
      </c>
    </row>
    <row r="41" spans="1:7" x14ac:dyDescent="0.25">
      <c r="A41" s="21">
        <v>45747</v>
      </c>
      <c r="B41" s="5">
        <v>1101.4000000000001</v>
      </c>
      <c r="C41" s="5">
        <v>1123</v>
      </c>
      <c r="D41" s="5">
        <f t="shared" si="4"/>
        <v>7.0043373768283814</v>
      </c>
      <c r="E41" s="5">
        <f t="shared" si="5"/>
        <v>7.0237589547384429</v>
      </c>
      <c r="F41" s="5">
        <f t="shared" si="2"/>
        <v>3.7750482600378277E-3</v>
      </c>
      <c r="G41" s="5">
        <f t="shared" si="3"/>
        <v>9.7535559136465722E-3</v>
      </c>
    </row>
    <row r="42" spans="1:7" x14ac:dyDescent="0.25">
      <c r="A42" s="21">
        <v>45777</v>
      </c>
      <c r="B42" s="5">
        <v>1112.8399999999999</v>
      </c>
      <c r="C42" s="5">
        <v>1120.9000000000001</v>
      </c>
      <c r="D42" s="5">
        <f t="shared" si="4"/>
        <v>7.0146705853262619</v>
      </c>
      <c r="E42" s="5">
        <f t="shared" si="5"/>
        <v>7.0218872130270498</v>
      </c>
      <c r="F42" s="5">
        <f t="shared" si="2"/>
        <v>1.0333208497880442E-2</v>
      </c>
      <c r="G42" s="5">
        <f t="shared" si="3"/>
        <v>-1.8717417113931489E-3</v>
      </c>
    </row>
    <row r="43" spans="1:7" x14ac:dyDescent="0.25">
      <c r="A43" s="21">
        <v>45807</v>
      </c>
      <c r="B43" s="5">
        <v>1157.3399999999999</v>
      </c>
      <c r="C43" s="5">
        <v>1166.7</v>
      </c>
      <c r="D43" s="5">
        <f t="shared" si="4"/>
        <v>7.053879547464204</v>
      </c>
      <c r="E43" s="5">
        <f t="shared" si="5"/>
        <v>7.0619345298298111</v>
      </c>
      <c r="F43" s="5">
        <f t="shared" si="2"/>
        <v>3.9208962137942116E-2</v>
      </c>
      <c r="G43" s="5">
        <f t="shared" si="3"/>
        <v>4.0047316802761301E-2</v>
      </c>
    </row>
    <row r="44" spans="1:7" x14ac:dyDescent="0.25">
      <c r="A44" s="21">
        <v>45838</v>
      </c>
      <c r="B44" s="5">
        <v>1222.78</v>
      </c>
      <c r="C44" s="5">
        <v>1247.5</v>
      </c>
      <c r="D44" s="5">
        <f t="shared" si="4"/>
        <v>7.1088822339784388</v>
      </c>
      <c r="E44" s="5">
        <f t="shared" si="5"/>
        <v>7.1288968276256739</v>
      </c>
      <c r="F44" s="5">
        <f t="shared" si="2"/>
        <v>5.5002686514234789E-2</v>
      </c>
      <c r="G44" s="5">
        <f t="shared" si="3"/>
        <v>6.6962297795862824E-2</v>
      </c>
    </row>
    <row r="45" spans="1:7" x14ac:dyDescent="0.25">
      <c r="A45" s="21">
        <v>45869</v>
      </c>
      <c r="B45" s="5">
        <v>1243.23</v>
      </c>
      <c r="C45" s="5">
        <v>1254.2</v>
      </c>
      <c r="D45" s="5">
        <f t="shared" si="4"/>
        <v>7.1254681105963602</v>
      </c>
      <c r="E45" s="5">
        <f t="shared" si="5"/>
        <v>7.1342531981089206</v>
      </c>
      <c r="F45" s="5">
        <f t="shared" si="2"/>
        <v>1.6585876617921436E-2</v>
      </c>
      <c r="G45" s="5">
        <f t="shared" si="3"/>
        <v>5.3563704832466641E-3</v>
      </c>
    </row>
    <row r="46" spans="1:7" x14ac:dyDescent="0.25">
      <c r="A46" s="21">
        <v>45898</v>
      </c>
      <c r="B46" s="5">
        <v>1258.44</v>
      </c>
      <c r="C46" s="5">
        <v>1280</v>
      </c>
      <c r="D46" s="5">
        <f t="shared" si="4"/>
        <v>7.137628137634314</v>
      </c>
      <c r="E46" s="5">
        <f t="shared" si="5"/>
        <v>7.1546153569136628</v>
      </c>
      <c r="F46" s="5">
        <f t="shared" si="2"/>
        <v>1.2160027037953824E-2</v>
      </c>
      <c r="G46" s="5">
        <f t="shared" si="3"/>
        <v>2.0362158804742236E-2</v>
      </c>
    </row>
    <row r="47" spans="1:7" x14ac:dyDescent="0.25">
      <c r="A47" s="21">
        <v>45930</v>
      </c>
      <c r="B47" s="5">
        <v>1346.05</v>
      </c>
      <c r="C47" s="5">
        <v>1365.6</v>
      </c>
      <c r="D47" s="5">
        <f t="shared" si="4"/>
        <v>7.2049296566172627</v>
      </c>
      <c r="E47" s="5">
        <f t="shared" si="5"/>
        <v>7.2193491714802311</v>
      </c>
      <c r="F47" s="5">
        <f t="shared" si="2"/>
        <v>6.7301518982948672E-2</v>
      </c>
      <c r="G47" s="5">
        <f t="shared" si="3"/>
        <v>6.4733814566568348E-2</v>
      </c>
    </row>
    <row r="48" spans="1:7" x14ac:dyDescent="0.25">
      <c r="A48" s="21">
        <v>45961</v>
      </c>
      <c r="B48" s="5">
        <v>1401.55</v>
      </c>
      <c r="C48" s="5">
        <v>1413.9</v>
      </c>
      <c r="D48" s="5">
        <f t="shared" si="4"/>
        <v>7.2453340460298303</v>
      </c>
      <c r="E48" s="5">
        <f t="shared" si="5"/>
        <v>7.2541071225977953</v>
      </c>
      <c r="F48" s="5">
        <f t="shared" si="2"/>
        <v>4.0404389412567632E-2</v>
      </c>
      <c r="G48" s="5">
        <f t="shared" si="3"/>
        <v>3.475795111756419E-2</v>
      </c>
    </row>
    <row r="49" spans="1:7" x14ac:dyDescent="0.25">
      <c r="A49" s="21">
        <v>45989</v>
      </c>
      <c r="B49" s="5">
        <v>1366.92</v>
      </c>
      <c r="C49" s="5">
        <v>1388.6</v>
      </c>
      <c r="D49" s="5">
        <f t="shared" si="4"/>
        <v>7.220315312699821</v>
      </c>
      <c r="E49" s="5">
        <f t="shared" si="5"/>
        <v>7.2360513243191731</v>
      </c>
      <c r="F49" s="5">
        <f t="shared" si="2"/>
        <v>-2.5018733330009368E-2</v>
      </c>
      <c r="G49" s="5">
        <f t="shared" si="3"/>
        <v>-1.8055798278622248E-2</v>
      </c>
    </row>
    <row r="50" spans="1:7" x14ac:dyDescent="0.25">
      <c r="A50" s="21">
        <v>46022</v>
      </c>
      <c r="B50" s="5">
        <v>1404.37</v>
      </c>
      <c r="C50" s="5">
        <v>1411.4</v>
      </c>
      <c r="D50" s="5">
        <f t="shared" si="4"/>
        <v>7.2473440826306303</v>
      </c>
      <c r="E50" s="5">
        <f t="shared" si="5"/>
        <v>7.2523373985667297</v>
      </c>
      <c r="F50" s="5">
        <f t="shared" si="2"/>
        <v>2.7028769930809382E-2</v>
      </c>
      <c r="G50" s="5">
        <f t="shared" si="3"/>
        <v>1.628607424755657E-2</v>
      </c>
    </row>
    <row r="51" spans="1:7" x14ac:dyDescent="0.25">
      <c r="A51" s="16"/>
      <c r="C51" s="11"/>
    </row>
    <row r="52" spans="1:7" x14ac:dyDescent="0.25">
      <c r="A52" s="16"/>
      <c r="C52" s="11"/>
    </row>
    <row r="53" spans="1:7" x14ac:dyDescent="0.25">
      <c r="A53" s="16"/>
      <c r="C53" s="11"/>
    </row>
    <row r="54" spans="1:7" x14ac:dyDescent="0.25">
      <c r="A54" s="16"/>
      <c r="C54" s="11"/>
    </row>
    <row r="55" spans="1:7" x14ac:dyDescent="0.25">
      <c r="A55" s="16"/>
      <c r="C55" s="11"/>
    </row>
    <row r="56" spans="1:7" x14ac:dyDescent="0.25">
      <c r="A56" s="16"/>
      <c r="C56" s="11"/>
    </row>
    <row r="57" spans="1:7" x14ac:dyDescent="0.25">
      <c r="A57" s="16"/>
      <c r="C57" s="11"/>
    </row>
    <row r="58" spans="1:7" x14ac:dyDescent="0.25">
      <c r="A58" s="16"/>
      <c r="C58" s="11"/>
    </row>
    <row r="59" spans="1:7" x14ac:dyDescent="0.25">
      <c r="A59" s="16"/>
      <c r="C59" s="11"/>
    </row>
    <row r="60" spans="1:7" x14ac:dyDescent="0.25">
      <c r="A60" s="16"/>
      <c r="C60" s="11"/>
    </row>
    <row r="61" spans="1:7" x14ac:dyDescent="0.25">
      <c r="A61" s="16"/>
      <c r="C61" s="11"/>
    </row>
    <row r="62" spans="1:7" x14ac:dyDescent="0.25">
      <c r="A62" s="16"/>
      <c r="C62" s="11"/>
    </row>
    <row r="63" spans="1:7" x14ac:dyDescent="0.25">
      <c r="A63" s="16"/>
      <c r="C63" s="11"/>
    </row>
    <row r="64" spans="1:7" x14ac:dyDescent="0.25">
      <c r="A64" s="16"/>
      <c r="C64" s="11"/>
    </row>
    <row r="65" spans="1:3" x14ac:dyDescent="0.25">
      <c r="A65" s="16"/>
      <c r="C65" s="11"/>
    </row>
    <row r="66" spans="1:3" x14ac:dyDescent="0.25">
      <c r="A66" s="16"/>
      <c r="C66" s="11"/>
    </row>
    <row r="67" spans="1:3" x14ac:dyDescent="0.25">
      <c r="A67" s="16"/>
      <c r="C67" s="11"/>
    </row>
    <row r="68" spans="1:3" x14ac:dyDescent="0.25">
      <c r="A68" s="16"/>
      <c r="C68" s="11"/>
    </row>
    <row r="69" spans="1:3" x14ac:dyDescent="0.25">
      <c r="A69" s="16"/>
      <c r="C69" s="11"/>
    </row>
    <row r="70" spans="1:3" x14ac:dyDescent="0.25">
      <c r="A70" s="16"/>
      <c r="C70" s="11"/>
    </row>
    <row r="71" spans="1:3" x14ac:dyDescent="0.25">
      <c r="A71" s="16"/>
      <c r="C71" s="11"/>
    </row>
    <row r="72" spans="1:3" x14ac:dyDescent="0.25">
      <c r="A72" s="16"/>
      <c r="C72" s="11"/>
    </row>
    <row r="73" spans="1:3" x14ac:dyDescent="0.25">
      <c r="A73" s="16"/>
      <c r="C73" s="11"/>
    </row>
    <row r="74" spans="1:3" x14ac:dyDescent="0.25">
      <c r="A74" s="16"/>
      <c r="C74" s="11"/>
    </row>
    <row r="75" spans="1:3" x14ac:dyDescent="0.25">
      <c r="A75" s="16"/>
      <c r="C75" s="11"/>
    </row>
    <row r="76" spans="1:3" x14ac:dyDescent="0.25">
      <c r="A76" s="16"/>
      <c r="C76" s="11"/>
    </row>
    <row r="77" spans="1:3" x14ac:dyDescent="0.25">
      <c r="A77" s="16"/>
      <c r="C77" s="11"/>
    </row>
    <row r="78" spans="1:3" x14ac:dyDescent="0.25">
      <c r="A78" s="16"/>
      <c r="C78" s="11"/>
    </row>
    <row r="79" spans="1:3" x14ac:dyDescent="0.25">
      <c r="A79" s="16"/>
      <c r="C79" s="11"/>
    </row>
    <row r="80" spans="1:3" x14ac:dyDescent="0.25">
      <c r="A80" s="16"/>
      <c r="C80" s="11"/>
    </row>
    <row r="81" spans="1:3" x14ac:dyDescent="0.25">
      <c r="A81" s="16"/>
      <c r="C81" s="11"/>
    </row>
    <row r="82" spans="1:3" x14ac:dyDescent="0.25">
      <c r="A82" s="16"/>
      <c r="C82" s="11"/>
    </row>
    <row r="83" spans="1:3" x14ac:dyDescent="0.25">
      <c r="A83" s="16"/>
      <c r="C83" s="11"/>
    </row>
    <row r="84" spans="1:3" x14ac:dyDescent="0.25">
      <c r="A84" s="16"/>
      <c r="C84" s="11"/>
    </row>
    <row r="85" spans="1:3" x14ac:dyDescent="0.25">
      <c r="A85" s="16"/>
      <c r="C85" s="11"/>
    </row>
    <row r="86" spans="1:3" x14ac:dyDescent="0.25">
      <c r="A86" s="16"/>
      <c r="C86" s="11"/>
    </row>
    <row r="87" spans="1:3" x14ac:dyDescent="0.25">
      <c r="A87" s="16"/>
      <c r="C87" s="11"/>
    </row>
    <row r="88" spans="1:3" x14ac:dyDescent="0.25">
      <c r="A88" s="16"/>
      <c r="C88" s="11"/>
    </row>
    <row r="89" spans="1:3" x14ac:dyDescent="0.25">
      <c r="A89" s="16"/>
      <c r="C89" s="11"/>
    </row>
    <row r="90" spans="1:3" x14ac:dyDescent="0.25">
      <c r="A90" s="16"/>
      <c r="C90" s="11"/>
    </row>
    <row r="91" spans="1:3" x14ac:dyDescent="0.25">
      <c r="A91" s="16"/>
      <c r="C91" s="11"/>
    </row>
    <row r="92" spans="1:3" x14ac:dyDescent="0.25">
      <c r="A92" s="16"/>
      <c r="C92" s="11"/>
    </row>
    <row r="93" spans="1:3" x14ac:dyDescent="0.25">
      <c r="A93" s="16"/>
      <c r="C93" s="11"/>
    </row>
    <row r="94" spans="1:3" x14ac:dyDescent="0.25">
      <c r="A94" s="16"/>
      <c r="C94" s="11"/>
    </row>
    <row r="95" spans="1:3" x14ac:dyDescent="0.25">
      <c r="A95" s="16"/>
      <c r="C95" s="11"/>
    </row>
    <row r="96" spans="1:3" x14ac:dyDescent="0.25">
      <c r="A96" s="16"/>
      <c r="C96" s="11"/>
    </row>
    <row r="97" spans="1:3" x14ac:dyDescent="0.25">
      <c r="A97" s="16"/>
      <c r="C97" s="11"/>
    </row>
    <row r="98" spans="1:3" x14ac:dyDescent="0.25">
      <c r="A98" s="16"/>
      <c r="C98" s="11"/>
    </row>
    <row r="99" spans="1:3" x14ac:dyDescent="0.25">
      <c r="A99" s="16"/>
      <c r="C99" s="11"/>
    </row>
    <row r="100" spans="1:3" x14ac:dyDescent="0.25">
      <c r="A100" s="16"/>
      <c r="C100" s="11"/>
    </row>
    <row r="101" spans="1:3" x14ac:dyDescent="0.25">
      <c r="A101" s="16"/>
      <c r="C101" s="11"/>
    </row>
    <row r="102" spans="1:3" x14ac:dyDescent="0.25">
      <c r="A102" s="16"/>
      <c r="C102" s="11"/>
    </row>
    <row r="103" spans="1:3" x14ac:dyDescent="0.25">
      <c r="A103" s="16"/>
      <c r="C103" s="11"/>
    </row>
    <row r="104" spans="1:3" x14ac:dyDescent="0.25">
      <c r="A104" s="16"/>
      <c r="C104" s="11"/>
    </row>
    <row r="105" spans="1:3" x14ac:dyDescent="0.25">
      <c r="A105" s="16"/>
      <c r="C105" s="11"/>
    </row>
    <row r="106" spans="1:3" x14ac:dyDescent="0.25">
      <c r="A106" s="16"/>
      <c r="C106" s="11"/>
    </row>
    <row r="107" spans="1:3" x14ac:dyDescent="0.25">
      <c r="A107" s="16"/>
      <c r="C107" s="11"/>
    </row>
    <row r="108" spans="1:3" x14ac:dyDescent="0.25">
      <c r="A108" s="16"/>
      <c r="C108" s="11"/>
    </row>
    <row r="109" spans="1:3" x14ac:dyDescent="0.25">
      <c r="A109" s="16"/>
      <c r="C109" s="11"/>
    </row>
    <row r="110" spans="1:3" x14ac:dyDescent="0.25">
      <c r="A110" s="16"/>
      <c r="C110" s="11"/>
    </row>
    <row r="111" spans="1:3" x14ac:dyDescent="0.25">
      <c r="A111" s="16"/>
      <c r="C111" s="11"/>
    </row>
    <row r="112" spans="1:3" x14ac:dyDescent="0.25">
      <c r="A112" s="16"/>
      <c r="C112" s="11"/>
    </row>
    <row r="113" spans="1:3" x14ac:dyDescent="0.25">
      <c r="A113" s="16"/>
      <c r="C113" s="11"/>
    </row>
    <row r="114" spans="1:3" x14ac:dyDescent="0.25">
      <c r="A114" s="16"/>
      <c r="C114" s="11"/>
    </row>
    <row r="115" spans="1:3" x14ac:dyDescent="0.25">
      <c r="A115" s="16"/>
      <c r="C115" s="11"/>
    </row>
    <row r="116" spans="1:3" x14ac:dyDescent="0.25">
      <c r="A116" s="16"/>
      <c r="C116" s="11"/>
    </row>
    <row r="117" spans="1:3" x14ac:dyDescent="0.25">
      <c r="A117" s="16"/>
      <c r="C117" s="11"/>
    </row>
    <row r="118" spans="1:3" x14ac:dyDescent="0.25">
      <c r="A118" s="16"/>
      <c r="C118" s="11"/>
    </row>
    <row r="119" spans="1:3" x14ac:dyDescent="0.25">
      <c r="A119" s="16"/>
      <c r="C119" s="11"/>
    </row>
    <row r="120" spans="1:3" x14ac:dyDescent="0.25">
      <c r="A120" s="16"/>
      <c r="C120" s="11"/>
    </row>
    <row r="121" spans="1:3" x14ac:dyDescent="0.25">
      <c r="A121" s="16"/>
      <c r="C121" s="11"/>
    </row>
    <row r="122" spans="1:3" x14ac:dyDescent="0.25">
      <c r="A122" s="16"/>
      <c r="C122" s="11"/>
    </row>
    <row r="123" spans="1:3" x14ac:dyDescent="0.25">
      <c r="A123" s="16"/>
      <c r="C123" s="11"/>
    </row>
    <row r="124" spans="1:3" x14ac:dyDescent="0.25">
      <c r="A124" s="16"/>
      <c r="C124" s="11"/>
    </row>
    <row r="125" spans="1:3" x14ac:dyDescent="0.25">
      <c r="A125" s="16"/>
      <c r="C125" s="11"/>
    </row>
    <row r="126" spans="1:3" x14ac:dyDescent="0.25">
      <c r="A126" s="16"/>
      <c r="C126" s="11"/>
    </row>
    <row r="127" spans="1:3" x14ac:dyDescent="0.25">
      <c r="A127" s="16"/>
      <c r="C127" s="11"/>
    </row>
    <row r="128" spans="1:3" x14ac:dyDescent="0.25">
      <c r="A128" s="16"/>
      <c r="C128" s="11"/>
    </row>
    <row r="129" spans="1:3" x14ac:dyDescent="0.25">
      <c r="A129" s="16"/>
      <c r="C129" s="11"/>
    </row>
    <row r="130" spans="1:3" x14ac:dyDescent="0.25">
      <c r="A130" s="16"/>
      <c r="C130" s="11"/>
    </row>
    <row r="131" spans="1:3" x14ac:dyDescent="0.25">
      <c r="A131" s="16"/>
      <c r="C131" s="11"/>
    </row>
    <row r="132" spans="1:3" x14ac:dyDescent="0.25">
      <c r="A132" s="16"/>
      <c r="C132" s="11"/>
    </row>
    <row r="133" spans="1:3" x14ac:dyDescent="0.25">
      <c r="A133" s="16"/>
      <c r="C133" s="11"/>
    </row>
    <row r="134" spans="1:3" x14ac:dyDescent="0.25">
      <c r="A134" s="16"/>
      <c r="C134" s="11"/>
    </row>
    <row r="135" spans="1:3" x14ac:dyDescent="0.25">
      <c r="A135" s="16"/>
      <c r="C135" s="11"/>
    </row>
    <row r="136" spans="1:3" x14ac:dyDescent="0.25">
      <c r="A136" s="16"/>
      <c r="C136" s="11"/>
    </row>
    <row r="137" spans="1:3" x14ac:dyDescent="0.25">
      <c r="A137" s="16"/>
      <c r="C137" s="11"/>
    </row>
    <row r="138" spans="1:3" x14ac:dyDescent="0.25">
      <c r="A138" s="16"/>
      <c r="C138" s="11"/>
    </row>
    <row r="139" spans="1:3" x14ac:dyDescent="0.25">
      <c r="A139" s="16"/>
      <c r="C139" s="11"/>
    </row>
    <row r="140" spans="1:3" x14ac:dyDescent="0.25">
      <c r="A140" s="16"/>
      <c r="C140" s="11"/>
    </row>
    <row r="141" spans="1:3" x14ac:dyDescent="0.25">
      <c r="A141" s="16"/>
      <c r="C141" s="11"/>
    </row>
    <row r="142" spans="1:3" x14ac:dyDescent="0.25">
      <c r="A142" s="16"/>
      <c r="C142" s="11"/>
    </row>
    <row r="143" spans="1:3" x14ac:dyDescent="0.25">
      <c r="A143" s="16"/>
      <c r="C143" s="11"/>
    </row>
    <row r="144" spans="1:3" x14ac:dyDescent="0.25">
      <c r="A144" s="16"/>
      <c r="C144" s="11"/>
    </row>
    <row r="145" spans="1:3" x14ac:dyDescent="0.25">
      <c r="A145" s="16"/>
      <c r="C145" s="11"/>
    </row>
    <row r="146" spans="1:3" x14ac:dyDescent="0.25">
      <c r="A146" s="16"/>
      <c r="C146" s="11"/>
    </row>
    <row r="147" spans="1:3" x14ac:dyDescent="0.25">
      <c r="A147" s="16"/>
      <c r="C147" s="11"/>
    </row>
    <row r="148" spans="1:3" x14ac:dyDescent="0.25">
      <c r="A148" s="16"/>
      <c r="C148" s="11"/>
    </row>
    <row r="149" spans="1:3" x14ac:dyDescent="0.25">
      <c r="A149" s="16"/>
      <c r="C149" s="11"/>
    </row>
    <row r="150" spans="1:3" x14ac:dyDescent="0.25">
      <c r="A150" s="16"/>
      <c r="C150" s="11"/>
    </row>
    <row r="151" spans="1:3" x14ac:dyDescent="0.25">
      <c r="A151" s="16"/>
      <c r="C151" s="11"/>
    </row>
    <row r="152" spans="1:3" x14ac:dyDescent="0.25">
      <c r="A152" s="16"/>
      <c r="C152" s="11"/>
    </row>
    <row r="153" spans="1:3" x14ac:dyDescent="0.25">
      <c r="A153" s="16"/>
      <c r="C153" s="11"/>
    </row>
    <row r="154" spans="1:3" x14ac:dyDescent="0.25">
      <c r="A154" s="16"/>
      <c r="C154" s="11"/>
    </row>
    <row r="155" spans="1:3" x14ac:dyDescent="0.25">
      <c r="A155" s="16"/>
      <c r="C155" s="11"/>
    </row>
    <row r="156" spans="1:3" x14ac:dyDescent="0.25">
      <c r="A156" s="16"/>
      <c r="C156" s="11"/>
    </row>
    <row r="157" spans="1:3" x14ac:dyDescent="0.25">
      <c r="A157" s="16"/>
      <c r="C157" s="11"/>
    </row>
    <row r="158" spans="1:3" x14ac:dyDescent="0.25">
      <c r="A158" s="16"/>
      <c r="C158" s="11"/>
    </row>
    <row r="159" spans="1:3" x14ac:dyDescent="0.25">
      <c r="A159" s="16"/>
      <c r="C159" s="11"/>
    </row>
    <row r="160" spans="1:3" x14ac:dyDescent="0.25">
      <c r="A160" s="16"/>
      <c r="C160" s="11"/>
    </row>
    <row r="161" spans="1:3" x14ac:dyDescent="0.25">
      <c r="A161" s="16"/>
      <c r="C161" s="11"/>
    </row>
    <row r="162" spans="1:3" x14ac:dyDescent="0.25">
      <c r="A162" s="16"/>
      <c r="C162" s="11"/>
    </row>
    <row r="163" spans="1:3" x14ac:dyDescent="0.25">
      <c r="A163" s="16"/>
      <c r="C163" s="11"/>
    </row>
    <row r="164" spans="1:3" x14ac:dyDescent="0.25">
      <c r="A164" s="16"/>
      <c r="C164" s="11"/>
    </row>
    <row r="165" spans="1:3" x14ac:dyDescent="0.25">
      <c r="A165" s="16"/>
      <c r="C165" s="11"/>
    </row>
    <row r="166" spans="1:3" x14ac:dyDescent="0.25">
      <c r="A166" s="16"/>
      <c r="C166" s="11"/>
    </row>
    <row r="167" spans="1:3" x14ac:dyDescent="0.25">
      <c r="A167" s="16"/>
      <c r="C167" s="11"/>
    </row>
    <row r="168" spans="1:3" x14ac:dyDescent="0.25">
      <c r="A168" s="16"/>
      <c r="C168" s="11"/>
    </row>
    <row r="169" spans="1:3" x14ac:dyDescent="0.25">
      <c r="A169" s="16"/>
      <c r="C169" s="11"/>
    </row>
    <row r="170" spans="1:3" x14ac:dyDescent="0.25">
      <c r="A170" s="16"/>
      <c r="C170" s="11"/>
    </row>
    <row r="171" spans="1:3" x14ac:dyDescent="0.25">
      <c r="A171" s="16"/>
      <c r="C171" s="11"/>
    </row>
    <row r="172" spans="1:3" x14ac:dyDescent="0.25">
      <c r="A172" s="16"/>
      <c r="C172" s="11"/>
    </row>
    <row r="173" spans="1:3" x14ac:dyDescent="0.25">
      <c r="A173" s="16"/>
      <c r="C173" s="11"/>
    </row>
    <row r="174" spans="1:3" x14ac:dyDescent="0.25">
      <c r="A174" s="16"/>
      <c r="C174" s="11"/>
    </row>
    <row r="175" spans="1:3" x14ac:dyDescent="0.25">
      <c r="A175" s="16"/>
      <c r="C175" s="11"/>
    </row>
    <row r="176" spans="1:3" x14ac:dyDescent="0.25">
      <c r="A176" s="16"/>
      <c r="C176" s="11"/>
    </row>
    <row r="177" spans="1:3" x14ac:dyDescent="0.25">
      <c r="A177" s="16"/>
      <c r="C177" s="11"/>
    </row>
    <row r="178" spans="1:3" x14ac:dyDescent="0.25">
      <c r="A178" s="16"/>
      <c r="C178" s="11"/>
    </row>
    <row r="179" spans="1:3" x14ac:dyDescent="0.25">
      <c r="A179" s="16"/>
      <c r="C179" s="11"/>
    </row>
    <row r="180" spans="1:3" x14ac:dyDescent="0.25">
      <c r="A180" s="16"/>
      <c r="C180" s="11"/>
    </row>
    <row r="181" spans="1:3" x14ac:dyDescent="0.25">
      <c r="A181" s="16"/>
      <c r="C181" s="11"/>
    </row>
    <row r="182" spans="1:3" x14ac:dyDescent="0.25">
      <c r="A182" s="16"/>
      <c r="C182" s="11"/>
    </row>
    <row r="183" spans="1:3" x14ac:dyDescent="0.25">
      <c r="A183" s="16"/>
      <c r="C183" s="11"/>
    </row>
    <row r="184" spans="1:3" x14ac:dyDescent="0.25">
      <c r="A184" s="16"/>
      <c r="C184" s="11"/>
    </row>
    <row r="185" spans="1:3" x14ac:dyDescent="0.25">
      <c r="A185" s="16"/>
      <c r="C185" s="11"/>
    </row>
    <row r="186" spans="1:3" x14ac:dyDescent="0.25">
      <c r="A186" s="16"/>
      <c r="C186" s="11"/>
    </row>
    <row r="187" spans="1:3" x14ac:dyDescent="0.25">
      <c r="A187" s="16"/>
      <c r="C187" s="11"/>
    </row>
    <row r="188" spans="1:3" x14ac:dyDescent="0.25">
      <c r="A188" s="16"/>
      <c r="C188" s="11"/>
    </row>
    <row r="189" spans="1:3" x14ac:dyDescent="0.25">
      <c r="A189" s="16"/>
      <c r="C189" s="11"/>
    </row>
    <row r="190" spans="1:3" x14ac:dyDescent="0.25">
      <c r="A190" s="16"/>
      <c r="C190" s="11"/>
    </row>
    <row r="191" spans="1:3" x14ac:dyDescent="0.25">
      <c r="A191" s="16"/>
      <c r="C191" s="11"/>
    </row>
    <row r="192" spans="1:3" x14ac:dyDescent="0.25">
      <c r="A192" s="16"/>
      <c r="C192" s="11"/>
    </row>
    <row r="193" spans="1:3" x14ac:dyDescent="0.25">
      <c r="A193" s="16"/>
      <c r="C193" s="11"/>
    </row>
    <row r="194" spans="1:3" x14ac:dyDescent="0.25">
      <c r="A194" s="16"/>
      <c r="C194" s="11"/>
    </row>
    <row r="195" spans="1:3" x14ac:dyDescent="0.25">
      <c r="A195" s="16"/>
      <c r="C195" s="11"/>
    </row>
    <row r="196" spans="1:3" x14ac:dyDescent="0.25">
      <c r="A196" s="16"/>
      <c r="C196" s="11"/>
    </row>
    <row r="197" spans="1:3" x14ac:dyDescent="0.25">
      <c r="A197" s="16"/>
      <c r="C197" s="11"/>
    </row>
    <row r="198" spans="1:3" x14ac:dyDescent="0.25">
      <c r="A198" s="16"/>
      <c r="C198" s="11"/>
    </row>
    <row r="199" spans="1:3" x14ac:dyDescent="0.25">
      <c r="A199" s="16"/>
      <c r="C199" s="11"/>
    </row>
    <row r="200" spans="1:3" x14ac:dyDescent="0.25">
      <c r="A200" s="16"/>
      <c r="C200" s="11"/>
    </row>
    <row r="201" spans="1:3" x14ac:dyDescent="0.25">
      <c r="A201" s="16"/>
      <c r="C201" s="11"/>
    </row>
    <row r="202" spans="1:3" x14ac:dyDescent="0.25">
      <c r="A202" s="16"/>
      <c r="C202" s="11"/>
    </row>
    <row r="203" spans="1:3" x14ac:dyDescent="0.25">
      <c r="A203" s="16"/>
      <c r="C203" s="11"/>
    </row>
    <row r="204" spans="1:3" x14ac:dyDescent="0.25">
      <c r="A204" s="16"/>
      <c r="C204" s="11"/>
    </row>
    <row r="205" spans="1:3" x14ac:dyDescent="0.25">
      <c r="A205" s="16"/>
      <c r="C205" s="11"/>
    </row>
    <row r="206" spans="1:3" x14ac:dyDescent="0.25">
      <c r="A206" s="16"/>
      <c r="C206" s="11"/>
    </row>
    <row r="207" spans="1:3" x14ac:dyDescent="0.25">
      <c r="A207" s="16"/>
      <c r="C207" s="11"/>
    </row>
    <row r="208" spans="1:3" x14ac:dyDescent="0.25">
      <c r="A208" s="16"/>
      <c r="C208" s="11"/>
    </row>
    <row r="209" spans="1:3" x14ac:dyDescent="0.25">
      <c r="A209" s="16"/>
      <c r="C209" s="11"/>
    </row>
    <row r="210" spans="1:3" x14ac:dyDescent="0.25">
      <c r="A210" s="16"/>
      <c r="C210" s="11"/>
    </row>
    <row r="211" spans="1:3" x14ac:dyDescent="0.25">
      <c r="A211" s="16"/>
      <c r="C211" s="11"/>
    </row>
    <row r="212" spans="1:3" x14ac:dyDescent="0.25">
      <c r="A212" s="16"/>
      <c r="C212" s="11"/>
    </row>
    <row r="213" spans="1:3" x14ac:dyDescent="0.25">
      <c r="A213" s="16"/>
      <c r="C213" s="11"/>
    </row>
    <row r="214" spans="1:3" x14ac:dyDescent="0.25">
      <c r="A214" s="16"/>
      <c r="C214" s="11"/>
    </row>
    <row r="215" spans="1:3" x14ac:dyDescent="0.25">
      <c r="A215" s="16"/>
      <c r="C215" s="11"/>
    </row>
    <row r="216" spans="1:3" x14ac:dyDescent="0.25">
      <c r="A216" s="16"/>
      <c r="C216" s="11"/>
    </row>
    <row r="217" spans="1:3" x14ac:dyDescent="0.25">
      <c r="A217" s="16"/>
      <c r="C217" s="11"/>
    </row>
    <row r="218" spans="1:3" x14ac:dyDescent="0.25">
      <c r="A218" s="16"/>
      <c r="C218" s="11"/>
    </row>
    <row r="219" spans="1:3" x14ac:dyDescent="0.25">
      <c r="A219" s="16"/>
      <c r="C219" s="11"/>
    </row>
    <row r="220" spans="1:3" x14ac:dyDescent="0.25">
      <c r="A220" s="16"/>
      <c r="C220" s="11"/>
    </row>
    <row r="221" spans="1:3" x14ac:dyDescent="0.25">
      <c r="A221" s="16"/>
      <c r="C221" s="11"/>
    </row>
    <row r="222" spans="1:3" x14ac:dyDescent="0.25">
      <c r="A222" s="16"/>
      <c r="C222" s="11"/>
    </row>
    <row r="223" spans="1:3" x14ac:dyDescent="0.25">
      <c r="A223" s="16"/>
      <c r="C223" s="11"/>
    </row>
    <row r="224" spans="1:3" x14ac:dyDescent="0.25">
      <c r="A224" s="16"/>
      <c r="C224" s="11"/>
    </row>
    <row r="225" spans="1:3" x14ac:dyDescent="0.25">
      <c r="A225" s="16"/>
      <c r="C225" s="11"/>
    </row>
    <row r="226" spans="1:3" x14ac:dyDescent="0.25">
      <c r="A226" s="16"/>
      <c r="C226" s="11"/>
    </row>
    <row r="227" spans="1:3" x14ac:dyDescent="0.25">
      <c r="A227" s="16"/>
      <c r="C227" s="11"/>
    </row>
    <row r="228" spans="1:3" x14ac:dyDescent="0.25">
      <c r="A228" s="16"/>
      <c r="C228" s="11"/>
    </row>
    <row r="229" spans="1:3" x14ac:dyDescent="0.25">
      <c r="A229" s="16"/>
      <c r="C229" s="11"/>
    </row>
    <row r="230" spans="1:3" x14ac:dyDescent="0.25">
      <c r="A230" s="16"/>
      <c r="C230" s="11"/>
    </row>
    <row r="231" spans="1:3" x14ac:dyDescent="0.25">
      <c r="A231" s="16"/>
      <c r="C231" s="11"/>
    </row>
    <row r="232" spans="1:3" x14ac:dyDescent="0.25">
      <c r="A232" s="16"/>
      <c r="C232" s="11"/>
    </row>
    <row r="233" spans="1:3" x14ac:dyDescent="0.25">
      <c r="A233" s="16"/>
      <c r="C233" s="11"/>
    </row>
    <row r="234" spans="1:3" x14ac:dyDescent="0.25">
      <c r="A234" s="16"/>
      <c r="C234" s="11"/>
    </row>
    <row r="235" spans="1:3" x14ac:dyDescent="0.25">
      <c r="A235" s="16"/>
      <c r="C235" s="11"/>
    </row>
    <row r="236" spans="1:3" x14ac:dyDescent="0.25">
      <c r="A236" s="16"/>
      <c r="C236" s="11"/>
    </row>
    <row r="237" spans="1:3" x14ac:dyDescent="0.25">
      <c r="A237" s="16"/>
      <c r="C237" s="11"/>
    </row>
    <row r="238" spans="1:3" x14ac:dyDescent="0.25">
      <c r="A238" s="16"/>
      <c r="C238" s="11"/>
    </row>
    <row r="239" spans="1:3" x14ac:dyDescent="0.25">
      <c r="A239" s="16"/>
      <c r="C239" s="11"/>
    </row>
    <row r="240" spans="1:3" x14ac:dyDescent="0.25">
      <c r="A240" s="16"/>
      <c r="C240" s="11"/>
    </row>
    <row r="241" spans="1:3" x14ac:dyDescent="0.25">
      <c r="A241" s="16"/>
      <c r="C241" s="11"/>
    </row>
    <row r="242" spans="1:3" x14ac:dyDescent="0.25">
      <c r="A242" s="16"/>
      <c r="C242" s="11"/>
    </row>
    <row r="243" spans="1:3" x14ac:dyDescent="0.25">
      <c r="A243" s="16"/>
      <c r="C243" s="11"/>
    </row>
    <row r="244" spans="1:3" x14ac:dyDescent="0.25">
      <c r="A244" s="16"/>
      <c r="C244" s="11"/>
    </row>
    <row r="245" spans="1:3" x14ac:dyDescent="0.25">
      <c r="A245" s="16"/>
      <c r="C245" s="11"/>
    </row>
    <row r="246" spans="1:3" x14ac:dyDescent="0.25">
      <c r="A246" s="16"/>
      <c r="C246" s="11"/>
    </row>
    <row r="247" spans="1:3" x14ac:dyDescent="0.25">
      <c r="A247" s="16"/>
      <c r="C247" s="11"/>
    </row>
    <row r="248" spans="1:3" x14ac:dyDescent="0.25">
      <c r="A248" s="16"/>
      <c r="C248" s="11"/>
    </row>
    <row r="249" spans="1:3" x14ac:dyDescent="0.25">
      <c r="A249" s="16"/>
      <c r="C249" s="11"/>
    </row>
    <row r="250" spans="1:3" x14ac:dyDescent="0.25">
      <c r="A250" s="16"/>
      <c r="C250" s="11"/>
    </row>
    <row r="251" spans="1:3" x14ac:dyDescent="0.25">
      <c r="A251" s="16"/>
      <c r="C251" s="11"/>
    </row>
    <row r="252" spans="1:3" x14ac:dyDescent="0.25">
      <c r="A252" s="16"/>
      <c r="C252" s="11"/>
    </row>
    <row r="253" spans="1:3" x14ac:dyDescent="0.25">
      <c r="A253" s="16"/>
      <c r="C253" s="11"/>
    </row>
    <row r="254" spans="1:3" x14ac:dyDescent="0.25">
      <c r="A254" s="16"/>
      <c r="C254" s="11"/>
    </row>
    <row r="255" spans="1:3" x14ac:dyDescent="0.25">
      <c r="A255" s="16"/>
      <c r="C255" s="11"/>
    </row>
    <row r="256" spans="1:3" x14ac:dyDescent="0.25">
      <c r="A256" s="16"/>
      <c r="C256" s="11"/>
    </row>
    <row r="257" spans="1:3" x14ac:dyDescent="0.25">
      <c r="A257" s="16"/>
      <c r="C257" s="11"/>
    </row>
    <row r="258" spans="1:3" x14ac:dyDescent="0.25">
      <c r="A258" s="16"/>
      <c r="C258" s="11"/>
    </row>
    <row r="259" spans="1:3" x14ac:dyDescent="0.25">
      <c r="A259" s="16"/>
      <c r="C259" s="11"/>
    </row>
    <row r="260" spans="1:3" x14ac:dyDescent="0.25">
      <c r="A260" s="16"/>
      <c r="C260" s="11"/>
    </row>
    <row r="261" spans="1:3" x14ac:dyDescent="0.25">
      <c r="A261" s="16"/>
      <c r="C261" s="11"/>
    </row>
    <row r="262" spans="1:3" x14ac:dyDescent="0.25">
      <c r="A262" s="16"/>
      <c r="C262" s="11"/>
    </row>
    <row r="263" spans="1:3" x14ac:dyDescent="0.25">
      <c r="A263" s="16"/>
      <c r="C263" s="11"/>
    </row>
    <row r="264" spans="1:3" x14ac:dyDescent="0.25">
      <c r="A264" s="16"/>
      <c r="C264" s="11"/>
    </row>
    <row r="265" spans="1:3" x14ac:dyDescent="0.25">
      <c r="A265" s="16"/>
      <c r="C265" s="11"/>
    </row>
    <row r="266" spans="1:3" x14ac:dyDescent="0.25">
      <c r="A266" s="16"/>
      <c r="C266" s="11"/>
    </row>
    <row r="267" spans="1:3" x14ac:dyDescent="0.25">
      <c r="A267" s="16"/>
      <c r="C267" s="11"/>
    </row>
    <row r="268" spans="1:3" x14ac:dyDescent="0.25">
      <c r="A268" s="16"/>
      <c r="C268" s="11"/>
    </row>
    <row r="269" spans="1:3" x14ac:dyDescent="0.25">
      <c r="A269" s="16"/>
      <c r="C269" s="11"/>
    </row>
    <row r="270" spans="1:3" x14ac:dyDescent="0.25">
      <c r="A270" s="16"/>
      <c r="C270" s="11"/>
    </row>
    <row r="271" spans="1:3" x14ac:dyDescent="0.25">
      <c r="A271" s="16"/>
      <c r="C271" s="11"/>
    </row>
    <row r="272" spans="1:3" x14ac:dyDescent="0.25">
      <c r="A272" s="16"/>
      <c r="C272" s="11"/>
    </row>
    <row r="273" spans="1:3" x14ac:dyDescent="0.25">
      <c r="A273" s="16"/>
      <c r="C273" s="11"/>
    </row>
    <row r="274" spans="1:3" x14ac:dyDescent="0.25">
      <c r="A274" s="16"/>
      <c r="C274" s="11"/>
    </row>
    <row r="275" spans="1:3" x14ac:dyDescent="0.25">
      <c r="A275" s="16"/>
      <c r="C275" s="11"/>
    </row>
    <row r="276" spans="1:3" x14ac:dyDescent="0.25">
      <c r="A276" s="16"/>
      <c r="C276" s="11"/>
    </row>
    <row r="277" spans="1:3" x14ac:dyDescent="0.25">
      <c r="A277" s="16"/>
      <c r="C277" s="11"/>
    </row>
    <row r="278" spans="1:3" x14ac:dyDescent="0.25">
      <c r="A278" s="16"/>
      <c r="C278" s="11"/>
    </row>
    <row r="279" spans="1:3" x14ac:dyDescent="0.25">
      <c r="A279" s="16"/>
      <c r="C279" s="11"/>
    </row>
    <row r="280" spans="1:3" x14ac:dyDescent="0.25">
      <c r="A280" s="16"/>
      <c r="C280" s="11"/>
    </row>
    <row r="281" spans="1:3" x14ac:dyDescent="0.25">
      <c r="A281" s="16"/>
      <c r="C281" s="11"/>
    </row>
    <row r="282" spans="1:3" x14ac:dyDescent="0.25">
      <c r="A282" s="16"/>
      <c r="C282" s="11"/>
    </row>
    <row r="283" spans="1:3" x14ac:dyDescent="0.25">
      <c r="A283" s="16"/>
      <c r="C283" s="11"/>
    </row>
    <row r="284" spans="1:3" x14ac:dyDescent="0.25">
      <c r="A284" s="16"/>
      <c r="C284" s="11"/>
    </row>
    <row r="285" spans="1:3" x14ac:dyDescent="0.25">
      <c r="A285" s="16"/>
      <c r="C285" s="11"/>
    </row>
    <row r="286" spans="1:3" x14ac:dyDescent="0.25">
      <c r="A286" s="16"/>
      <c r="C286" s="11"/>
    </row>
    <row r="287" spans="1:3" x14ac:dyDescent="0.25">
      <c r="A287" s="16"/>
      <c r="C287" s="11"/>
    </row>
    <row r="288" spans="1:3" x14ac:dyDescent="0.25">
      <c r="A288" s="16"/>
      <c r="C288" s="11"/>
    </row>
    <row r="289" spans="1:3" x14ac:dyDescent="0.25">
      <c r="A289" s="16"/>
      <c r="C289" s="11"/>
    </row>
    <row r="290" spans="1:3" x14ac:dyDescent="0.25">
      <c r="A290" s="16"/>
      <c r="C290" s="11"/>
    </row>
    <row r="291" spans="1:3" x14ac:dyDescent="0.25">
      <c r="A291" s="16"/>
      <c r="C291" s="11"/>
    </row>
    <row r="292" spans="1:3" x14ac:dyDescent="0.25">
      <c r="A292" s="16"/>
      <c r="C292" s="11"/>
    </row>
    <row r="293" spans="1:3" x14ac:dyDescent="0.25">
      <c r="A293" s="16"/>
      <c r="C293" s="11"/>
    </row>
    <row r="294" spans="1:3" x14ac:dyDescent="0.25">
      <c r="A294" s="16"/>
      <c r="C294" s="11"/>
    </row>
    <row r="295" spans="1:3" x14ac:dyDescent="0.25">
      <c r="A295" s="16"/>
      <c r="C295" s="11"/>
    </row>
    <row r="296" spans="1:3" x14ac:dyDescent="0.25">
      <c r="A296" s="16"/>
      <c r="C296" s="11"/>
    </row>
    <row r="297" spans="1:3" x14ac:dyDescent="0.25">
      <c r="A297" s="16"/>
      <c r="C297" s="11"/>
    </row>
    <row r="298" spans="1:3" x14ac:dyDescent="0.25">
      <c r="A298" s="16"/>
      <c r="C298" s="11"/>
    </row>
    <row r="299" spans="1:3" x14ac:dyDescent="0.25">
      <c r="A299" s="16"/>
      <c r="C299" s="11"/>
    </row>
    <row r="300" spans="1:3" x14ac:dyDescent="0.25">
      <c r="A300" s="16"/>
      <c r="C300" s="11"/>
    </row>
    <row r="301" spans="1:3" x14ac:dyDescent="0.25">
      <c r="A301" s="16"/>
      <c r="C301" s="11"/>
    </row>
    <row r="302" spans="1:3" x14ac:dyDescent="0.25">
      <c r="A302" s="16"/>
      <c r="C302" s="11"/>
    </row>
    <row r="303" spans="1:3" x14ac:dyDescent="0.25">
      <c r="A303" s="16"/>
      <c r="C303" s="11"/>
    </row>
    <row r="304" spans="1:3" x14ac:dyDescent="0.25">
      <c r="A304" s="16"/>
      <c r="C304" s="11"/>
    </row>
    <row r="305" spans="1:3" x14ac:dyDescent="0.25">
      <c r="A305" s="16"/>
      <c r="C305" s="11"/>
    </row>
    <row r="306" spans="1:3" x14ac:dyDescent="0.25">
      <c r="A306" s="16"/>
      <c r="C306" s="11"/>
    </row>
    <row r="307" spans="1:3" x14ac:dyDescent="0.25">
      <c r="A307" s="16"/>
      <c r="C307" s="11"/>
    </row>
    <row r="308" spans="1:3" x14ac:dyDescent="0.25">
      <c r="A308" s="16"/>
      <c r="C308" s="11"/>
    </row>
    <row r="309" spans="1:3" x14ac:dyDescent="0.25">
      <c r="A309" s="16"/>
      <c r="C309" s="11"/>
    </row>
    <row r="310" spans="1:3" x14ac:dyDescent="0.25">
      <c r="A310" s="16"/>
      <c r="C310" s="11"/>
    </row>
    <row r="311" spans="1:3" x14ac:dyDescent="0.25">
      <c r="A311" s="16"/>
      <c r="C311" s="11"/>
    </row>
    <row r="312" spans="1:3" x14ac:dyDescent="0.25">
      <c r="A312" s="16"/>
      <c r="C312" s="11"/>
    </row>
    <row r="313" spans="1:3" x14ac:dyDescent="0.25">
      <c r="A313" s="16"/>
      <c r="C313" s="11"/>
    </row>
    <row r="314" spans="1:3" x14ac:dyDescent="0.25">
      <c r="A314" s="16"/>
      <c r="C314" s="11"/>
    </row>
    <row r="315" spans="1:3" x14ac:dyDescent="0.25">
      <c r="A315" s="16"/>
      <c r="C315" s="11"/>
    </row>
    <row r="316" spans="1:3" x14ac:dyDescent="0.25">
      <c r="A316" s="16"/>
      <c r="C316" s="11"/>
    </row>
    <row r="317" spans="1:3" x14ac:dyDescent="0.25">
      <c r="A317" s="16"/>
      <c r="C317" s="11"/>
    </row>
    <row r="318" spans="1:3" x14ac:dyDescent="0.25">
      <c r="A318" s="16"/>
      <c r="C318" s="11"/>
    </row>
    <row r="319" spans="1:3" x14ac:dyDescent="0.25">
      <c r="A319" s="16"/>
      <c r="C319" s="11"/>
    </row>
    <row r="320" spans="1:3" x14ac:dyDescent="0.25">
      <c r="A320" s="16"/>
      <c r="C320" s="11"/>
    </row>
    <row r="321" spans="1:3" x14ac:dyDescent="0.25">
      <c r="A321" s="16"/>
      <c r="C321" s="11"/>
    </row>
    <row r="322" spans="1:3" x14ac:dyDescent="0.25">
      <c r="A322" s="16"/>
      <c r="C322" s="11"/>
    </row>
    <row r="323" spans="1:3" x14ac:dyDescent="0.25">
      <c r="A323" s="16"/>
      <c r="C323" s="11"/>
    </row>
    <row r="324" spans="1:3" x14ac:dyDescent="0.25">
      <c r="A324" s="16"/>
      <c r="C324" s="11"/>
    </row>
    <row r="325" spans="1:3" x14ac:dyDescent="0.25">
      <c r="A325" s="16"/>
      <c r="C325" s="11"/>
    </row>
    <row r="326" spans="1:3" x14ac:dyDescent="0.25">
      <c r="A326" s="16"/>
      <c r="C326" s="11"/>
    </row>
    <row r="327" spans="1:3" x14ac:dyDescent="0.25">
      <c r="A327" s="16"/>
      <c r="C327" s="11"/>
    </row>
    <row r="328" spans="1:3" x14ac:dyDescent="0.25">
      <c r="A328" s="16"/>
      <c r="C328" s="11"/>
    </row>
    <row r="329" spans="1:3" x14ac:dyDescent="0.25">
      <c r="A329" s="16"/>
      <c r="C329" s="11"/>
    </row>
    <row r="330" spans="1:3" x14ac:dyDescent="0.25">
      <c r="A330" s="16"/>
      <c r="C330" s="11"/>
    </row>
    <row r="331" spans="1:3" x14ac:dyDescent="0.25">
      <c r="A331" s="16"/>
      <c r="C331" s="11"/>
    </row>
    <row r="332" spans="1:3" x14ac:dyDescent="0.25">
      <c r="A332" s="16"/>
      <c r="C332" s="11"/>
    </row>
    <row r="333" spans="1:3" x14ac:dyDescent="0.25">
      <c r="A333" s="16"/>
      <c r="C333" s="11"/>
    </row>
    <row r="334" spans="1:3" x14ac:dyDescent="0.25">
      <c r="A334" s="16"/>
      <c r="C334" s="11"/>
    </row>
    <row r="335" spans="1:3" x14ac:dyDescent="0.25">
      <c r="A335" s="16"/>
      <c r="C335" s="11"/>
    </row>
    <row r="336" spans="1:3" x14ac:dyDescent="0.25">
      <c r="A336" s="16"/>
      <c r="C336" s="11"/>
    </row>
    <row r="337" spans="1:3" x14ac:dyDescent="0.25">
      <c r="A337" s="16"/>
      <c r="C337" s="11"/>
    </row>
    <row r="338" spans="1:3" x14ac:dyDescent="0.25">
      <c r="A338" s="16"/>
      <c r="C338" s="11"/>
    </row>
    <row r="339" spans="1:3" x14ac:dyDescent="0.25">
      <c r="A339" s="16"/>
      <c r="C339" s="11"/>
    </row>
    <row r="340" spans="1:3" x14ac:dyDescent="0.25">
      <c r="A340" s="16"/>
      <c r="C340" s="11"/>
    </row>
    <row r="341" spans="1:3" x14ac:dyDescent="0.25">
      <c r="A341" s="16"/>
      <c r="C341" s="11"/>
    </row>
    <row r="342" spans="1:3" x14ac:dyDescent="0.25">
      <c r="A342" s="16"/>
      <c r="C342" s="11"/>
    </row>
    <row r="343" spans="1:3" x14ac:dyDescent="0.25">
      <c r="A343" s="16"/>
      <c r="C343" s="11"/>
    </row>
    <row r="344" spans="1:3" x14ac:dyDescent="0.25">
      <c r="A344" s="16"/>
      <c r="C344" s="11"/>
    </row>
    <row r="345" spans="1:3" x14ac:dyDescent="0.25">
      <c r="A345" s="16"/>
      <c r="C345" s="11"/>
    </row>
    <row r="346" spans="1:3" x14ac:dyDescent="0.25">
      <c r="A346" s="16"/>
      <c r="C346" s="11"/>
    </row>
    <row r="347" spans="1:3" x14ac:dyDescent="0.25">
      <c r="A347" s="16"/>
      <c r="C347" s="11"/>
    </row>
    <row r="348" spans="1:3" x14ac:dyDescent="0.25">
      <c r="A348" s="16"/>
      <c r="C348" s="11"/>
    </row>
    <row r="349" spans="1:3" x14ac:dyDescent="0.25">
      <c r="A349" s="16"/>
      <c r="C349" s="11"/>
    </row>
    <row r="350" spans="1:3" x14ac:dyDescent="0.25">
      <c r="A350" s="16"/>
      <c r="C350" s="11"/>
    </row>
    <row r="351" spans="1:3" x14ac:dyDescent="0.25">
      <c r="A351" s="16"/>
      <c r="C351" s="11"/>
    </row>
    <row r="352" spans="1:3" x14ac:dyDescent="0.25">
      <c r="A352" s="16"/>
      <c r="C352" s="11"/>
    </row>
    <row r="353" spans="1:3" x14ac:dyDescent="0.25">
      <c r="A353" s="16"/>
      <c r="C353" s="11"/>
    </row>
    <row r="354" spans="1:3" x14ac:dyDescent="0.25">
      <c r="A354" s="16"/>
      <c r="C354" s="11"/>
    </row>
    <row r="355" spans="1:3" x14ac:dyDescent="0.25">
      <c r="A355" s="16"/>
      <c r="C355" s="11"/>
    </row>
    <row r="356" spans="1:3" x14ac:dyDescent="0.25">
      <c r="A356" s="16"/>
      <c r="C356" s="11"/>
    </row>
    <row r="357" spans="1:3" x14ac:dyDescent="0.25">
      <c r="A357" s="16"/>
      <c r="C357" s="11"/>
    </row>
    <row r="358" spans="1:3" x14ac:dyDescent="0.25">
      <c r="A358" s="16"/>
      <c r="C358" s="11"/>
    </row>
    <row r="359" spans="1:3" x14ac:dyDescent="0.25">
      <c r="A359" s="16"/>
      <c r="C359" s="11"/>
    </row>
    <row r="360" spans="1:3" x14ac:dyDescent="0.25">
      <c r="A360" s="16"/>
      <c r="C360" s="11"/>
    </row>
    <row r="361" spans="1:3" x14ac:dyDescent="0.25">
      <c r="A361" s="16"/>
      <c r="C361" s="11"/>
    </row>
    <row r="362" spans="1:3" x14ac:dyDescent="0.25">
      <c r="A362" s="16"/>
      <c r="C362" s="11"/>
    </row>
    <row r="363" spans="1:3" x14ac:dyDescent="0.25">
      <c r="A363" s="16"/>
      <c r="C363" s="11"/>
    </row>
    <row r="364" spans="1:3" x14ac:dyDescent="0.25">
      <c r="A364" s="16"/>
      <c r="C364" s="11"/>
    </row>
    <row r="365" spans="1:3" x14ac:dyDescent="0.25">
      <c r="A365" s="16"/>
      <c r="C365" s="11"/>
    </row>
    <row r="366" spans="1:3" x14ac:dyDescent="0.25">
      <c r="A366" s="16"/>
      <c r="C366" s="11"/>
    </row>
    <row r="367" spans="1:3" x14ac:dyDescent="0.25">
      <c r="A367" s="16"/>
      <c r="C367" s="11"/>
    </row>
    <row r="368" spans="1:3" x14ac:dyDescent="0.25">
      <c r="A368" s="16"/>
      <c r="C368" s="11"/>
    </row>
    <row r="369" spans="1:3" x14ac:dyDescent="0.25">
      <c r="A369" s="16"/>
      <c r="C369" s="11"/>
    </row>
    <row r="370" spans="1:3" x14ac:dyDescent="0.25">
      <c r="A370" s="16"/>
      <c r="C370" s="11"/>
    </row>
    <row r="371" spans="1:3" x14ac:dyDescent="0.25">
      <c r="A371" s="16"/>
      <c r="C371" s="11"/>
    </row>
    <row r="372" spans="1:3" x14ac:dyDescent="0.25">
      <c r="A372" s="16"/>
      <c r="C372" s="11"/>
    </row>
    <row r="373" spans="1:3" x14ac:dyDescent="0.25">
      <c r="A373" s="16"/>
      <c r="C373" s="11"/>
    </row>
    <row r="374" spans="1:3" x14ac:dyDescent="0.25">
      <c r="A374" s="16"/>
      <c r="C374" s="11"/>
    </row>
    <row r="375" spans="1:3" x14ac:dyDescent="0.25">
      <c r="A375" s="16"/>
      <c r="C375" s="11"/>
    </row>
    <row r="376" spans="1:3" x14ac:dyDescent="0.25">
      <c r="A376" s="16"/>
      <c r="C376" s="11"/>
    </row>
    <row r="377" spans="1:3" x14ac:dyDescent="0.25">
      <c r="A377" s="16"/>
      <c r="C377" s="11"/>
    </row>
    <row r="378" spans="1:3" x14ac:dyDescent="0.25">
      <c r="A378" s="16"/>
      <c r="C378" s="11"/>
    </row>
    <row r="379" spans="1:3" x14ac:dyDescent="0.25">
      <c r="A379" s="16"/>
      <c r="C379" s="11"/>
    </row>
    <row r="380" spans="1:3" x14ac:dyDescent="0.25">
      <c r="A380" s="16"/>
      <c r="C380" s="11"/>
    </row>
    <row r="381" spans="1:3" x14ac:dyDescent="0.25">
      <c r="A381" s="16"/>
      <c r="C381" s="11"/>
    </row>
    <row r="382" spans="1:3" x14ac:dyDescent="0.25">
      <c r="A382" s="16"/>
      <c r="C382" s="11"/>
    </row>
    <row r="383" spans="1:3" x14ac:dyDescent="0.25">
      <c r="A383" s="16"/>
      <c r="C383" s="11"/>
    </row>
    <row r="384" spans="1:3" x14ac:dyDescent="0.25">
      <c r="A384" s="16"/>
      <c r="C384" s="11"/>
    </row>
    <row r="385" spans="1:3" x14ac:dyDescent="0.25">
      <c r="A385" s="16"/>
      <c r="C385" s="11"/>
    </row>
    <row r="386" spans="1:3" x14ac:dyDescent="0.25">
      <c r="A386" s="16"/>
      <c r="C386" s="11"/>
    </row>
    <row r="387" spans="1:3" x14ac:dyDescent="0.25">
      <c r="A387" s="16"/>
      <c r="C387" s="11"/>
    </row>
    <row r="388" spans="1:3" x14ac:dyDescent="0.25">
      <c r="A388" s="16"/>
      <c r="C388" s="11"/>
    </row>
    <row r="389" spans="1:3" x14ac:dyDescent="0.25">
      <c r="A389" s="16"/>
      <c r="C389" s="11"/>
    </row>
    <row r="390" spans="1:3" x14ac:dyDescent="0.25">
      <c r="A390" s="16"/>
      <c r="C390" s="11"/>
    </row>
    <row r="391" spans="1:3" x14ac:dyDescent="0.25">
      <c r="A391" s="16"/>
      <c r="C391" s="11"/>
    </row>
    <row r="392" spans="1:3" x14ac:dyDescent="0.25">
      <c r="A392" s="16"/>
      <c r="C392" s="11"/>
    </row>
    <row r="393" spans="1:3" x14ac:dyDescent="0.25">
      <c r="A393" s="16"/>
      <c r="C393" s="11"/>
    </row>
    <row r="394" spans="1:3" x14ac:dyDescent="0.25">
      <c r="A394" s="16"/>
      <c r="C394" s="11"/>
    </row>
    <row r="395" spans="1:3" x14ac:dyDescent="0.25">
      <c r="A395" s="16"/>
      <c r="C395" s="11"/>
    </row>
    <row r="396" spans="1:3" x14ac:dyDescent="0.25">
      <c r="A396" s="16"/>
      <c r="C396" s="11"/>
    </row>
    <row r="397" spans="1:3" x14ac:dyDescent="0.25">
      <c r="A397" s="16"/>
      <c r="C397" s="11"/>
    </row>
    <row r="398" spans="1:3" x14ac:dyDescent="0.25">
      <c r="A398" s="16"/>
      <c r="C398" s="11"/>
    </row>
    <row r="399" spans="1:3" x14ac:dyDescent="0.25">
      <c r="A399" s="16"/>
      <c r="C399" s="11"/>
    </row>
    <row r="400" spans="1:3" x14ac:dyDescent="0.25">
      <c r="A400" s="16"/>
      <c r="C400" s="11"/>
    </row>
    <row r="401" spans="1:3" x14ac:dyDescent="0.25">
      <c r="A401" s="16"/>
      <c r="C401" s="11"/>
    </row>
    <row r="402" spans="1:3" x14ac:dyDescent="0.25">
      <c r="A402" s="16"/>
      <c r="C402" s="11"/>
    </row>
    <row r="403" spans="1:3" x14ac:dyDescent="0.25">
      <c r="A403" s="16"/>
      <c r="C403" s="11"/>
    </row>
    <row r="404" spans="1:3" x14ac:dyDescent="0.25">
      <c r="A404" s="16"/>
      <c r="C404" s="11"/>
    </row>
    <row r="405" spans="1:3" x14ac:dyDescent="0.25">
      <c r="A405" s="16"/>
      <c r="C405" s="11"/>
    </row>
    <row r="406" spans="1:3" x14ac:dyDescent="0.25">
      <c r="A406" s="16"/>
      <c r="C406" s="11"/>
    </row>
    <row r="407" spans="1:3" x14ac:dyDescent="0.25">
      <c r="A407" s="16"/>
      <c r="C407" s="11"/>
    </row>
    <row r="408" spans="1:3" x14ac:dyDescent="0.25">
      <c r="A408" s="16"/>
      <c r="C408" s="11"/>
    </row>
    <row r="409" spans="1:3" x14ac:dyDescent="0.25">
      <c r="A409" s="16"/>
      <c r="C409" s="11"/>
    </row>
    <row r="410" spans="1:3" x14ac:dyDescent="0.25">
      <c r="A410" s="16"/>
      <c r="C410" s="11"/>
    </row>
    <row r="411" spans="1:3" x14ac:dyDescent="0.25">
      <c r="A411" s="16"/>
      <c r="C411" s="11"/>
    </row>
    <row r="412" spans="1:3" x14ac:dyDescent="0.25">
      <c r="A412" s="16"/>
      <c r="C412" s="11"/>
    </row>
    <row r="413" spans="1:3" x14ac:dyDescent="0.25">
      <c r="A413" s="16"/>
      <c r="C413" s="11"/>
    </row>
    <row r="414" spans="1:3" x14ac:dyDescent="0.25">
      <c r="A414" s="16"/>
      <c r="C414" s="11"/>
    </row>
    <row r="415" spans="1:3" x14ac:dyDescent="0.25">
      <c r="A415" s="16"/>
      <c r="C415" s="11"/>
    </row>
    <row r="416" spans="1:3" x14ac:dyDescent="0.25">
      <c r="A416" s="16"/>
      <c r="C416" s="11"/>
    </row>
    <row r="417" spans="1:3" x14ac:dyDescent="0.25">
      <c r="A417" s="16"/>
      <c r="C417" s="11"/>
    </row>
    <row r="418" spans="1:3" x14ac:dyDescent="0.25">
      <c r="A418" s="16"/>
      <c r="C418" s="11"/>
    </row>
    <row r="419" spans="1:3" x14ac:dyDescent="0.25">
      <c r="A419" s="16"/>
      <c r="C419" s="11"/>
    </row>
    <row r="420" spans="1:3" x14ac:dyDescent="0.25">
      <c r="A420" s="16"/>
      <c r="C420" s="11"/>
    </row>
    <row r="421" spans="1:3" x14ac:dyDescent="0.25">
      <c r="A421" s="16"/>
      <c r="C421" s="11"/>
    </row>
    <row r="422" spans="1:3" x14ac:dyDescent="0.25">
      <c r="A422" s="16"/>
      <c r="C422" s="11"/>
    </row>
    <row r="423" spans="1:3" x14ac:dyDescent="0.25">
      <c r="A423" s="16"/>
      <c r="C423" s="11"/>
    </row>
    <row r="424" spans="1:3" x14ac:dyDescent="0.25">
      <c r="A424" s="16"/>
      <c r="C424" s="11"/>
    </row>
    <row r="425" spans="1:3" x14ac:dyDescent="0.25">
      <c r="A425" s="16"/>
      <c r="C425" s="11"/>
    </row>
    <row r="426" spans="1:3" x14ac:dyDescent="0.25">
      <c r="A426" s="16"/>
      <c r="C426" s="11"/>
    </row>
    <row r="427" spans="1:3" x14ac:dyDescent="0.25">
      <c r="A427" s="16"/>
      <c r="C427" s="11"/>
    </row>
    <row r="428" spans="1:3" x14ac:dyDescent="0.25">
      <c r="A428" s="16"/>
      <c r="C428" s="11"/>
    </row>
    <row r="429" spans="1:3" x14ac:dyDescent="0.25">
      <c r="A429" s="16"/>
      <c r="C429" s="11"/>
    </row>
    <row r="430" spans="1:3" x14ac:dyDescent="0.25">
      <c r="A430" s="16"/>
      <c r="C430" s="11"/>
    </row>
    <row r="431" spans="1:3" x14ac:dyDescent="0.25">
      <c r="A431" s="16"/>
      <c r="C431" s="11"/>
    </row>
    <row r="432" spans="1:3" x14ac:dyDescent="0.25">
      <c r="A432" s="16"/>
      <c r="C432" s="11"/>
    </row>
    <row r="433" spans="1:3" x14ac:dyDescent="0.25">
      <c r="A433" s="16"/>
      <c r="C433" s="11"/>
    </row>
    <row r="434" spans="1:3" x14ac:dyDescent="0.25">
      <c r="A434" s="16"/>
      <c r="C434" s="11"/>
    </row>
    <row r="435" spans="1:3" x14ac:dyDescent="0.25">
      <c r="A435" s="16"/>
      <c r="C435" s="11"/>
    </row>
    <row r="436" spans="1:3" x14ac:dyDescent="0.25">
      <c r="A436" s="16"/>
      <c r="C436" s="11"/>
    </row>
    <row r="437" spans="1:3" x14ac:dyDescent="0.25">
      <c r="A437" s="16"/>
      <c r="C437" s="11"/>
    </row>
    <row r="438" spans="1:3" x14ac:dyDescent="0.25">
      <c r="A438" s="16"/>
      <c r="C438" s="11"/>
    </row>
    <row r="439" spans="1:3" x14ac:dyDescent="0.25">
      <c r="A439" s="16"/>
      <c r="C439" s="11"/>
    </row>
    <row r="440" spans="1:3" x14ac:dyDescent="0.25">
      <c r="A440" s="16"/>
      <c r="C440" s="11"/>
    </row>
    <row r="441" spans="1:3" x14ac:dyDescent="0.25">
      <c r="A441" s="16"/>
      <c r="C441" s="11"/>
    </row>
    <row r="442" spans="1:3" x14ac:dyDescent="0.25">
      <c r="A442" s="16"/>
      <c r="C442" s="11"/>
    </row>
    <row r="443" spans="1:3" x14ac:dyDescent="0.25">
      <c r="A443" s="16"/>
      <c r="C443" s="11"/>
    </row>
    <row r="444" spans="1:3" x14ac:dyDescent="0.25">
      <c r="A444" s="16"/>
      <c r="C444" s="11"/>
    </row>
    <row r="445" spans="1:3" x14ac:dyDescent="0.25">
      <c r="A445" s="16"/>
      <c r="C445" s="11"/>
    </row>
    <row r="446" spans="1:3" x14ac:dyDescent="0.25">
      <c r="A446" s="16"/>
      <c r="C446" s="11"/>
    </row>
    <row r="447" spans="1:3" x14ac:dyDescent="0.25">
      <c r="A447" s="16"/>
      <c r="C447" s="11"/>
    </row>
    <row r="448" spans="1:3" x14ac:dyDescent="0.25">
      <c r="A448" s="16"/>
      <c r="C448" s="11"/>
    </row>
    <row r="449" spans="1:3" x14ac:dyDescent="0.25">
      <c r="A449" s="16"/>
      <c r="C449" s="11"/>
    </row>
    <row r="450" spans="1:3" x14ac:dyDescent="0.25">
      <c r="A450" s="16"/>
      <c r="C450" s="11"/>
    </row>
    <row r="451" spans="1:3" x14ac:dyDescent="0.25">
      <c r="A451" s="16"/>
      <c r="C451" s="11"/>
    </row>
    <row r="452" spans="1:3" x14ac:dyDescent="0.25">
      <c r="A452" s="16"/>
      <c r="C452" s="11"/>
    </row>
    <row r="453" spans="1:3" x14ac:dyDescent="0.25">
      <c r="A453" s="16"/>
      <c r="C453" s="11"/>
    </row>
    <row r="454" spans="1:3" x14ac:dyDescent="0.25">
      <c r="A454" s="16"/>
      <c r="C454" s="11"/>
    </row>
    <row r="455" spans="1:3" x14ac:dyDescent="0.25">
      <c r="A455" s="16"/>
      <c r="C455" s="11"/>
    </row>
    <row r="456" spans="1:3" x14ac:dyDescent="0.25">
      <c r="A456" s="16"/>
      <c r="C456" s="11"/>
    </row>
    <row r="457" spans="1:3" x14ac:dyDescent="0.25">
      <c r="A457" s="16"/>
      <c r="C457" s="11"/>
    </row>
    <row r="458" spans="1:3" x14ac:dyDescent="0.25">
      <c r="A458" s="16"/>
      <c r="C458" s="11"/>
    </row>
    <row r="459" spans="1:3" x14ac:dyDescent="0.25">
      <c r="A459" s="16"/>
      <c r="C459" s="11"/>
    </row>
    <row r="460" spans="1:3" x14ac:dyDescent="0.25">
      <c r="A460" s="16"/>
      <c r="C460" s="11"/>
    </row>
    <row r="461" spans="1:3" x14ac:dyDescent="0.25">
      <c r="A461" s="16"/>
      <c r="C461" s="11"/>
    </row>
    <row r="462" spans="1:3" x14ac:dyDescent="0.25">
      <c r="A462" s="16"/>
      <c r="C462" s="11"/>
    </row>
    <row r="463" spans="1:3" x14ac:dyDescent="0.25">
      <c r="A463" s="16"/>
      <c r="C463" s="11"/>
    </row>
    <row r="464" spans="1:3" x14ac:dyDescent="0.25">
      <c r="A464" s="16"/>
      <c r="C464" s="11"/>
    </row>
    <row r="465" spans="1:3" x14ac:dyDescent="0.25">
      <c r="A465" s="16"/>
      <c r="C465" s="11"/>
    </row>
    <row r="466" spans="1:3" x14ac:dyDescent="0.25">
      <c r="A466" s="16"/>
      <c r="C466" s="11"/>
    </row>
    <row r="467" spans="1:3" x14ac:dyDescent="0.25">
      <c r="A467" s="16"/>
      <c r="C467" s="11"/>
    </row>
    <row r="468" spans="1:3" x14ac:dyDescent="0.25">
      <c r="A468" s="16"/>
      <c r="C468" s="11"/>
    </row>
    <row r="469" spans="1:3" x14ac:dyDescent="0.25">
      <c r="A469" s="16"/>
      <c r="C469" s="11"/>
    </row>
    <row r="470" spans="1:3" x14ac:dyDescent="0.25">
      <c r="A470" s="16"/>
      <c r="C470" s="11"/>
    </row>
    <row r="471" spans="1:3" x14ac:dyDescent="0.25">
      <c r="A471" s="16"/>
      <c r="C471" s="11"/>
    </row>
    <row r="472" spans="1:3" x14ac:dyDescent="0.25">
      <c r="A472" s="16"/>
      <c r="C472" s="11"/>
    </row>
    <row r="473" spans="1:3" x14ac:dyDescent="0.25">
      <c r="A473" s="16"/>
      <c r="C473" s="11"/>
    </row>
    <row r="474" spans="1:3" x14ac:dyDescent="0.25">
      <c r="A474" s="16"/>
      <c r="C474" s="11"/>
    </row>
    <row r="475" spans="1:3" x14ac:dyDescent="0.25">
      <c r="A475" s="16"/>
      <c r="C475" s="11"/>
    </row>
    <row r="476" spans="1:3" x14ac:dyDescent="0.25">
      <c r="A476" s="16"/>
      <c r="C476" s="11"/>
    </row>
    <row r="477" spans="1:3" x14ac:dyDescent="0.25">
      <c r="A477" s="16"/>
      <c r="C477" s="11"/>
    </row>
    <row r="478" spans="1:3" x14ac:dyDescent="0.25">
      <c r="A478" s="16"/>
      <c r="C478" s="11"/>
    </row>
    <row r="479" spans="1:3" x14ac:dyDescent="0.25">
      <c r="A479" s="16"/>
      <c r="C479" s="11"/>
    </row>
    <row r="480" spans="1:3" x14ac:dyDescent="0.25">
      <c r="A480" s="16"/>
      <c r="C480" s="11"/>
    </row>
    <row r="481" spans="1:3" x14ac:dyDescent="0.25">
      <c r="A481" s="16"/>
      <c r="C481" s="11"/>
    </row>
    <row r="482" spans="1:3" x14ac:dyDescent="0.25">
      <c r="A482" s="16"/>
      <c r="C482" s="11"/>
    </row>
    <row r="483" spans="1:3" x14ac:dyDescent="0.25">
      <c r="A483" s="16"/>
      <c r="C483" s="11"/>
    </row>
    <row r="484" spans="1:3" x14ac:dyDescent="0.25">
      <c r="A484" s="16"/>
      <c r="C484" s="11"/>
    </row>
    <row r="485" spans="1:3" x14ac:dyDescent="0.25">
      <c r="A485" s="16"/>
      <c r="C485" s="11"/>
    </row>
    <row r="486" spans="1:3" x14ac:dyDescent="0.25">
      <c r="A486" s="16"/>
      <c r="C486" s="11"/>
    </row>
    <row r="487" spans="1:3" x14ac:dyDescent="0.25">
      <c r="A487" s="16"/>
      <c r="C487" s="11"/>
    </row>
    <row r="488" spans="1:3" x14ac:dyDescent="0.25">
      <c r="A488" s="16"/>
      <c r="C488" s="11"/>
    </row>
    <row r="489" spans="1:3" x14ac:dyDescent="0.25">
      <c r="A489" s="16"/>
      <c r="C489" s="11"/>
    </row>
    <row r="490" spans="1:3" x14ac:dyDescent="0.25">
      <c r="A490" s="16"/>
      <c r="C490" s="11"/>
    </row>
    <row r="491" spans="1:3" x14ac:dyDescent="0.25">
      <c r="A491" s="16"/>
      <c r="C491" s="11"/>
    </row>
    <row r="492" spans="1:3" x14ac:dyDescent="0.25">
      <c r="A492" s="16"/>
      <c r="C492" s="11"/>
    </row>
    <row r="493" spans="1:3" x14ac:dyDescent="0.25">
      <c r="A493" s="16"/>
      <c r="C493" s="11"/>
    </row>
    <row r="494" spans="1:3" x14ac:dyDescent="0.25">
      <c r="A494" s="16"/>
      <c r="C494" s="11"/>
    </row>
    <row r="495" spans="1:3" x14ac:dyDescent="0.25">
      <c r="A495" s="16"/>
      <c r="C495" s="11"/>
    </row>
    <row r="496" spans="1:3" x14ac:dyDescent="0.25">
      <c r="A496" s="16"/>
      <c r="C496" s="11"/>
    </row>
    <row r="497" spans="1:3" x14ac:dyDescent="0.25">
      <c r="A497" s="16"/>
      <c r="C497" s="11"/>
    </row>
    <row r="498" spans="1:3" x14ac:dyDescent="0.25">
      <c r="A498" s="16"/>
      <c r="C498" s="11"/>
    </row>
    <row r="499" spans="1:3" x14ac:dyDescent="0.25">
      <c r="A499" s="16"/>
      <c r="C499" s="11"/>
    </row>
    <row r="500" spans="1:3" x14ac:dyDescent="0.25">
      <c r="A500" s="16"/>
      <c r="C500" s="11"/>
    </row>
    <row r="501" spans="1:3" x14ac:dyDescent="0.25">
      <c r="A501" s="16"/>
      <c r="C501" s="11"/>
    </row>
    <row r="502" spans="1:3" x14ac:dyDescent="0.25">
      <c r="A502" s="16"/>
      <c r="C502" s="11"/>
    </row>
    <row r="503" spans="1:3" x14ac:dyDescent="0.25">
      <c r="A503" s="16"/>
      <c r="C503" s="11"/>
    </row>
    <row r="504" spans="1:3" x14ac:dyDescent="0.25">
      <c r="A504" s="16"/>
      <c r="C504" s="11"/>
    </row>
    <row r="505" spans="1:3" x14ac:dyDescent="0.25">
      <c r="A505" s="16"/>
      <c r="C505" s="11"/>
    </row>
    <row r="506" spans="1:3" x14ac:dyDescent="0.25">
      <c r="A506" s="16"/>
      <c r="C506" s="11"/>
    </row>
    <row r="507" spans="1:3" x14ac:dyDescent="0.25">
      <c r="A507" s="16"/>
      <c r="C507" s="11"/>
    </row>
    <row r="508" spans="1:3" x14ac:dyDescent="0.25">
      <c r="A508" s="16"/>
      <c r="C508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63b6f1-9583-4058-b709-fbc105eb2b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84B47BB338C943A26C39F2E5F66C5C" ma:contentTypeVersion="10" ma:contentTypeDescription="Create a new document." ma:contentTypeScope="" ma:versionID="78a8782382c4bd7f7c6d208552bca4b9">
  <xsd:schema xmlns:xsd="http://www.w3.org/2001/XMLSchema" xmlns:xs="http://www.w3.org/2001/XMLSchema" xmlns:p="http://schemas.microsoft.com/office/2006/metadata/properties" xmlns:ns3="e6fc1806-9cc0-4f1b-aaf7-53a6f76d1ff5" xmlns:ns4="2863b6f1-9583-4058-b709-fbc105eb2b26" targetNamespace="http://schemas.microsoft.com/office/2006/metadata/properties" ma:root="true" ma:fieldsID="f700cd1b8b1252109551f79d7cd9ff17" ns3:_="" ns4:_="">
    <xsd:import namespace="e6fc1806-9cc0-4f1b-aaf7-53a6f76d1ff5"/>
    <xsd:import namespace="2863b6f1-9583-4058-b709-fbc105eb2b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c1806-9cc0-4f1b-aaf7-53a6f76d1f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3b6f1-9583-4058-b709-fbc105eb2b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D6C367-0B3D-4C7B-8713-814B60B287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6E6AB-BC76-492E-A56F-4329811B6E5B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2863b6f1-9583-4058-b709-fbc105eb2b26"/>
    <ds:schemaRef ds:uri="e6fc1806-9cc0-4f1b-aaf7-53a6f76d1ff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91A02D-5D5D-4D31-89E7-830935117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fc1806-9cc0-4f1b-aaf7-53a6f76d1ff5"/>
    <ds:schemaRef ds:uri="2863b6f1-9583-4058-b709-fbc105eb2b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Stistical results-Unit root</vt:lpstr>
      <vt:lpstr>Johanson and Julius</vt:lpstr>
      <vt:lpstr>GOLD-Daily</vt:lpstr>
      <vt:lpstr>Bitcoin-Daily</vt:lpstr>
      <vt:lpstr>MSCI EMRT-Daily</vt:lpstr>
      <vt:lpstr>GOLD-WEEKLY</vt:lpstr>
      <vt:lpstr>Bitcoin-WEEKLY</vt:lpstr>
      <vt:lpstr>MSCI EMRT-Weekly</vt:lpstr>
      <vt:lpstr>GOLD-Monthly</vt:lpstr>
      <vt:lpstr>Bitcoin-Monthly</vt:lpstr>
      <vt:lpstr>MSCI EMRT-Monthly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Rizwana Saqib</dc:creator>
  <cp:lastModifiedBy>Rizwana SAQIB</cp:lastModifiedBy>
  <dcterms:created xsi:type="dcterms:W3CDTF">2026-02-12T10:33:56Z</dcterms:created>
  <dcterms:modified xsi:type="dcterms:W3CDTF">2026-02-16T17:04:24Z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0x010100B484B47BB338C943A26C39F2E5F66C5C</vt:lpwstr>
  </property>
</Properties>
</file>